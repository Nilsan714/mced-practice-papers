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pers" sheetId="2" state="visible" r:id="rId2"/>
    <sheet name="Key" sheetId="3" state="visible" r:id="rId3"/>
    <sheet name="SubMap" sheetId="4" state="visible" r:id="rId4"/>
    <sheet name="Attempts" sheetId="5" state="visible" r:id="rId5"/>
    <sheet name="Topic_Accuracy" sheetId="6" state="visible" r:id="rId6"/>
    <sheet name="Error_Log" sheetId="7" state="visible" r:id="rId7"/>
    <sheet name="Retest" sheetId="8" state="visible" r:id="rId8"/>
    <sheet name="Baseline_4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MCED District Account Assistant — Practice Performance Tracker</t>
        </is>
      </c>
    </row>
    <row r="2">
      <c r="A2" s="2" t="inlineStr">
        <is>
          <t>Practice scoring rule (NOT an official MCED scheme): 1 mark per correct answer, 0 for wrong/unanswered, no negative marking (change only if you deliberately configure another rule).</t>
        </is>
      </c>
    </row>
    <row r="3">
      <c r="A3" s="2" t="inlineStr"/>
    </row>
    <row r="4">
      <c r="A4" s="2" t="inlineStr">
        <is>
          <t>HOW TO USE (tutor only — this workbook contains the answer key):</t>
        </is>
      </c>
    </row>
    <row r="5">
      <c r="A5" s="2" t="inlineStr">
        <is>
          <t>1. Candidate solves the question-only paper without the answer key; tutor records the answers.</t>
        </is>
      </c>
    </row>
    <row r="6">
      <c r="A6" s="2" t="inlineStr">
        <is>
          <t>2. Sheet "Attempts": add one row per attempt. Fill the yellow cells: Attempt ID (e.g. A001), Candidate, Date, Paper No (1-11), then the candidate's responses A/B/C/D in Q1..Q30 (leave blank = unanswered).</t>
        </is>
      </c>
    </row>
    <row r="7">
      <c r="A7" s="2" t="inlineStr">
        <is>
          <t>3. Green cells calculate automatically: attempted / correct / incorrect / unanswered / score / %.</t>
        </is>
      </c>
    </row>
    <row r="8">
      <c r="A8" s="2" t="inlineStr">
        <is>
          <t>4. Sheet "Topic_Accuracy": topic-wise accuracy per attempt, weakest subtopic and recommended remedial lesson.</t>
        </is>
      </c>
    </row>
    <row r="9">
      <c r="A9" s="2" t="inlineStr">
        <is>
          <t>5. Sheet "Error_Log": for each wrong answer, choose an error category (Conceptual / Calculation / Terminology / Careless).</t>
        </is>
      </c>
    </row>
    <row r="10">
      <c r="A10" s="2" t="inlineStr">
        <is>
          <t>6. Teach the recommended lesson (Remediation Notes), give a short remedial quiz, then record the retest as a new Attempt and link both IDs in sheet "Retest".</t>
        </is>
      </c>
    </row>
    <row r="11">
      <c r="A11" s="2" t="inlineStr">
        <is>
          <t>7. Sheet "Baseline_40": enter the candidate's 40 baseline answers for section-wise baseline analysis.</t>
        </is>
      </c>
    </row>
    <row r="12">
      <c r="A12" s="2" t="inlineStr"/>
    </row>
    <row r="13">
      <c r="A13" s="2" t="inlineStr">
        <is>
          <t>Do NOT label the candidate weak/strong from total score alone; use topic-wise accuracy (suggested guide, not an official cutoff): &lt;50% re-teach, 50-74% practice, &gt;=75% relatively secure. Use topic % only when the subtopic has at least 3 questions.</t>
        </is>
      </c>
    </row>
    <row r="14">
      <c r="A14" s="2" t="inlineStr">
        <is>
          <t>Rows 2..200 of Attempts are pre-formulated. Copy a row down if you need more.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10" customWidth="1" min="3" max="3"/>
    <col width="9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</cols>
  <sheetData>
    <row r="1">
      <c r="A1" s="3" t="inlineStr">
        <is>
          <t>Paper No</t>
        </is>
      </c>
      <c r="B1" s="3" t="inlineStr">
        <is>
          <t>Title</t>
        </is>
      </c>
      <c r="C1" s="3" t="inlineStr">
        <is>
          <t>Questions</t>
        </is>
      </c>
      <c r="D1" s="3" t="inlineStr">
        <is>
          <t>Minutes</t>
        </is>
      </c>
      <c r="E1" s="3" t="inlineStr">
        <is>
          <t>Sub1</t>
        </is>
      </c>
      <c r="F1" s="3" t="inlineStr">
        <is>
          <t>Sub2</t>
        </is>
      </c>
      <c r="G1" s="3" t="inlineStr">
        <is>
          <t>Sub3</t>
        </is>
      </c>
      <c r="H1" s="3" t="inlineStr">
        <is>
          <t>Sub4</t>
        </is>
      </c>
      <c r="I1" s="3" t="inlineStr">
        <is>
          <t>Sub5</t>
        </is>
      </c>
      <c r="J1" s="3" t="inlineStr">
        <is>
          <t>Sub6</t>
        </is>
      </c>
      <c r="K1" s="3" t="inlineStr">
        <is>
          <t>Les1</t>
        </is>
      </c>
      <c r="L1" s="3" t="inlineStr">
        <is>
          <t>Les2</t>
        </is>
      </c>
      <c r="M1" s="3" t="inlineStr">
        <is>
          <t>Les3</t>
        </is>
      </c>
      <c r="N1" s="3" t="inlineStr">
        <is>
          <t>Les4</t>
        </is>
      </c>
      <c r="O1" s="3" t="inlineStr">
        <is>
          <t>Les5</t>
        </is>
      </c>
      <c r="P1" s="3" t="inlineStr">
        <is>
          <t>Les6</t>
        </is>
      </c>
    </row>
    <row r="2">
      <c r="A2" s="4" t="n">
        <v>1</v>
      </c>
      <c r="B2" s="4" t="inlineStr">
        <is>
          <t>Baseline Test Analysis and Remediation</t>
        </is>
      </c>
      <c r="C2" s="4" t="n">
        <v>25</v>
      </c>
      <c r="D2" s="4" t="n">
        <v>35</v>
      </c>
      <c r="E2" s="4" t="inlineStr">
        <is>
          <t>A Bookkeeping &amp; Basic Accounting</t>
        </is>
      </c>
      <c r="F2" s="4" t="inlineStr">
        <is>
          <t>B Taxation</t>
        </is>
      </c>
      <c r="G2" s="4" t="inlineStr">
        <is>
          <t>C Budget &amp; Financial Discipline</t>
        </is>
      </c>
      <c r="H2" s="4" t="inlineStr">
        <is>
          <t>D Banking</t>
        </is>
      </c>
      <c r="I2" s="4" t="inlineStr">
        <is>
          <t>E Computer &amp; Modern Tools</t>
        </is>
      </c>
      <c r="J2" s="4" t="inlineStr">
        <is>
          <t>F Current Affairs / General Awareness</t>
        </is>
      </c>
      <c r="K2" s="4" t="inlineStr">
        <is>
          <t>Papers 2–5 (Accounting)</t>
        </is>
      </c>
      <c r="L2" s="4" t="inlineStr">
        <is>
          <t>Paper 6 (Taxation)</t>
        </is>
      </c>
      <c r="M2" s="4" t="inlineStr">
        <is>
          <t>Paper 7 (Budget)</t>
        </is>
      </c>
      <c r="N2" s="4" t="inlineStr">
        <is>
          <t>Paper 8 (Banking)</t>
        </is>
      </c>
      <c r="O2" s="4" t="inlineStr">
        <is>
          <t>Paper 9 (Computer/Excel)</t>
        </is>
      </c>
      <c r="P2" s="4" t="inlineStr">
        <is>
          <t>Paper 10 (Current Affairs)</t>
        </is>
      </c>
    </row>
    <row r="3">
      <c r="A3" s="4" t="n">
        <v>2</v>
      </c>
      <c r="B3" s="4" t="inlineStr">
        <is>
          <t>Accounting Fundamentals and Accounting Equation</t>
        </is>
      </c>
      <c r="C3" s="4" t="n">
        <v>23</v>
      </c>
      <c r="D3" s="4" t="n">
        <v>30</v>
      </c>
      <c r="E3" s="4" t="inlineStr">
        <is>
          <t>Book-keeping, Accounting आणि Users</t>
        </is>
      </c>
      <c r="F3" s="4" t="inlineStr">
        <is>
          <t>Accounts चे प्रकार (Classification)</t>
        </is>
      </c>
      <c r="G3" s="4" t="inlineStr">
        <is>
          <t>Accounting Concepts</t>
        </is>
      </c>
      <c r="H3" s="4" t="inlineStr">
        <is>
          <t>Accounting Equation</t>
        </is>
      </c>
      <c r="I3" s="4" t="inlineStr">
        <is>
          <t>Transactions चा Equation वर परिणाम</t>
        </is>
      </c>
      <c r="J3" s="4" t="inlineStr"/>
      <c r="K3" s="4" t="inlineStr">
        <is>
          <t>Lesson 2.1 Book-keeping vs Accounting</t>
        </is>
      </c>
      <c r="L3" s="4" t="inlineStr">
        <is>
          <t>Lesson 2.2 Assets-Liabilities-Capital-Income-Expense</t>
        </is>
      </c>
      <c r="M3" s="4" t="inlineStr">
        <is>
          <t>Lesson 2.3 Basic Accounting Concepts</t>
        </is>
      </c>
      <c r="N3" s="4" t="inlineStr">
        <is>
          <t>Lesson 2.4 A = L + C सूत्र</t>
        </is>
      </c>
      <c r="O3" s="4" t="inlineStr">
        <is>
          <t>Lesson 2.5 Transaction analysis (equation drill)</t>
        </is>
      </c>
      <c r="P3" s="4" t="inlineStr"/>
    </row>
    <row r="4">
      <c r="A4" s="4" t="n">
        <v>3</v>
      </c>
      <c r="B4" s="4" t="inlineStr">
        <is>
          <t>Debit, Credit and Journal Entries</t>
        </is>
      </c>
      <c r="C4" s="4" t="n">
        <v>24</v>
      </c>
      <c r="D4" s="4" t="n">
        <v>35</v>
      </c>
      <c r="E4" s="4" t="inlineStr">
        <is>
          <t>Golden Rules (Personal/Real/Nominal)</t>
        </is>
      </c>
      <c r="F4" s="4" t="inlineStr">
        <is>
          <t>Debit-Credit चा परिणाम</t>
        </is>
      </c>
      <c r="G4" s="4" t="inlineStr">
        <is>
          <t>Basic Journal Entries (cash)</t>
        </is>
      </c>
      <c r="H4" s="4" t="inlineStr">
        <is>
          <t>Credit व्यवहार, Returns, Discount</t>
        </is>
      </c>
      <c r="I4" s="4" t="inlineStr">
        <is>
          <t>Adjustment/Special Entries</t>
        </is>
      </c>
      <c r="J4" s="4" t="inlineStr">
        <is>
          <t>Journal Format आणि Terminology</t>
        </is>
      </c>
      <c r="K4" s="4" t="inlineStr">
        <is>
          <t>Lesson 3.1 Three Golden Rules</t>
        </is>
      </c>
      <c r="L4" s="4" t="inlineStr">
        <is>
          <t>Lesson 3.2 Dr/Cr rule table</t>
        </is>
      </c>
      <c r="M4" s="4" t="inlineStr">
        <is>
          <t>Lesson 3.3 Cash transaction journal drill</t>
        </is>
      </c>
      <c r="N4" s="4" t="inlineStr">
        <is>
          <t>Lesson 3.4 Credit, Returns, Discount entries</t>
        </is>
      </c>
      <c r="O4" s="4" t="inlineStr">
        <is>
          <t>Lesson 3.5 Drawings, Outstanding, Prepaid, Bad debts</t>
        </is>
      </c>
      <c r="P4" s="4" t="inlineStr">
        <is>
          <t>Lesson 3.6 Journal format</t>
        </is>
      </c>
    </row>
    <row r="5">
      <c r="A5" s="4" t="n">
        <v>4</v>
      </c>
      <c r="B5" s="4" t="inlineStr">
        <is>
          <t>Ledger, Cash Book and Trial Balance</t>
        </is>
      </c>
      <c r="C5" s="4" t="n">
        <v>24</v>
      </c>
      <c r="D5" s="4" t="n">
        <v>35</v>
      </c>
      <c r="E5" s="4" t="inlineStr">
        <is>
          <t>Ledger posting आणि balancing</t>
        </is>
      </c>
      <c r="F5" s="4" t="inlineStr">
        <is>
          <t>Cash Book (single/three column, contra)</t>
        </is>
      </c>
      <c r="G5" s="4" t="inlineStr">
        <is>
          <t>Petty Cash / Imprest</t>
        </is>
      </c>
      <c r="H5" s="4" t="inlineStr">
        <is>
          <t>Trial Balance आणि errors</t>
        </is>
      </c>
      <c r="I5" s="4" t="inlineStr">
        <is>
          <t>Subsidiary Books (Purchases/Sales/Returns)</t>
        </is>
      </c>
      <c r="J5" s="4" t="inlineStr"/>
      <c r="K5" s="4" t="inlineStr">
        <is>
          <t>Lesson 4.1 Ledger T-account आणि balancing</t>
        </is>
      </c>
      <c r="L5" s="4" t="inlineStr">
        <is>
          <t>Lesson 4.2 Cash Book प्रकार</t>
        </is>
      </c>
      <c r="M5" s="4" t="inlineStr">
        <is>
          <t>Lesson 4.3 Imprest system</t>
        </is>
      </c>
      <c r="N5" s="4" t="inlineStr">
        <is>
          <t>Lesson 4.4 Trial Balance व errors</t>
        </is>
      </c>
      <c r="O5" s="4" t="inlineStr">
        <is>
          <t>Lesson 4.5 Subsidiary books</t>
        </is>
      </c>
      <c r="P5" s="4" t="inlineStr"/>
    </row>
    <row r="6">
      <c r="A6" s="4" t="n">
        <v>5</v>
      </c>
      <c r="B6" s="4" t="inlineStr">
        <is>
          <t>Bank Reconciliation, Depreciation and Final Accounts</t>
        </is>
      </c>
      <c r="C6" s="4" t="n">
        <v>24</v>
      </c>
      <c r="D6" s="4" t="n">
        <v>40</v>
      </c>
      <c r="E6" s="4" t="inlineStr">
        <is>
          <t>Bank Reconciliation Statement (BRS)</t>
        </is>
      </c>
      <c r="F6" s="4" t="inlineStr">
        <is>
          <t>Depreciation (SLM / WDV)</t>
        </is>
      </c>
      <c r="G6" s="4" t="inlineStr">
        <is>
          <t>Trading Account</t>
        </is>
      </c>
      <c r="H6" s="4" t="inlineStr">
        <is>
          <t>Profit &amp; Loss Account</t>
        </is>
      </c>
      <c r="I6" s="4" t="inlineStr">
        <is>
          <t>Balance Sheet</t>
        </is>
      </c>
      <c r="J6" s="4" t="inlineStr">
        <is>
          <t>Adjustments (Outstanding, Prepaid, Bad debts)</t>
        </is>
      </c>
      <c r="K6" s="4" t="inlineStr">
        <is>
          <t>Lesson 5.1 BRS step-by-step</t>
        </is>
      </c>
      <c r="L6" s="4" t="inlineStr">
        <is>
          <t>Lesson 5.2 Depreciation methods</t>
        </is>
      </c>
      <c r="M6" s="4" t="inlineStr">
        <is>
          <t>Lesson 5.3 Trading A/c व Gross Profit</t>
        </is>
      </c>
      <c r="N6" s="4" t="inlineStr">
        <is>
          <t>Lesson 5.4 P&amp;L A/c व Net Profit</t>
        </is>
      </c>
      <c r="O6" s="4" t="inlineStr">
        <is>
          <t>Lesson 5.5 Balance Sheet मांडणी</t>
        </is>
      </c>
      <c r="P6" s="4" t="inlineStr">
        <is>
          <t>Lesson 5.6 Year-end adjustments</t>
        </is>
      </c>
    </row>
    <row r="7">
      <c r="A7" s="4" t="n">
        <v>6</v>
      </c>
      <c r="B7" s="4" t="inlineStr">
        <is>
          <t>Taxation: GST, Input Tax Credit, TDS and Income Tax Basics</t>
        </is>
      </c>
      <c r="C7" s="4" t="n">
        <v>24</v>
      </c>
      <c r="D7" s="4" t="n">
        <v>35</v>
      </c>
      <c r="E7" s="4" t="inlineStr">
        <is>
          <t>GST रचना आणि दर</t>
        </is>
      </c>
      <c r="F7" s="4" t="inlineStr">
        <is>
          <t>GST गणना आणि ITC</t>
        </is>
      </c>
      <c r="G7" s="4" t="inlineStr">
        <is>
          <t>GST documents/returns</t>
        </is>
      </c>
      <c r="H7" s="4" t="inlineStr">
        <is>
          <t>TDS</t>
        </is>
      </c>
      <c r="I7" s="4" t="inlineStr">
        <is>
          <t>Income Tax basics</t>
        </is>
      </c>
      <c r="J7" s="4" t="inlineStr"/>
      <c r="K7" s="4" t="inlineStr">
        <is>
          <t>Lesson 6.1 GST structure (CGST/SGST/IGST/rates)</t>
        </is>
      </c>
      <c r="L7" s="4" t="inlineStr">
        <is>
          <t>Lesson 6.2 GST calculation आणि ITC set-off</t>
        </is>
      </c>
      <c r="M7" s="4" t="inlineStr">
        <is>
          <t>Lesson 6.3 GSTIN, invoice, returns</t>
        </is>
      </c>
      <c r="N7" s="4" t="inlineStr">
        <is>
          <t>Lesson 6.4 TDS concept आणि गणना</t>
        </is>
      </c>
      <c r="O7" s="4" t="inlineStr">
        <is>
          <t>Lesson 6.5 Income tax basics</t>
        </is>
      </c>
      <c r="P7" s="4" t="inlineStr"/>
    </row>
    <row r="8">
      <c r="A8" s="4" t="n">
        <v>7</v>
      </c>
      <c r="B8" s="4" t="inlineStr">
        <is>
          <t>Budget and Financial Discipline</t>
        </is>
      </c>
      <c r="C8" s="4" t="n">
        <v>22</v>
      </c>
      <c r="D8" s="4" t="n">
        <v>30</v>
      </c>
      <c r="E8" s="4" t="inlineStr">
        <is>
          <t>Budget basics</t>
        </is>
      </c>
      <c r="F8" s="4" t="inlineStr">
        <is>
          <t>Capital vs Revenue (expenditure/receipts)</t>
        </is>
      </c>
      <c r="G8" s="4" t="inlineStr">
        <is>
          <t>Budget variance आणि utilisation</t>
        </is>
      </c>
      <c r="H8" s="4" t="inlineStr">
        <is>
          <t>Government Budget concepts (deficits, Articles)</t>
        </is>
      </c>
      <c r="I8" s="4" t="inlineStr">
        <is>
          <t>Financial discipline आणि internal control</t>
        </is>
      </c>
      <c r="J8" s="4" t="inlineStr"/>
      <c r="K8" s="4" t="inlineStr">
        <is>
          <t>Lesson 7.1 Budget म्हणजे काय</t>
        </is>
      </c>
      <c r="L8" s="4" t="inlineStr">
        <is>
          <t>Lesson 7.2 Capital vs Revenue</t>
        </is>
      </c>
      <c r="M8" s="4" t="inlineStr">
        <is>
          <t>Lesson 7.3 Variance व grant utilisation</t>
        </is>
      </c>
      <c r="N8" s="4" t="inlineStr">
        <is>
          <t>Lesson 7.4 Deficits व Constitution चे Articles</t>
        </is>
      </c>
      <c r="O8" s="4" t="inlineStr">
        <is>
          <t>Lesson 7.5 Vouchers, controls, segregation of duties</t>
        </is>
      </c>
      <c r="P8" s="4" t="inlineStr"/>
    </row>
    <row r="9">
      <c r="A9" s="4" t="n">
        <v>8</v>
      </c>
      <c r="B9" s="4" t="inlineStr">
        <is>
          <t>Banking and Digital Payment Systems</t>
        </is>
      </c>
      <c r="C9" s="4" t="n">
        <v>22</v>
      </c>
      <c r="D9" s="4" t="n">
        <v>30</v>
      </c>
      <c r="E9" s="4" t="inlineStr">
        <is>
          <t>RBI आणि Banking structure</t>
        </is>
      </c>
      <c r="F9" s="4" t="inlineStr">
        <is>
          <t>Bank accounts आणि KYC</t>
        </is>
      </c>
      <c r="G9" s="4" t="inlineStr">
        <is>
          <t>Cheque आणि Negotiable instruments</t>
        </is>
      </c>
      <c r="H9" s="4" t="inlineStr">
        <is>
          <t>NEFT/RTGS/IMPS/UPI</t>
        </is>
      </c>
      <c r="I9" s="4" t="inlineStr">
        <is>
          <t>Digital safety आणि fraud</t>
        </is>
      </c>
      <c r="J9" s="4" t="inlineStr">
        <is>
          <t>Interest आणि bank calculations</t>
        </is>
      </c>
      <c r="K9" s="4" t="inlineStr">
        <is>
          <t>Lesson 8.1 RBI functions, Repo, CRR</t>
        </is>
      </c>
      <c r="L9" s="4" t="inlineStr">
        <is>
          <t>Lesson 8.2 Account types, KYC</t>
        </is>
      </c>
      <c r="M9" s="4" t="inlineStr">
        <is>
          <t>Lesson 8.3 Cheque basics</t>
        </is>
      </c>
      <c r="N9" s="4" t="inlineStr">
        <is>
          <t>Lesson 8.4 NEFT vs RTGS vs IMPS vs UPI</t>
        </is>
      </c>
      <c r="O9" s="4" t="inlineStr">
        <is>
          <t>Lesson 8.5 Digital safety</t>
        </is>
      </c>
      <c r="P9" s="4" t="inlineStr">
        <is>
          <t>Lesson 8.6 Interest calculation</t>
        </is>
      </c>
    </row>
    <row r="10">
      <c r="A10" s="4" t="n">
        <v>9</v>
      </c>
      <c r="B10" s="4" t="inlineStr">
        <is>
          <t>Computer Knowledge, Excel and Modern Office Tools</t>
        </is>
      </c>
      <c r="C10" s="4" t="n">
        <v>22</v>
      </c>
      <c r="D10" s="4" t="n">
        <v>30</v>
      </c>
      <c r="E10" s="4" t="inlineStr">
        <is>
          <t>Computer basics (hardware/software)</t>
        </is>
      </c>
      <c r="F10" s="4" t="inlineStr">
        <is>
          <t>Windows, files आणि shortcuts</t>
        </is>
      </c>
      <c r="G10" s="4" t="inlineStr">
        <is>
          <t>Word, Email आणि PDF</t>
        </is>
      </c>
      <c r="H10" s="4" t="inlineStr">
        <is>
          <t>Excel basics आणि functions</t>
        </is>
      </c>
      <c r="I10" s="4" t="inlineStr">
        <is>
          <t>Excel application (SUMIF, VLOOKUP, %)</t>
        </is>
      </c>
      <c r="J10" s="4" t="inlineStr">
        <is>
          <t>Internet, cloud, cyber safety आणि modern tools</t>
        </is>
      </c>
      <c r="K10" s="4" t="inlineStr">
        <is>
          <t>Lesson 9.1 Hardware-Software-Memory</t>
        </is>
      </c>
      <c r="L10" s="4" t="inlineStr">
        <is>
          <t>Lesson 9.2 Windows आणि shortcuts</t>
        </is>
      </c>
      <c r="M10" s="4" t="inlineStr">
        <is>
          <t>Lesson 9.3 Word/Email</t>
        </is>
      </c>
      <c r="N10" s="4" t="inlineStr">
        <is>
          <t>Lesson 9.4 Excel functions</t>
        </is>
      </c>
      <c r="O10" s="4" t="inlineStr">
        <is>
          <t>Lesson 9.5 Excel लेखा उदाहरणे</t>
        </is>
      </c>
      <c r="P10" s="4" t="inlineStr">
        <is>
          <t>Lesson 9.6 Cloud आणि सुरक्षा</t>
        </is>
      </c>
    </row>
    <row r="11">
      <c r="A11" s="4" t="n">
        <v>10</v>
      </c>
      <c r="B11" s="4" t="inlineStr">
        <is>
          <t>Current Affairs and General Awareness</t>
        </is>
      </c>
      <c r="C11" s="4" t="n">
        <v>22</v>
      </c>
      <c r="D11" s="4" t="n">
        <v>30</v>
      </c>
      <c r="E11" s="4" t="inlineStr">
        <is>
          <t>स्थिर General Knowledge (संविधान, संस्था)</t>
        </is>
      </c>
      <c r="F11" s="4" t="inlineStr">
        <is>
          <t>Union Budget 2026-27</t>
        </is>
      </c>
      <c r="G11" s="4" t="inlineStr">
        <is>
          <t>Maharashtra Budget 2026-27 आणि राज्य</t>
        </is>
      </c>
      <c r="H11" s="4" t="inlineStr">
        <is>
          <t>Taxation/Banking updates</t>
        </is>
      </c>
      <c r="I11" s="4" t="inlineStr">
        <is>
          <t>Census 2027 आणि इतर घडामोडी</t>
        </is>
      </c>
      <c r="J11" s="4" t="inlineStr"/>
      <c r="K11" s="4" t="inlineStr">
        <is>
          <t>Lesson 10.1 Static GK (Articles, संस्था, तारखा)</t>
        </is>
      </c>
      <c r="L11" s="4" t="inlineStr">
        <is>
          <t>Lesson 10.2 Union Budget 2026-27 आकडे</t>
        </is>
      </c>
      <c r="M11" s="4" t="inlineStr">
        <is>
          <t>Lesson 10.3 Maharashtra Budget 2026-27</t>
        </is>
      </c>
      <c r="N11" s="4" t="inlineStr">
        <is>
          <t>Lesson 10.4 GST 2.0, Income-tax Act 2025, RBI</t>
        </is>
      </c>
      <c r="O11" s="4" t="inlineStr">
        <is>
          <t>Lesson 10.5 Census 2027</t>
        </is>
      </c>
      <c r="P11" s="4" t="inlineStr"/>
    </row>
    <row r="12">
      <c r="A12" s="4" t="n">
        <v>11</v>
      </c>
      <c r="B12" s="4" t="inlineStr">
        <is>
          <t>Comprehensive Mixed Mock Test</t>
        </is>
      </c>
      <c r="C12" s="4" t="n">
        <v>30</v>
      </c>
      <c r="D12" s="4" t="n">
        <v>40</v>
      </c>
      <c r="E12" s="4" t="inlineStr">
        <is>
          <t>A Bookkeeping &amp; Accounting</t>
        </is>
      </c>
      <c r="F12" s="4" t="inlineStr">
        <is>
          <t>B Taxation</t>
        </is>
      </c>
      <c r="G12" s="4" t="inlineStr">
        <is>
          <t>C Budget &amp; Financial Discipline</t>
        </is>
      </c>
      <c r="H12" s="4" t="inlineStr">
        <is>
          <t>D Banking</t>
        </is>
      </c>
      <c r="I12" s="4" t="inlineStr">
        <is>
          <t>E Computer &amp; Excel</t>
        </is>
      </c>
      <c r="J12" s="4" t="inlineStr">
        <is>
          <t>F Current Affairs / General Awareness</t>
        </is>
      </c>
      <c r="K12" s="4" t="inlineStr">
        <is>
          <t>Papers 2–5</t>
        </is>
      </c>
      <c r="L12" s="4" t="inlineStr">
        <is>
          <t>Paper 6</t>
        </is>
      </c>
      <c r="M12" s="4" t="inlineStr">
        <is>
          <t>Paper 7</t>
        </is>
      </c>
      <c r="N12" s="4" t="inlineStr">
        <is>
          <t>Paper 8</t>
        </is>
      </c>
      <c r="O12" s="4" t="inlineStr">
        <is>
          <t>Paper 9</t>
        </is>
      </c>
      <c r="P12" s="4" t="inlineStr">
        <is>
          <t>Paper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0" customWidth="1" min="4" max="4"/>
    <col width="40" customWidth="1" min="5" max="5"/>
    <col width="14" customWidth="1" min="6" max="6"/>
    <col width="12" customWidth="1" min="7" max="7"/>
  </cols>
  <sheetData>
    <row r="1">
      <c r="A1" s="3" t="inlineStr">
        <is>
          <t>Paper</t>
        </is>
      </c>
      <c r="B1" s="3" t="inlineStr">
        <is>
          <t>Q</t>
        </is>
      </c>
      <c r="C1" s="3" t="inlineStr">
        <is>
          <t>Answer</t>
        </is>
      </c>
      <c r="D1" s="3" t="inlineStr">
        <is>
          <t>Subtopic#</t>
        </is>
      </c>
      <c r="E1" s="3" t="inlineStr">
        <is>
          <t>Subtopic</t>
        </is>
      </c>
      <c r="F1" s="3" t="inlineStr">
        <is>
          <t>Level</t>
        </is>
      </c>
      <c r="G1" s="3" t="inlineStr">
        <is>
          <t>ID(P*100+Q)</t>
        </is>
      </c>
    </row>
    <row r="2">
      <c r="A2" t="n">
        <v>1</v>
      </c>
      <c r="B2" t="n">
        <v>1</v>
      </c>
      <c r="C2" t="inlineStr">
        <is>
          <t>B</t>
        </is>
      </c>
      <c r="D2" t="n">
        <v>1</v>
      </c>
      <c r="E2" t="inlineStr">
        <is>
          <t>A Bookkeeping &amp; Basic Accounting</t>
        </is>
      </c>
      <c r="F2" t="inlineStr">
        <is>
          <t>Foundational</t>
        </is>
      </c>
      <c r="G2" t="n">
        <v>101</v>
      </c>
    </row>
    <row r="3">
      <c r="A3" t="n">
        <v>1</v>
      </c>
      <c r="B3" t="n">
        <v>2</v>
      </c>
      <c r="C3" t="inlineStr">
        <is>
          <t>A</t>
        </is>
      </c>
      <c r="D3" t="n">
        <v>1</v>
      </c>
      <c r="E3" t="inlineStr">
        <is>
          <t>A Bookkeeping &amp; Basic Accounting</t>
        </is>
      </c>
      <c r="F3" t="inlineStr">
        <is>
          <t>Foundational</t>
        </is>
      </c>
      <c r="G3" t="n">
        <v>102</v>
      </c>
    </row>
    <row r="4">
      <c r="A4" t="n">
        <v>1</v>
      </c>
      <c r="B4" t="n">
        <v>3</v>
      </c>
      <c r="C4" t="inlineStr">
        <is>
          <t>D</t>
        </is>
      </c>
      <c r="D4" t="n">
        <v>2</v>
      </c>
      <c r="E4" t="inlineStr">
        <is>
          <t>B Taxation</t>
        </is>
      </c>
      <c r="F4" t="inlineStr">
        <is>
          <t>Foundational</t>
        </is>
      </c>
      <c r="G4" t="n">
        <v>103</v>
      </c>
    </row>
    <row r="5">
      <c r="A5" t="n">
        <v>1</v>
      </c>
      <c r="B5" t="n">
        <v>4</v>
      </c>
      <c r="C5" t="inlineStr">
        <is>
          <t>C</t>
        </is>
      </c>
      <c r="D5" t="n">
        <v>3</v>
      </c>
      <c r="E5" t="inlineStr">
        <is>
          <t>C Budget &amp; Financial Discipline</t>
        </is>
      </c>
      <c r="F5" t="inlineStr">
        <is>
          <t>Foundational</t>
        </is>
      </c>
      <c r="G5" t="n">
        <v>104</v>
      </c>
    </row>
    <row r="6">
      <c r="A6" t="n">
        <v>1</v>
      </c>
      <c r="B6" t="n">
        <v>5</v>
      </c>
      <c r="C6" t="inlineStr">
        <is>
          <t>B</t>
        </is>
      </c>
      <c r="D6" t="n">
        <v>4</v>
      </c>
      <c r="E6" t="inlineStr">
        <is>
          <t>D Banking</t>
        </is>
      </c>
      <c r="F6" t="inlineStr">
        <is>
          <t>Foundational</t>
        </is>
      </c>
      <c r="G6" t="n">
        <v>105</v>
      </c>
    </row>
    <row r="7">
      <c r="A7" t="n">
        <v>1</v>
      </c>
      <c r="B7" t="n">
        <v>6</v>
      </c>
      <c r="C7" t="inlineStr">
        <is>
          <t>D</t>
        </is>
      </c>
      <c r="D7" t="n">
        <v>5</v>
      </c>
      <c r="E7" t="inlineStr">
        <is>
          <t>E Computer &amp; Modern Tools</t>
        </is>
      </c>
      <c r="F7" t="inlineStr">
        <is>
          <t>Foundational</t>
        </is>
      </c>
      <c r="G7" t="n">
        <v>106</v>
      </c>
    </row>
    <row r="8">
      <c r="A8" t="n">
        <v>1</v>
      </c>
      <c r="B8" t="n">
        <v>7</v>
      </c>
      <c r="C8" t="inlineStr">
        <is>
          <t>A</t>
        </is>
      </c>
      <c r="D8" t="n">
        <v>5</v>
      </c>
      <c r="E8" t="inlineStr">
        <is>
          <t>E Computer &amp; Modern Tools</t>
        </is>
      </c>
      <c r="F8" t="inlineStr">
        <is>
          <t>Foundational</t>
        </is>
      </c>
      <c r="G8" t="n">
        <v>107</v>
      </c>
    </row>
    <row r="9">
      <c r="A9" t="n">
        <v>1</v>
      </c>
      <c r="B9" t="n">
        <v>8</v>
      </c>
      <c r="C9" t="inlineStr">
        <is>
          <t>C</t>
        </is>
      </c>
      <c r="D9" t="n">
        <v>6</v>
      </c>
      <c r="E9" t="inlineStr">
        <is>
          <t>F Current Affairs / General Awareness</t>
        </is>
      </c>
      <c r="F9" t="inlineStr">
        <is>
          <t>Foundational</t>
        </is>
      </c>
      <c r="G9" t="n">
        <v>108</v>
      </c>
    </row>
    <row r="10">
      <c r="A10" t="n">
        <v>1</v>
      </c>
      <c r="B10" t="n">
        <v>9</v>
      </c>
      <c r="C10" t="inlineStr">
        <is>
          <t>C</t>
        </is>
      </c>
      <c r="D10" t="n">
        <v>1</v>
      </c>
      <c r="E10" t="inlineStr">
        <is>
          <t>A Bookkeeping &amp; Basic Accounting</t>
        </is>
      </c>
      <c r="F10" t="inlineStr">
        <is>
          <t>Intermediate</t>
        </is>
      </c>
      <c r="G10" t="n">
        <v>109</v>
      </c>
    </row>
    <row r="11">
      <c r="A11" t="n">
        <v>1</v>
      </c>
      <c r="B11" t="n">
        <v>10</v>
      </c>
      <c r="C11" t="inlineStr">
        <is>
          <t>A</t>
        </is>
      </c>
      <c r="D11" t="n">
        <v>1</v>
      </c>
      <c r="E11" t="inlineStr">
        <is>
          <t>A Bookkeeping &amp; Basic Accounting</t>
        </is>
      </c>
      <c r="F11" t="inlineStr">
        <is>
          <t>Intermediate</t>
        </is>
      </c>
      <c r="G11" t="n">
        <v>110</v>
      </c>
    </row>
    <row r="12">
      <c r="A12" t="n">
        <v>1</v>
      </c>
      <c r="B12" t="n">
        <v>11</v>
      </c>
      <c r="C12" t="inlineStr">
        <is>
          <t>D</t>
        </is>
      </c>
      <c r="D12" t="n">
        <v>1</v>
      </c>
      <c r="E12" t="inlineStr">
        <is>
          <t>A Bookkeeping &amp; Basic Accounting</t>
        </is>
      </c>
      <c r="F12" t="inlineStr">
        <is>
          <t>Intermediate</t>
        </is>
      </c>
      <c r="G12" t="n">
        <v>111</v>
      </c>
    </row>
    <row r="13">
      <c r="A13" t="n">
        <v>1</v>
      </c>
      <c r="B13" t="n">
        <v>12</v>
      </c>
      <c r="C13" t="inlineStr">
        <is>
          <t>B</t>
        </is>
      </c>
      <c r="D13" t="n">
        <v>2</v>
      </c>
      <c r="E13" t="inlineStr">
        <is>
          <t>B Taxation</t>
        </is>
      </c>
      <c r="F13" t="inlineStr">
        <is>
          <t>Intermediate</t>
        </is>
      </c>
      <c r="G13" t="n">
        <v>112</v>
      </c>
    </row>
    <row r="14">
      <c r="A14" t="n">
        <v>1</v>
      </c>
      <c r="B14" t="n">
        <v>13</v>
      </c>
      <c r="C14" t="inlineStr">
        <is>
          <t>C</t>
        </is>
      </c>
      <c r="D14" t="n">
        <v>2</v>
      </c>
      <c r="E14" t="inlineStr">
        <is>
          <t>B Taxation</t>
        </is>
      </c>
      <c r="F14" t="inlineStr">
        <is>
          <t>Intermediate</t>
        </is>
      </c>
      <c r="G14" t="n">
        <v>113</v>
      </c>
    </row>
    <row r="15">
      <c r="A15" t="n">
        <v>1</v>
      </c>
      <c r="B15" t="n">
        <v>14</v>
      </c>
      <c r="C15" t="inlineStr">
        <is>
          <t>D</t>
        </is>
      </c>
      <c r="D15" t="n">
        <v>3</v>
      </c>
      <c r="E15" t="inlineStr">
        <is>
          <t>C Budget &amp; Financial Discipline</t>
        </is>
      </c>
      <c r="F15" t="inlineStr">
        <is>
          <t>Intermediate</t>
        </is>
      </c>
      <c r="G15" t="n">
        <v>114</v>
      </c>
    </row>
    <row r="16">
      <c r="A16" t="n">
        <v>1</v>
      </c>
      <c r="B16" t="n">
        <v>15</v>
      </c>
      <c r="C16" t="inlineStr">
        <is>
          <t>A</t>
        </is>
      </c>
      <c r="D16" t="n">
        <v>4</v>
      </c>
      <c r="E16" t="inlineStr">
        <is>
          <t>D Banking</t>
        </is>
      </c>
      <c r="F16" t="inlineStr">
        <is>
          <t>Intermediate</t>
        </is>
      </c>
      <c r="G16" t="n">
        <v>115</v>
      </c>
    </row>
    <row r="17">
      <c r="A17" t="n">
        <v>1</v>
      </c>
      <c r="B17" t="n">
        <v>16</v>
      </c>
      <c r="C17" t="inlineStr">
        <is>
          <t>B</t>
        </is>
      </c>
      <c r="D17" t="n">
        <v>4</v>
      </c>
      <c r="E17" t="inlineStr">
        <is>
          <t>D Banking</t>
        </is>
      </c>
      <c r="F17" t="inlineStr">
        <is>
          <t>Intermediate</t>
        </is>
      </c>
      <c r="G17" t="n">
        <v>116</v>
      </c>
    </row>
    <row r="18">
      <c r="A18" t="n">
        <v>1</v>
      </c>
      <c r="B18" t="n">
        <v>17</v>
      </c>
      <c r="C18" t="inlineStr">
        <is>
          <t>C</t>
        </is>
      </c>
      <c r="D18" t="n">
        <v>5</v>
      </c>
      <c r="E18" t="inlineStr">
        <is>
          <t>E Computer &amp; Modern Tools</t>
        </is>
      </c>
      <c r="F18" t="inlineStr">
        <is>
          <t>Intermediate</t>
        </is>
      </c>
      <c r="G18" t="n">
        <v>117</v>
      </c>
    </row>
    <row r="19">
      <c r="A19" t="n">
        <v>1</v>
      </c>
      <c r="B19" t="n">
        <v>18</v>
      </c>
      <c r="C19" t="inlineStr">
        <is>
          <t>D</t>
        </is>
      </c>
      <c r="D19" t="n">
        <v>6</v>
      </c>
      <c r="E19" t="inlineStr">
        <is>
          <t>F Current Affairs / General Awareness</t>
        </is>
      </c>
      <c r="F19" t="inlineStr">
        <is>
          <t>Intermediate</t>
        </is>
      </c>
      <c r="G19" t="n">
        <v>118</v>
      </c>
    </row>
    <row r="20">
      <c r="A20" t="n">
        <v>1</v>
      </c>
      <c r="B20" t="n">
        <v>19</v>
      </c>
      <c r="C20" t="inlineStr">
        <is>
          <t>B</t>
        </is>
      </c>
      <c r="D20" t="n">
        <v>1</v>
      </c>
      <c r="E20" t="inlineStr">
        <is>
          <t>A Bookkeeping &amp; Basic Accounting</t>
        </is>
      </c>
      <c r="F20" t="inlineStr">
        <is>
          <t>Application</t>
        </is>
      </c>
      <c r="G20" t="n">
        <v>119</v>
      </c>
    </row>
    <row r="21">
      <c r="A21" t="n">
        <v>1</v>
      </c>
      <c r="B21" t="n">
        <v>20</v>
      </c>
      <c r="C21" t="inlineStr">
        <is>
          <t>D</t>
        </is>
      </c>
      <c r="D21" t="n">
        <v>1</v>
      </c>
      <c r="E21" t="inlineStr">
        <is>
          <t>A Bookkeeping &amp; Basic Accounting</t>
        </is>
      </c>
      <c r="F21" t="inlineStr">
        <is>
          <t>Application</t>
        </is>
      </c>
      <c r="G21" t="n">
        <v>120</v>
      </c>
    </row>
    <row r="22">
      <c r="A22" t="n">
        <v>1</v>
      </c>
      <c r="B22" t="n">
        <v>21</v>
      </c>
      <c r="C22" t="inlineStr">
        <is>
          <t>A</t>
        </is>
      </c>
      <c r="D22" t="n">
        <v>2</v>
      </c>
      <c r="E22" t="inlineStr">
        <is>
          <t>B Taxation</t>
        </is>
      </c>
      <c r="F22" t="inlineStr">
        <is>
          <t>Application</t>
        </is>
      </c>
      <c r="G22" t="n">
        <v>121</v>
      </c>
    </row>
    <row r="23">
      <c r="A23" t="n">
        <v>1</v>
      </c>
      <c r="B23" t="n">
        <v>22</v>
      </c>
      <c r="C23" t="inlineStr">
        <is>
          <t>C</t>
        </is>
      </c>
      <c r="D23" t="n">
        <v>3</v>
      </c>
      <c r="E23" t="inlineStr">
        <is>
          <t>C Budget &amp; Financial Discipline</t>
        </is>
      </c>
      <c r="F23" t="inlineStr">
        <is>
          <t>Application</t>
        </is>
      </c>
      <c r="G23" t="n">
        <v>122</v>
      </c>
    </row>
    <row r="24">
      <c r="A24" t="n">
        <v>1</v>
      </c>
      <c r="B24" t="n">
        <v>23</v>
      </c>
      <c r="C24" t="inlineStr">
        <is>
          <t>A</t>
        </is>
      </c>
      <c r="D24" t="n">
        <v>4</v>
      </c>
      <c r="E24" t="inlineStr">
        <is>
          <t>D Banking</t>
        </is>
      </c>
      <c r="F24" t="inlineStr">
        <is>
          <t>Application</t>
        </is>
      </c>
      <c r="G24" t="n">
        <v>123</v>
      </c>
    </row>
    <row r="25">
      <c r="A25" t="n">
        <v>1</v>
      </c>
      <c r="B25" t="n">
        <v>24</v>
      </c>
      <c r="C25" t="inlineStr">
        <is>
          <t>D</t>
        </is>
      </c>
      <c r="D25" t="n">
        <v>5</v>
      </c>
      <c r="E25" t="inlineStr">
        <is>
          <t>E Computer &amp; Modern Tools</t>
        </is>
      </c>
      <c r="F25" t="inlineStr">
        <is>
          <t>Application</t>
        </is>
      </c>
      <c r="G25" t="n">
        <v>124</v>
      </c>
    </row>
    <row r="26">
      <c r="A26" t="n">
        <v>1</v>
      </c>
      <c r="B26" t="n">
        <v>25</v>
      </c>
      <c r="C26" t="inlineStr">
        <is>
          <t>B</t>
        </is>
      </c>
      <c r="D26" t="n">
        <v>6</v>
      </c>
      <c r="E26" t="inlineStr">
        <is>
          <t>F Current Affairs / General Awareness</t>
        </is>
      </c>
      <c r="F26" t="inlineStr">
        <is>
          <t>Application</t>
        </is>
      </c>
      <c r="G26" t="n">
        <v>125</v>
      </c>
    </row>
    <row r="27">
      <c r="A27" t="n">
        <v>2</v>
      </c>
      <c r="B27" t="n">
        <v>1</v>
      </c>
      <c r="C27" t="inlineStr">
        <is>
          <t>C</t>
        </is>
      </c>
      <c r="D27" t="n">
        <v>1</v>
      </c>
      <c r="E27" t="inlineStr">
        <is>
          <t>Book-keeping, Accounting आणि Users</t>
        </is>
      </c>
      <c r="F27" t="inlineStr">
        <is>
          <t>Foundational</t>
        </is>
      </c>
      <c r="G27" t="n">
        <v>201</v>
      </c>
    </row>
    <row r="28">
      <c r="A28" t="n">
        <v>2</v>
      </c>
      <c r="B28" t="n">
        <v>2</v>
      </c>
      <c r="C28" t="inlineStr">
        <is>
          <t>D</t>
        </is>
      </c>
      <c r="D28" t="n">
        <v>1</v>
      </c>
      <c r="E28" t="inlineStr">
        <is>
          <t>Book-keeping, Accounting आणि Users</t>
        </is>
      </c>
      <c r="F28" t="inlineStr">
        <is>
          <t>Foundational</t>
        </is>
      </c>
      <c r="G28" t="n">
        <v>202</v>
      </c>
    </row>
    <row r="29">
      <c r="A29" t="n">
        <v>2</v>
      </c>
      <c r="B29" t="n">
        <v>3</v>
      </c>
      <c r="C29" t="inlineStr">
        <is>
          <t>B</t>
        </is>
      </c>
      <c r="D29" t="n">
        <v>2</v>
      </c>
      <c r="E29" t="inlineStr">
        <is>
          <t>Accounts चे प्रकार (Classification)</t>
        </is>
      </c>
      <c r="F29" t="inlineStr">
        <is>
          <t>Foundational</t>
        </is>
      </c>
      <c r="G29" t="n">
        <v>203</v>
      </c>
    </row>
    <row r="30">
      <c r="A30" t="n">
        <v>2</v>
      </c>
      <c r="B30" t="n">
        <v>4</v>
      </c>
      <c r="C30" t="inlineStr">
        <is>
          <t>C</t>
        </is>
      </c>
      <c r="D30" t="n">
        <v>2</v>
      </c>
      <c r="E30" t="inlineStr">
        <is>
          <t>Accounts चे प्रकार (Classification)</t>
        </is>
      </c>
      <c r="F30" t="inlineStr">
        <is>
          <t>Foundational</t>
        </is>
      </c>
      <c r="G30" t="n">
        <v>204</v>
      </c>
    </row>
    <row r="31">
      <c r="A31" t="n">
        <v>2</v>
      </c>
      <c r="B31" t="n">
        <v>5</v>
      </c>
      <c r="C31" t="inlineStr">
        <is>
          <t>A</t>
        </is>
      </c>
      <c r="D31" t="n">
        <v>2</v>
      </c>
      <c r="E31" t="inlineStr">
        <is>
          <t>Accounts चे प्रकार (Classification)</t>
        </is>
      </c>
      <c r="F31" t="inlineStr">
        <is>
          <t>Foundational</t>
        </is>
      </c>
      <c r="G31" t="n">
        <v>205</v>
      </c>
    </row>
    <row r="32">
      <c r="A32" t="n">
        <v>2</v>
      </c>
      <c r="B32" t="n">
        <v>6</v>
      </c>
      <c r="C32" t="inlineStr">
        <is>
          <t>D</t>
        </is>
      </c>
      <c r="D32" t="n">
        <v>2</v>
      </c>
      <c r="E32" t="inlineStr">
        <is>
          <t>Accounts चे प्रकार (Classification)</t>
        </is>
      </c>
      <c r="F32" t="inlineStr">
        <is>
          <t>Foundational</t>
        </is>
      </c>
      <c r="G32" t="n">
        <v>206</v>
      </c>
    </row>
    <row r="33">
      <c r="A33" t="n">
        <v>2</v>
      </c>
      <c r="B33" t="n">
        <v>7</v>
      </c>
      <c r="C33" t="inlineStr">
        <is>
          <t>C</t>
        </is>
      </c>
      <c r="D33" t="n">
        <v>4</v>
      </c>
      <c r="E33" t="inlineStr">
        <is>
          <t>Accounting Equation</t>
        </is>
      </c>
      <c r="F33" t="inlineStr">
        <is>
          <t>Foundational</t>
        </is>
      </c>
      <c r="G33" t="n">
        <v>207</v>
      </c>
    </row>
    <row r="34">
      <c r="A34" t="n">
        <v>2</v>
      </c>
      <c r="B34" t="n">
        <v>8</v>
      </c>
      <c r="C34" t="inlineStr">
        <is>
          <t>A</t>
        </is>
      </c>
      <c r="D34" t="n">
        <v>3</v>
      </c>
      <c r="E34" t="inlineStr">
        <is>
          <t>Accounting Concepts</t>
        </is>
      </c>
      <c r="F34" t="inlineStr">
        <is>
          <t>Foundational</t>
        </is>
      </c>
      <c r="G34" t="n">
        <v>208</v>
      </c>
    </row>
    <row r="35">
      <c r="A35" t="n">
        <v>2</v>
      </c>
      <c r="B35" t="n">
        <v>9</v>
      </c>
      <c r="C35" t="inlineStr">
        <is>
          <t>A</t>
        </is>
      </c>
      <c r="D35" t="n">
        <v>3</v>
      </c>
      <c r="E35" t="inlineStr">
        <is>
          <t>Accounting Concepts</t>
        </is>
      </c>
      <c r="F35" t="inlineStr">
        <is>
          <t>Intermediate</t>
        </is>
      </c>
      <c r="G35" t="n">
        <v>209</v>
      </c>
    </row>
    <row r="36">
      <c r="A36" t="n">
        <v>2</v>
      </c>
      <c r="B36" t="n">
        <v>10</v>
      </c>
      <c r="C36" t="inlineStr">
        <is>
          <t>B</t>
        </is>
      </c>
      <c r="D36" t="n">
        <v>3</v>
      </c>
      <c r="E36" t="inlineStr">
        <is>
          <t>Accounting Concepts</t>
        </is>
      </c>
      <c r="F36" t="inlineStr">
        <is>
          <t>Intermediate</t>
        </is>
      </c>
      <c r="G36" t="n">
        <v>210</v>
      </c>
    </row>
    <row r="37">
      <c r="A37" t="n">
        <v>2</v>
      </c>
      <c r="B37" t="n">
        <v>11</v>
      </c>
      <c r="C37" t="inlineStr">
        <is>
          <t>C</t>
        </is>
      </c>
      <c r="D37" t="n">
        <v>3</v>
      </c>
      <c r="E37" t="inlineStr">
        <is>
          <t>Accounting Concepts</t>
        </is>
      </c>
      <c r="F37" t="inlineStr">
        <is>
          <t>Intermediate</t>
        </is>
      </c>
      <c r="G37" t="n">
        <v>211</v>
      </c>
    </row>
    <row r="38">
      <c r="A38" t="n">
        <v>2</v>
      </c>
      <c r="B38" t="n">
        <v>12</v>
      </c>
      <c r="C38" t="inlineStr">
        <is>
          <t>B</t>
        </is>
      </c>
      <c r="D38" t="n">
        <v>5</v>
      </c>
      <c r="E38" t="inlineStr">
        <is>
          <t>Transactions चा Equation वर परिणाम</t>
        </is>
      </c>
      <c r="F38" t="inlineStr">
        <is>
          <t>Intermediate</t>
        </is>
      </c>
      <c r="G38" t="n">
        <v>212</v>
      </c>
    </row>
    <row r="39">
      <c r="A39" t="n">
        <v>2</v>
      </c>
      <c r="B39" t="n">
        <v>13</v>
      </c>
      <c r="C39" t="inlineStr">
        <is>
          <t>B</t>
        </is>
      </c>
      <c r="D39" t="n">
        <v>4</v>
      </c>
      <c r="E39" t="inlineStr">
        <is>
          <t>Accounting Equation</t>
        </is>
      </c>
      <c r="F39" t="inlineStr">
        <is>
          <t>Intermediate</t>
        </is>
      </c>
      <c r="G39" t="n">
        <v>213</v>
      </c>
    </row>
    <row r="40">
      <c r="A40" t="n">
        <v>2</v>
      </c>
      <c r="B40" t="n">
        <v>14</v>
      </c>
      <c r="C40" t="inlineStr">
        <is>
          <t>B</t>
        </is>
      </c>
      <c r="D40" t="n">
        <v>4</v>
      </c>
      <c r="E40" t="inlineStr">
        <is>
          <t>Accounting Equation</t>
        </is>
      </c>
      <c r="F40" t="inlineStr">
        <is>
          <t>Intermediate</t>
        </is>
      </c>
      <c r="G40" t="n">
        <v>214</v>
      </c>
    </row>
    <row r="41">
      <c r="A41" t="n">
        <v>2</v>
      </c>
      <c r="B41" t="n">
        <v>15</v>
      </c>
      <c r="C41" t="inlineStr">
        <is>
          <t>D</t>
        </is>
      </c>
      <c r="D41" t="n">
        <v>4</v>
      </c>
      <c r="E41" t="inlineStr">
        <is>
          <t>Accounting Equation</t>
        </is>
      </c>
      <c r="F41" t="inlineStr">
        <is>
          <t>Intermediate</t>
        </is>
      </c>
      <c r="G41" t="n">
        <v>215</v>
      </c>
    </row>
    <row r="42">
      <c r="A42" t="n">
        <v>2</v>
      </c>
      <c r="B42" t="n">
        <v>16</v>
      </c>
      <c r="C42" t="inlineStr">
        <is>
          <t>A</t>
        </is>
      </c>
      <c r="D42" t="n">
        <v>5</v>
      </c>
      <c r="E42" t="inlineStr">
        <is>
          <t>Transactions चा Equation वर परिणाम</t>
        </is>
      </c>
      <c r="F42" t="inlineStr">
        <is>
          <t>Intermediate</t>
        </is>
      </c>
      <c r="G42" t="n">
        <v>216</v>
      </c>
    </row>
    <row r="43">
      <c r="A43" t="n">
        <v>2</v>
      </c>
      <c r="B43" t="n">
        <v>17</v>
      </c>
      <c r="C43" t="inlineStr">
        <is>
          <t>C</t>
        </is>
      </c>
      <c r="D43" t="n">
        <v>5</v>
      </c>
      <c r="E43" t="inlineStr">
        <is>
          <t>Transactions चा Equation वर परिणाम</t>
        </is>
      </c>
      <c r="F43" t="inlineStr">
        <is>
          <t>Intermediate</t>
        </is>
      </c>
      <c r="G43" t="n">
        <v>217</v>
      </c>
    </row>
    <row r="44">
      <c r="A44" t="n">
        <v>2</v>
      </c>
      <c r="B44" t="n">
        <v>18</v>
      </c>
      <c r="C44" t="inlineStr">
        <is>
          <t>D</t>
        </is>
      </c>
      <c r="D44" t="n">
        <v>5</v>
      </c>
      <c r="E44" t="inlineStr">
        <is>
          <t>Transactions चा Equation वर परिणाम</t>
        </is>
      </c>
      <c r="F44" t="inlineStr">
        <is>
          <t>Application</t>
        </is>
      </c>
      <c r="G44" t="n">
        <v>218</v>
      </c>
    </row>
    <row r="45">
      <c r="A45" t="n">
        <v>2</v>
      </c>
      <c r="B45" t="n">
        <v>19</v>
      </c>
      <c r="C45" t="inlineStr">
        <is>
          <t>C</t>
        </is>
      </c>
      <c r="D45" t="n">
        <v>2</v>
      </c>
      <c r="E45" t="inlineStr">
        <is>
          <t>Accounts चे प्रकार (Classification)</t>
        </is>
      </c>
      <c r="F45" t="inlineStr">
        <is>
          <t>Application</t>
        </is>
      </c>
      <c r="G45" t="n">
        <v>219</v>
      </c>
    </row>
    <row r="46">
      <c r="A46" t="n">
        <v>2</v>
      </c>
      <c r="B46" t="n">
        <v>20</v>
      </c>
      <c r="C46" t="inlineStr">
        <is>
          <t>C</t>
        </is>
      </c>
      <c r="D46" t="n">
        <v>5</v>
      </c>
      <c r="E46" t="inlineStr">
        <is>
          <t>Transactions चा Equation वर परिणाम</t>
        </is>
      </c>
      <c r="F46" t="inlineStr">
        <is>
          <t>Application</t>
        </is>
      </c>
      <c r="G46" t="n">
        <v>220</v>
      </c>
    </row>
    <row r="47">
      <c r="A47" t="n">
        <v>2</v>
      </c>
      <c r="B47" t="n">
        <v>21</v>
      </c>
      <c r="C47" t="inlineStr">
        <is>
          <t>A</t>
        </is>
      </c>
      <c r="D47" t="n">
        <v>4</v>
      </c>
      <c r="E47" t="inlineStr">
        <is>
          <t>Accounting Equation</t>
        </is>
      </c>
      <c r="F47" t="inlineStr">
        <is>
          <t>Application</t>
        </is>
      </c>
      <c r="G47" t="n">
        <v>221</v>
      </c>
    </row>
    <row r="48">
      <c r="A48" t="n">
        <v>2</v>
      </c>
      <c r="B48" t="n">
        <v>22</v>
      </c>
      <c r="C48" t="inlineStr">
        <is>
          <t>A</t>
        </is>
      </c>
      <c r="D48" t="n">
        <v>4</v>
      </c>
      <c r="E48" t="inlineStr">
        <is>
          <t>Accounting Equation</t>
        </is>
      </c>
      <c r="F48" t="inlineStr">
        <is>
          <t>Application</t>
        </is>
      </c>
      <c r="G48" t="n">
        <v>222</v>
      </c>
    </row>
    <row r="49">
      <c r="A49" t="n">
        <v>2</v>
      </c>
      <c r="B49" t="n">
        <v>23</v>
      </c>
      <c r="C49" t="inlineStr">
        <is>
          <t>B</t>
        </is>
      </c>
      <c r="D49" t="n">
        <v>5</v>
      </c>
      <c r="E49" t="inlineStr">
        <is>
          <t>Transactions चा Equation वर परिणाम</t>
        </is>
      </c>
      <c r="F49" t="inlineStr">
        <is>
          <t>Application</t>
        </is>
      </c>
      <c r="G49" t="n">
        <v>223</v>
      </c>
    </row>
    <row r="50">
      <c r="A50" t="n">
        <v>3</v>
      </c>
      <c r="B50" t="n">
        <v>1</v>
      </c>
      <c r="C50" t="inlineStr">
        <is>
          <t>B</t>
        </is>
      </c>
      <c r="D50" t="n">
        <v>1</v>
      </c>
      <c r="E50" t="inlineStr">
        <is>
          <t>Golden Rules (Personal/Real/Nominal)</t>
        </is>
      </c>
      <c r="F50" t="inlineStr">
        <is>
          <t>Foundational</t>
        </is>
      </c>
      <c r="G50" t="n">
        <v>301</v>
      </c>
    </row>
    <row r="51">
      <c r="A51" t="n">
        <v>3</v>
      </c>
      <c r="B51" t="n">
        <v>2</v>
      </c>
      <c r="C51" t="inlineStr">
        <is>
          <t>D</t>
        </is>
      </c>
      <c r="D51" t="n">
        <v>1</v>
      </c>
      <c r="E51" t="inlineStr">
        <is>
          <t>Golden Rules (Personal/Real/Nominal)</t>
        </is>
      </c>
      <c r="F51" t="inlineStr">
        <is>
          <t>Foundational</t>
        </is>
      </c>
      <c r="G51" t="n">
        <v>302</v>
      </c>
    </row>
    <row r="52">
      <c r="A52" t="n">
        <v>3</v>
      </c>
      <c r="B52" t="n">
        <v>3</v>
      </c>
      <c r="C52" t="inlineStr">
        <is>
          <t>C</t>
        </is>
      </c>
      <c r="D52" t="n">
        <v>1</v>
      </c>
      <c r="E52" t="inlineStr">
        <is>
          <t>Golden Rules (Personal/Real/Nominal)</t>
        </is>
      </c>
      <c r="F52" t="inlineStr">
        <is>
          <t>Foundational</t>
        </is>
      </c>
      <c r="G52" t="n">
        <v>303</v>
      </c>
    </row>
    <row r="53">
      <c r="A53" t="n">
        <v>3</v>
      </c>
      <c r="B53" t="n">
        <v>4</v>
      </c>
      <c r="C53" t="inlineStr">
        <is>
          <t>D</t>
        </is>
      </c>
      <c r="D53" t="n">
        <v>2</v>
      </c>
      <c r="E53" t="inlineStr">
        <is>
          <t>Debit-Credit चा परिणाम</t>
        </is>
      </c>
      <c r="F53" t="inlineStr">
        <is>
          <t>Foundational</t>
        </is>
      </c>
      <c r="G53" t="n">
        <v>304</v>
      </c>
    </row>
    <row r="54">
      <c r="A54" t="n">
        <v>3</v>
      </c>
      <c r="B54" t="n">
        <v>5</v>
      </c>
      <c r="C54" t="inlineStr">
        <is>
          <t>D</t>
        </is>
      </c>
      <c r="D54" t="n">
        <v>2</v>
      </c>
      <c r="E54" t="inlineStr">
        <is>
          <t>Debit-Credit चा परिणाम</t>
        </is>
      </c>
      <c r="F54" t="inlineStr">
        <is>
          <t>Foundational</t>
        </is>
      </c>
      <c r="G54" t="n">
        <v>305</v>
      </c>
    </row>
    <row r="55">
      <c r="A55" t="n">
        <v>3</v>
      </c>
      <c r="B55" t="n">
        <v>6</v>
      </c>
      <c r="C55" t="inlineStr">
        <is>
          <t>C</t>
        </is>
      </c>
      <c r="D55" t="n">
        <v>2</v>
      </c>
      <c r="E55" t="inlineStr">
        <is>
          <t>Debit-Credit चा परिणाम</t>
        </is>
      </c>
      <c r="F55" t="inlineStr">
        <is>
          <t>Foundational</t>
        </is>
      </c>
      <c r="G55" t="n">
        <v>306</v>
      </c>
    </row>
    <row r="56">
      <c r="A56" t="n">
        <v>3</v>
      </c>
      <c r="B56" t="n">
        <v>7</v>
      </c>
      <c r="C56" t="inlineStr">
        <is>
          <t>D</t>
        </is>
      </c>
      <c r="D56" t="n">
        <v>6</v>
      </c>
      <c r="E56" t="inlineStr">
        <is>
          <t>Journal Format आणि Terminology</t>
        </is>
      </c>
      <c r="F56" t="inlineStr">
        <is>
          <t>Foundational</t>
        </is>
      </c>
      <c r="G56" t="n">
        <v>307</v>
      </c>
    </row>
    <row r="57">
      <c r="A57" t="n">
        <v>3</v>
      </c>
      <c r="B57" t="n">
        <v>8</v>
      </c>
      <c r="C57" t="inlineStr">
        <is>
          <t>D</t>
        </is>
      </c>
      <c r="D57" t="n">
        <v>6</v>
      </c>
      <c r="E57" t="inlineStr">
        <is>
          <t>Journal Format आणि Terminology</t>
        </is>
      </c>
      <c r="F57" t="inlineStr">
        <is>
          <t>Foundational</t>
        </is>
      </c>
      <c r="G57" t="n">
        <v>308</v>
      </c>
    </row>
    <row r="58">
      <c r="A58" t="n">
        <v>3</v>
      </c>
      <c r="B58" t="n">
        <v>9</v>
      </c>
      <c r="C58" t="inlineStr">
        <is>
          <t>B</t>
        </is>
      </c>
      <c r="D58" t="n">
        <v>3</v>
      </c>
      <c r="E58" t="inlineStr">
        <is>
          <t>Basic Journal Entries (cash)</t>
        </is>
      </c>
      <c r="F58" t="inlineStr">
        <is>
          <t>Intermediate</t>
        </is>
      </c>
      <c r="G58" t="n">
        <v>309</v>
      </c>
    </row>
    <row r="59">
      <c r="A59" t="n">
        <v>3</v>
      </c>
      <c r="B59" t="n">
        <v>10</v>
      </c>
      <c r="C59" t="inlineStr">
        <is>
          <t>C</t>
        </is>
      </c>
      <c r="D59" t="n">
        <v>3</v>
      </c>
      <c r="E59" t="inlineStr">
        <is>
          <t>Basic Journal Entries (cash)</t>
        </is>
      </c>
      <c r="F59" t="inlineStr">
        <is>
          <t>Intermediate</t>
        </is>
      </c>
      <c r="G59" t="n">
        <v>310</v>
      </c>
    </row>
    <row r="60">
      <c r="A60" t="n">
        <v>3</v>
      </c>
      <c r="B60" t="n">
        <v>11</v>
      </c>
      <c r="C60" t="inlineStr">
        <is>
          <t>C</t>
        </is>
      </c>
      <c r="D60" t="n">
        <v>4</v>
      </c>
      <c r="E60" t="inlineStr">
        <is>
          <t>Credit व्यवहार, Returns, Discount</t>
        </is>
      </c>
      <c r="F60" t="inlineStr">
        <is>
          <t>Intermediate</t>
        </is>
      </c>
      <c r="G60" t="n">
        <v>311</v>
      </c>
    </row>
    <row r="61">
      <c r="A61" t="n">
        <v>3</v>
      </c>
      <c r="B61" t="n">
        <v>12</v>
      </c>
      <c r="C61" t="inlineStr">
        <is>
          <t>A</t>
        </is>
      </c>
      <c r="D61" t="n">
        <v>4</v>
      </c>
      <c r="E61" t="inlineStr">
        <is>
          <t>Credit व्यवहार, Returns, Discount</t>
        </is>
      </c>
      <c r="F61" t="inlineStr">
        <is>
          <t>Intermediate</t>
        </is>
      </c>
      <c r="G61" t="n">
        <v>312</v>
      </c>
    </row>
    <row r="62">
      <c r="A62" t="n">
        <v>3</v>
      </c>
      <c r="B62" t="n">
        <v>13</v>
      </c>
      <c r="C62" t="inlineStr">
        <is>
          <t>B</t>
        </is>
      </c>
      <c r="D62" t="n">
        <v>4</v>
      </c>
      <c r="E62" t="inlineStr">
        <is>
          <t>Credit व्यवहार, Returns, Discount</t>
        </is>
      </c>
      <c r="F62" t="inlineStr">
        <is>
          <t>Intermediate</t>
        </is>
      </c>
      <c r="G62" t="n">
        <v>313</v>
      </c>
    </row>
    <row r="63">
      <c r="A63" t="n">
        <v>3</v>
      </c>
      <c r="B63" t="n">
        <v>14</v>
      </c>
      <c r="C63" t="inlineStr">
        <is>
          <t>A</t>
        </is>
      </c>
      <c r="D63" t="n">
        <v>4</v>
      </c>
      <c r="E63" t="inlineStr">
        <is>
          <t>Credit व्यवहार, Returns, Discount</t>
        </is>
      </c>
      <c r="F63" t="inlineStr">
        <is>
          <t>Intermediate</t>
        </is>
      </c>
      <c r="G63" t="n">
        <v>314</v>
      </c>
    </row>
    <row r="64">
      <c r="A64" t="n">
        <v>3</v>
      </c>
      <c r="B64" t="n">
        <v>15</v>
      </c>
      <c r="C64" t="inlineStr">
        <is>
          <t>A</t>
        </is>
      </c>
      <c r="D64" t="n">
        <v>5</v>
      </c>
      <c r="E64" t="inlineStr">
        <is>
          <t>Adjustment/Special Entries</t>
        </is>
      </c>
      <c r="F64" t="inlineStr">
        <is>
          <t>Intermediate</t>
        </is>
      </c>
      <c r="G64" t="n">
        <v>315</v>
      </c>
    </row>
    <row r="65">
      <c r="A65" t="n">
        <v>3</v>
      </c>
      <c r="B65" t="n">
        <v>16</v>
      </c>
      <c r="C65" t="inlineStr">
        <is>
          <t>C</t>
        </is>
      </c>
      <c r="D65" t="n">
        <v>5</v>
      </c>
      <c r="E65" t="inlineStr">
        <is>
          <t>Adjustment/Special Entries</t>
        </is>
      </c>
      <c r="F65" t="inlineStr">
        <is>
          <t>Intermediate</t>
        </is>
      </c>
      <c r="G65" t="n">
        <v>316</v>
      </c>
    </row>
    <row r="66">
      <c r="A66" t="n">
        <v>3</v>
      </c>
      <c r="B66" t="n">
        <v>17</v>
      </c>
      <c r="C66" t="inlineStr">
        <is>
          <t>A</t>
        </is>
      </c>
      <c r="D66" t="n">
        <v>5</v>
      </c>
      <c r="E66" t="inlineStr">
        <is>
          <t>Adjustment/Special Entries</t>
        </is>
      </c>
      <c r="F66" t="inlineStr">
        <is>
          <t>Application</t>
        </is>
      </c>
      <c r="G66" t="n">
        <v>317</v>
      </c>
    </row>
    <row r="67">
      <c r="A67" t="n">
        <v>3</v>
      </c>
      <c r="B67" t="n">
        <v>18</v>
      </c>
      <c r="C67" t="inlineStr">
        <is>
          <t>D</t>
        </is>
      </c>
      <c r="D67" t="n">
        <v>3</v>
      </c>
      <c r="E67" t="inlineStr">
        <is>
          <t>Basic Journal Entries (cash)</t>
        </is>
      </c>
      <c r="F67" t="inlineStr">
        <is>
          <t>Application</t>
        </is>
      </c>
      <c r="G67" t="n">
        <v>318</v>
      </c>
    </row>
    <row r="68">
      <c r="A68" t="n">
        <v>3</v>
      </c>
      <c r="B68" t="n">
        <v>19</v>
      </c>
      <c r="C68" t="inlineStr">
        <is>
          <t>A</t>
        </is>
      </c>
      <c r="D68" t="n">
        <v>4</v>
      </c>
      <c r="E68" t="inlineStr">
        <is>
          <t>Credit व्यवहार, Returns, Discount</t>
        </is>
      </c>
      <c r="F68" t="inlineStr">
        <is>
          <t>Application</t>
        </is>
      </c>
      <c r="G68" t="n">
        <v>319</v>
      </c>
    </row>
    <row r="69">
      <c r="A69" t="n">
        <v>3</v>
      </c>
      <c r="B69" t="n">
        <v>20</v>
      </c>
      <c r="C69" t="inlineStr">
        <is>
          <t>C</t>
        </is>
      </c>
      <c r="D69" t="n">
        <v>2</v>
      </c>
      <c r="E69" t="inlineStr">
        <is>
          <t>Debit-Credit चा परिणाम</t>
        </is>
      </c>
      <c r="F69" t="inlineStr">
        <is>
          <t>Application</t>
        </is>
      </c>
      <c r="G69" t="n">
        <v>320</v>
      </c>
    </row>
    <row r="70">
      <c r="A70" t="n">
        <v>3</v>
      </c>
      <c r="B70" t="n">
        <v>21</v>
      </c>
      <c r="C70" t="inlineStr">
        <is>
          <t>B</t>
        </is>
      </c>
      <c r="D70" t="n">
        <v>3</v>
      </c>
      <c r="E70" t="inlineStr">
        <is>
          <t>Basic Journal Entries (cash)</t>
        </is>
      </c>
      <c r="F70" t="inlineStr">
        <is>
          <t>Application</t>
        </is>
      </c>
      <c r="G70" t="n">
        <v>321</v>
      </c>
    </row>
    <row r="71">
      <c r="A71" t="n">
        <v>3</v>
      </c>
      <c r="B71" t="n">
        <v>22</v>
      </c>
      <c r="C71" t="inlineStr">
        <is>
          <t>B</t>
        </is>
      </c>
      <c r="D71" t="n">
        <v>5</v>
      </c>
      <c r="E71" t="inlineStr">
        <is>
          <t>Adjustment/Special Entries</t>
        </is>
      </c>
      <c r="F71" t="inlineStr">
        <is>
          <t>Application</t>
        </is>
      </c>
      <c r="G71" t="n">
        <v>322</v>
      </c>
    </row>
    <row r="72">
      <c r="A72" t="n">
        <v>3</v>
      </c>
      <c r="B72" t="n">
        <v>23</v>
      </c>
      <c r="C72" t="inlineStr">
        <is>
          <t>B</t>
        </is>
      </c>
      <c r="D72" t="n">
        <v>4</v>
      </c>
      <c r="E72" t="inlineStr">
        <is>
          <t>Credit व्यवहार, Returns, Discount</t>
        </is>
      </c>
      <c r="F72" t="inlineStr">
        <is>
          <t>Application</t>
        </is>
      </c>
      <c r="G72" t="n">
        <v>323</v>
      </c>
    </row>
    <row r="73">
      <c r="A73" t="n">
        <v>3</v>
      </c>
      <c r="B73" t="n">
        <v>24</v>
      </c>
      <c r="C73" t="inlineStr">
        <is>
          <t>A</t>
        </is>
      </c>
      <c r="D73" t="n">
        <v>4</v>
      </c>
      <c r="E73" t="inlineStr">
        <is>
          <t>Credit व्यवहार, Returns, Discount</t>
        </is>
      </c>
      <c r="F73" t="inlineStr">
        <is>
          <t>Application</t>
        </is>
      </c>
      <c r="G73" t="n">
        <v>324</v>
      </c>
    </row>
    <row r="74">
      <c r="A74" t="n">
        <v>4</v>
      </c>
      <c r="B74" t="n">
        <v>1</v>
      </c>
      <c r="C74" t="inlineStr">
        <is>
          <t>D</t>
        </is>
      </c>
      <c r="D74" t="n">
        <v>1</v>
      </c>
      <c r="E74" t="inlineStr">
        <is>
          <t>Ledger posting आणि balancing</t>
        </is>
      </c>
      <c r="F74" t="inlineStr">
        <is>
          <t>Foundational</t>
        </is>
      </c>
      <c r="G74" t="n">
        <v>401</v>
      </c>
    </row>
    <row r="75">
      <c r="A75" t="n">
        <v>4</v>
      </c>
      <c r="B75" t="n">
        <v>2</v>
      </c>
      <c r="C75" t="inlineStr">
        <is>
          <t>C</t>
        </is>
      </c>
      <c r="D75" t="n">
        <v>1</v>
      </c>
      <c r="E75" t="inlineStr">
        <is>
          <t>Ledger posting आणि balancing</t>
        </is>
      </c>
      <c r="F75" t="inlineStr">
        <is>
          <t>Foundational</t>
        </is>
      </c>
      <c r="G75" t="n">
        <v>402</v>
      </c>
    </row>
    <row r="76">
      <c r="A76" t="n">
        <v>4</v>
      </c>
      <c r="B76" t="n">
        <v>3</v>
      </c>
      <c r="C76" t="inlineStr">
        <is>
          <t>C</t>
        </is>
      </c>
      <c r="D76" t="n">
        <v>1</v>
      </c>
      <c r="E76" t="inlineStr">
        <is>
          <t>Ledger posting आणि balancing</t>
        </is>
      </c>
      <c r="F76" t="inlineStr">
        <is>
          <t>Foundational</t>
        </is>
      </c>
      <c r="G76" t="n">
        <v>403</v>
      </c>
    </row>
    <row r="77">
      <c r="A77" t="n">
        <v>4</v>
      </c>
      <c r="B77" t="n">
        <v>4</v>
      </c>
      <c r="C77" t="inlineStr">
        <is>
          <t>D</t>
        </is>
      </c>
      <c r="D77" t="n">
        <v>2</v>
      </c>
      <c r="E77" t="inlineStr">
        <is>
          <t>Cash Book (single/three column, contra)</t>
        </is>
      </c>
      <c r="F77" t="inlineStr">
        <is>
          <t>Foundational</t>
        </is>
      </c>
      <c r="G77" t="n">
        <v>404</v>
      </c>
    </row>
    <row r="78">
      <c r="A78" t="n">
        <v>4</v>
      </c>
      <c r="B78" t="n">
        <v>5</v>
      </c>
      <c r="C78" t="inlineStr">
        <is>
          <t>C</t>
        </is>
      </c>
      <c r="D78" t="n">
        <v>2</v>
      </c>
      <c r="E78" t="inlineStr">
        <is>
          <t>Cash Book (single/three column, contra)</t>
        </is>
      </c>
      <c r="F78" t="inlineStr">
        <is>
          <t>Foundational</t>
        </is>
      </c>
      <c r="G78" t="n">
        <v>405</v>
      </c>
    </row>
    <row r="79">
      <c r="A79" t="n">
        <v>4</v>
      </c>
      <c r="B79" t="n">
        <v>6</v>
      </c>
      <c r="C79" t="inlineStr">
        <is>
          <t>D</t>
        </is>
      </c>
      <c r="D79" t="n">
        <v>4</v>
      </c>
      <c r="E79" t="inlineStr">
        <is>
          <t>Trial Balance आणि errors</t>
        </is>
      </c>
      <c r="F79" t="inlineStr">
        <is>
          <t>Foundational</t>
        </is>
      </c>
      <c r="G79" t="n">
        <v>406</v>
      </c>
    </row>
    <row r="80">
      <c r="A80" t="n">
        <v>4</v>
      </c>
      <c r="B80" t="n">
        <v>7</v>
      </c>
      <c r="C80" t="inlineStr">
        <is>
          <t>C</t>
        </is>
      </c>
      <c r="D80" t="n">
        <v>4</v>
      </c>
      <c r="E80" t="inlineStr">
        <is>
          <t>Trial Balance आणि errors</t>
        </is>
      </c>
      <c r="F80" t="inlineStr">
        <is>
          <t>Foundational</t>
        </is>
      </c>
      <c r="G80" t="n">
        <v>407</v>
      </c>
    </row>
    <row r="81">
      <c r="A81" t="n">
        <v>4</v>
      </c>
      <c r="B81" t="n">
        <v>8</v>
      </c>
      <c r="C81" t="inlineStr">
        <is>
          <t>C</t>
        </is>
      </c>
      <c r="D81" t="n">
        <v>5</v>
      </c>
      <c r="E81" t="inlineStr">
        <is>
          <t>Subsidiary Books (Purchases/Sales/Returns)</t>
        </is>
      </c>
      <c r="F81" t="inlineStr">
        <is>
          <t>Foundational</t>
        </is>
      </c>
      <c r="G81" t="n">
        <v>408</v>
      </c>
    </row>
    <row r="82">
      <c r="A82" t="n">
        <v>4</v>
      </c>
      <c r="B82" t="n">
        <v>9</v>
      </c>
      <c r="C82" t="inlineStr">
        <is>
          <t>D</t>
        </is>
      </c>
      <c r="D82" t="n">
        <v>1</v>
      </c>
      <c r="E82" t="inlineStr">
        <is>
          <t>Ledger posting आणि balancing</t>
        </is>
      </c>
      <c r="F82" t="inlineStr">
        <is>
          <t>Intermediate</t>
        </is>
      </c>
      <c r="G82" t="n">
        <v>409</v>
      </c>
    </row>
    <row r="83">
      <c r="A83" t="n">
        <v>4</v>
      </c>
      <c r="B83" t="n">
        <v>10</v>
      </c>
      <c r="C83" t="inlineStr">
        <is>
          <t>D</t>
        </is>
      </c>
      <c r="D83" t="n">
        <v>1</v>
      </c>
      <c r="E83" t="inlineStr">
        <is>
          <t>Ledger posting आणि balancing</t>
        </is>
      </c>
      <c r="F83" t="inlineStr">
        <is>
          <t>Intermediate</t>
        </is>
      </c>
      <c r="G83" t="n">
        <v>410</v>
      </c>
    </row>
    <row r="84">
      <c r="A84" t="n">
        <v>4</v>
      </c>
      <c r="B84" t="n">
        <v>11</v>
      </c>
      <c r="C84" t="inlineStr">
        <is>
          <t>A</t>
        </is>
      </c>
      <c r="D84" t="n">
        <v>2</v>
      </c>
      <c r="E84" t="inlineStr">
        <is>
          <t>Cash Book (single/three column, contra)</t>
        </is>
      </c>
      <c r="F84" t="inlineStr">
        <is>
          <t>Intermediate</t>
        </is>
      </c>
      <c r="G84" t="n">
        <v>411</v>
      </c>
    </row>
    <row r="85">
      <c r="A85" t="n">
        <v>4</v>
      </c>
      <c r="B85" t="n">
        <v>12</v>
      </c>
      <c r="C85" t="inlineStr">
        <is>
          <t>D</t>
        </is>
      </c>
      <c r="D85" t="n">
        <v>2</v>
      </c>
      <c r="E85" t="inlineStr">
        <is>
          <t>Cash Book (single/three column, contra)</t>
        </is>
      </c>
      <c r="F85" t="inlineStr">
        <is>
          <t>Intermediate</t>
        </is>
      </c>
      <c r="G85" t="n">
        <v>412</v>
      </c>
    </row>
    <row r="86">
      <c r="A86" t="n">
        <v>4</v>
      </c>
      <c r="B86" t="n">
        <v>13</v>
      </c>
      <c r="C86" t="inlineStr">
        <is>
          <t>B</t>
        </is>
      </c>
      <c r="D86" t="n">
        <v>2</v>
      </c>
      <c r="E86" t="inlineStr">
        <is>
          <t>Cash Book (single/three column, contra)</t>
        </is>
      </c>
      <c r="F86" t="inlineStr">
        <is>
          <t>Intermediate</t>
        </is>
      </c>
      <c r="G86" t="n">
        <v>413</v>
      </c>
    </row>
    <row r="87">
      <c r="A87" t="n">
        <v>4</v>
      </c>
      <c r="B87" t="n">
        <v>14</v>
      </c>
      <c r="C87" t="inlineStr">
        <is>
          <t>C</t>
        </is>
      </c>
      <c r="D87" t="n">
        <v>3</v>
      </c>
      <c r="E87" t="inlineStr">
        <is>
          <t>Petty Cash / Imprest</t>
        </is>
      </c>
      <c r="F87" t="inlineStr">
        <is>
          <t>Intermediate</t>
        </is>
      </c>
      <c r="G87" t="n">
        <v>414</v>
      </c>
    </row>
    <row r="88">
      <c r="A88" t="n">
        <v>4</v>
      </c>
      <c r="B88" t="n">
        <v>15</v>
      </c>
      <c r="C88" t="inlineStr">
        <is>
          <t>B</t>
        </is>
      </c>
      <c r="D88" t="n">
        <v>4</v>
      </c>
      <c r="E88" t="inlineStr">
        <is>
          <t>Trial Balance आणि errors</t>
        </is>
      </c>
      <c r="F88" t="inlineStr">
        <is>
          <t>Intermediate</t>
        </is>
      </c>
      <c r="G88" t="n">
        <v>415</v>
      </c>
    </row>
    <row r="89">
      <c r="A89" t="n">
        <v>4</v>
      </c>
      <c r="B89" t="n">
        <v>16</v>
      </c>
      <c r="C89" t="inlineStr">
        <is>
          <t>A</t>
        </is>
      </c>
      <c r="D89" t="n">
        <v>4</v>
      </c>
      <c r="E89" t="inlineStr">
        <is>
          <t>Trial Balance आणि errors</t>
        </is>
      </c>
      <c r="F89" t="inlineStr">
        <is>
          <t>Intermediate</t>
        </is>
      </c>
      <c r="G89" t="n">
        <v>416</v>
      </c>
    </row>
    <row r="90">
      <c r="A90" t="n">
        <v>4</v>
      </c>
      <c r="B90" t="n">
        <v>17</v>
      </c>
      <c r="C90" t="inlineStr">
        <is>
          <t>B</t>
        </is>
      </c>
      <c r="D90" t="n">
        <v>5</v>
      </c>
      <c r="E90" t="inlineStr">
        <is>
          <t>Subsidiary Books (Purchases/Sales/Returns)</t>
        </is>
      </c>
      <c r="F90" t="inlineStr">
        <is>
          <t>Intermediate</t>
        </is>
      </c>
      <c r="G90" t="n">
        <v>417</v>
      </c>
    </row>
    <row r="91">
      <c r="A91" t="n">
        <v>4</v>
      </c>
      <c r="B91" t="n">
        <v>18</v>
      </c>
      <c r="C91" t="inlineStr">
        <is>
          <t>A</t>
        </is>
      </c>
      <c r="D91" t="n">
        <v>4</v>
      </c>
      <c r="E91" t="inlineStr">
        <is>
          <t>Trial Balance आणि errors</t>
        </is>
      </c>
      <c r="F91" t="inlineStr">
        <is>
          <t>Application</t>
        </is>
      </c>
      <c r="G91" t="n">
        <v>418</v>
      </c>
    </row>
    <row r="92">
      <c r="A92" t="n">
        <v>4</v>
      </c>
      <c r="B92" t="n">
        <v>19</v>
      </c>
      <c r="C92" t="inlineStr">
        <is>
          <t>B</t>
        </is>
      </c>
      <c r="D92" t="n">
        <v>4</v>
      </c>
      <c r="E92" t="inlineStr">
        <is>
          <t>Trial Balance आणि errors</t>
        </is>
      </c>
      <c r="F92" t="inlineStr">
        <is>
          <t>Application</t>
        </is>
      </c>
      <c r="G92" t="n">
        <v>419</v>
      </c>
    </row>
    <row r="93">
      <c r="A93" t="n">
        <v>4</v>
      </c>
      <c r="B93" t="n">
        <v>20</v>
      </c>
      <c r="C93" t="inlineStr">
        <is>
          <t>A</t>
        </is>
      </c>
      <c r="D93" t="n">
        <v>2</v>
      </c>
      <c r="E93" t="inlineStr">
        <is>
          <t>Cash Book (single/three column, contra)</t>
        </is>
      </c>
      <c r="F93" t="inlineStr">
        <is>
          <t>Application</t>
        </is>
      </c>
      <c r="G93" t="n">
        <v>420</v>
      </c>
    </row>
    <row r="94">
      <c r="A94" t="n">
        <v>4</v>
      </c>
      <c r="B94" t="n">
        <v>21</v>
      </c>
      <c r="C94" t="inlineStr">
        <is>
          <t>A</t>
        </is>
      </c>
      <c r="D94" t="n">
        <v>1</v>
      </c>
      <c r="E94" t="inlineStr">
        <is>
          <t>Ledger posting आणि balancing</t>
        </is>
      </c>
      <c r="F94" t="inlineStr">
        <is>
          <t>Application</t>
        </is>
      </c>
      <c r="G94" t="n">
        <v>421</v>
      </c>
    </row>
    <row r="95">
      <c r="A95" t="n">
        <v>4</v>
      </c>
      <c r="B95" t="n">
        <v>22</v>
      </c>
      <c r="C95" t="inlineStr">
        <is>
          <t>B</t>
        </is>
      </c>
      <c r="D95" t="n">
        <v>5</v>
      </c>
      <c r="E95" t="inlineStr">
        <is>
          <t>Subsidiary Books (Purchases/Sales/Returns)</t>
        </is>
      </c>
      <c r="F95" t="inlineStr">
        <is>
          <t>Application</t>
        </is>
      </c>
      <c r="G95" t="n">
        <v>422</v>
      </c>
    </row>
    <row r="96">
      <c r="A96" t="n">
        <v>4</v>
      </c>
      <c r="B96" t="n">
        <v>23</v>
      </c>
      <c r="C96" t="inlineStr">
        <is>
          <t>A</t>
        </is>
      </c>
      <c r="D96" t="n">
        <v>3</v>
      </c>
      <c r="E96" t="inlineStr">
        <is>
          <t>Petty Cash / Imprest</t>
        </is>
      </c>
      <c r="F96" t="inlineStr">
        <is>
          <t>Application</t>
        </is>
      </c>
      <c r="G96" t="n">
        <v>423</v>
      </c>
    </row>
    <row r="97">
      <c r="A97" t="n">
        <v>4</v>
      </c>
      <c r="B97" t="n">
        <v>24</v>
      </c>
      <c r="C97" t="inlineStr">
        <is>
          <t>B</t>
        </is>
      </c>
      <c r="D97" t="n">
        <v>4</v>
      </c>
      <c r="E97" t="inlineStr">
        <is>
          <t>Trial Balance आणि errors</t>
        </is>
      </c>
      <c r="F97" t="inlineStr">
        <is>
          <t>Application</t>
        </is>
      </c>
      <c r="G97" t="n">
        <v>424</v>
      </c>
    </row>
    <row r="98">
      <c r="A98" t="n">
        <v>5</v>
      </c>
      <c r="B98" t="n">
        <v>1</v>
      </c>
      <c r="C98" t="inlineStr">
        <is>
          <t>C</t>
        </is>
      </c>
      <c r="D98" t="n">
        <v>1</v>
      </c>
      <c r="E98" t="inlineStr">
        <is>
          <t>Bank Reconciliation Statement (BRS)</t>
        </is>
      </c>
      <c r="F98" t="inlineStr">
        <is>
          <t>Foundational</t>
        </is>
      </c>
      <c r="G98" t="n">
        <v>501</v>
      </c>
    </row>
    <row r="99">
      <c r="A99" t="n">
        <v>5</v>
      </c>
      <c r="B99" t="n">
        <v>2</v>
      </c>
      <c r="C99" t="inlineStr">
        <is>
          <t>A</t>
        </is>
      </c>
      <c r="D99" t="n">
        <v>1</v>
      </c>
      <c r="E99" t="inlineStr">
        <is>
          <t>Bank Reconciliation Statement (BRS)</t>
        </is>
      </c>
      <c r="F99" t="inlineStr">
        <is>
          <t>Foundational</t>
        </is>
      </c>
      <c r="G99" t="n">
        <v>502</v>
      </c>
    </row>
    <row r="100">
      <c r="A100" t="n">
        <v>5</v>
      </c>
      <c r="B100" t="n">
        <v>3</v>
      </c>
      <c r="C100" t="inlineStr">
        <is>
          <t>D</t>
        </is>
      </c>
      <c r="D100" t="n">
        <v>2</v>
      </c>
      <c r="E100" t="inlineStr">
        <is>
          <t>Depreciation (SLM / WDV)</t>
        </is>
      </c>
      <c r="F100" t="inlineStr">
        <is>
          <t>Foundational</t>
        </is>
      </c>
      <c r="G100" t="n">
        <v>503</v>
      </c>
    </row>
    <row r="101">
      <c r="A101" t="n">
        <v>5</v>
      </c>
      <c r="B101" t="n">
        <v>4</v>
      </c>
      <c r="C101" t="inlineStr">
        <is>
          <t>B</t>
        </is>
      </c>
      <c r="D101" t="n">
        <v>2</v>
      </c>
      <c r="E101" t="inlineStr">
        <is>
          <t>Depreciation (SLM / WDV)</t>
        </is>
      </c>
      <c r="F101" t="inlineStr">
        <is>
          <t>Foundational</t>
        </is>
      </c>
      <c r="G101" t="n">
        <v>504</v>
      </c>
    </row>
    <row r="102">
      <c r="A102" t="n">
        <v>5</v>
      </c>
      <c r="B102" t="n">
        <v>5</v>
      </c>
      <c r="C102" t="inlineStr">
        <is>
          <t>A</t>
        </is>
      </c>
      <c r="D102" t="n">
        <v>3</v>
      </c>
      <c r="E102" t="inlineStr">
        <is>
          <t>Trading Account</t>
        </is>
      </c>
      <c r="F102" t="inlineStr">
        <is>
          <t>Foundational</t>
        </is>
      </c>
      <c r="G102" t="n">
        <v>505</v>
      </c>
    </row>
    <row r="103">
      <c r="A103" t="n">
        <v>5</v>
      </c>
      <c r="B103" t="n">
        <v>6</v>
      </c>
      <c r="C103" t="inlineStr">
        <is>
          <t>D</t>
        </is>
      </c>
      <c r="D103" t="n">
        <v>4</v>
      </c>
      <c r="E103" t="inlineStr">
        <is>
          <t>Profit &amp; Loss Account</t>
        </is>
      </c>
      <c r="F103" t="inlineStr">
        <is>
          <t>Foundational</t>
        </is>
      </c>
      <c r="G103" t="n">
        <v>506</v>
      </c>
    </row>
    <row r="104">
      <c r="A104" t="n">
        <v>5</v>
      </c>
      <c r="B104" t="n">
        <v>7</v>
      </c>
      <c r="C104" t="inlineStr">
        <is>
          <t>B</t>
        </is>
      </c>
      <c r="D104" t="n">
        <v>5</v>
      </c>
      <c r="E104" t="inlineStr">
        <is>
          <t>Balance Sheet</t>
        </is>
      </c>
      <c r="F104" t="inlineStr">
        <is>
          <t>Foundational</t>
        </is>
      </c>
      <c r="G104" t="n">
        <v>507</v>
      </c>
    </row>
    <row r="105">
      <c r="A105" t="n">
        <v>5</v>
      </c>
      <c r="B105" t="n">
        <v>8</v>
      </c>
      <c r="C105" t="inlineStr">
        <is>
          <t>C</t>
        </is>
      </c>
      <c r="D105" t="n">
        <v>3</v>
      </c>
      <c r="E105" t="inlineStr">
        <is>
          <t>Trading Account</t>
        </is>
      </c>
      <c r="F105" t="inlineStr">
        <is>
          <t>Foundational</t>
        </is>
      </c>
      <c r="G105" t="n">
        <v>508</v>
      </c>
    </row>
    <row r="106">
      <c r="A106" t="n">
        <v>5</v>
      </c>
      <c r="B106" t="n">
        <v>9</v>
      </c>
      <c r="C106" t="inlineStr">
        <is>
          <t>D</t>
        </is>
      </c>
      <c r="D106" t="n">
        <v>1</v>
      </c>
      <c r="E106" t="inlineStr">
        <is>
          <t>Bank Reconciliation Statement (BRS)</t>
        </is>
      </c>
      <c r="F106" t="inlineStr">
        <is>
          <t>Intermediate</t>
        </is>
      </c>
      <c r="G106" t="n">
        <v>509</v>
      </c>
    </row>
    <row r="107">
      <c r="A107" t="n">
        <v>5</v>
      </c>
      <c r="B107" t="n">
        <v>10</v>
      </c>
      <c r="C107" t="inlineStr">
        <is>
          <t>A</t>
        </is>
      </c>
      <c r="D107" t="n">
        <v>1</v>
      </c>
      <c r="E107" t="inlineStr">
        <is>
          <t>Bank Reconciliation Statement (BRS)</t>
        </is>
      </c>
      <c r="F107" t="inlineStr">
        <is>
          <t>Intermediate</t>
        </is>
      </c>
      <c r="G107" t="n">
        <v>510</v>
      </c>
    </row>
    <row r="108">
      <c r="A108" t="n">
        <v>5</v>
      </c>
      <c r="B108" t="n">
        <v>11</v>
      </c>
      <c r="C108" t="inlineStr">
        <is>
          <t>C</t>
        </is>
      </c>
      <c r="D108" t="n">
        <v>2</v>
      </c>
      <c r="E108" t="inlineStr">
        <is>
          <t>Depreciation (SLM / WDV)</t>
        </is>
      </c>
      <c r="F108" t="inlineStr">
        <is>
          <t>Intermediate</t>
        </is>
      </c>
      <c r="G108" t="n">
        <v>511</v>
      </c>
    </row>
    <row r="109">
      <c r="A109" t="n">
        <v>5</v>
      </c>
      <c r="B109" t="n">
        <v>12</v>
      </c>
      <c r="C109" t="inlineStr">
        <is>
          <t>B</t>
        </is>
      </c>
      <c r="D109" t="n">
        <v>2</v>
      </c>
      <c r="E109" t="inlineStr">
        <is>
          <t>Depreciation (SLM / WDV)</t>
        </is>
      </c>
      <c r="F109" t="inlineStr">
        <is>
          <t>Intermediate</t>
        </is>
      </c>
      <c r="G109" t="n">
        <v>512</v>
      </c>
    </row>
    <row r="110">
      <c r="A110" t="n">
        <v>5</v>
      </c>
      <c r="B110" t="n">
        <v>13</v>
      </c>
      <c r="C110" t="inlineStr">
        <is>
          <t>A</t>
        </is>
      </c>
      <c r="D110" t="n">
        <v>3</v>
      </c>
      <c r="E110" t="inlineStr">
        <is>
          <t>Trading Account</t>
        </is>
      </c>
      <c r="F110" t="inlineStr">
        <is>
          <t>Intermediate</t>
        </is>
      </c>
      <c r="G110" t="n">
        <v>513</v>
      </c>
    </row>
    <row r="111">
      <c r="A111" t="n">
        <v>5</v>
      </c>
      <c r="B111" t="n">
        <v>14</v>
      </c>
      <c r="C111" t="inlineStr">
        <is>
          <t>D</t>
        </is>
      </c>
      <c r="D111" t="n">
        <v>4</v>
      </c>
      <c r="E111" t="inlineStr">
        <is>
          <t>Profit &amp; Loss Account</t>
        </is>
      </c>
      <c r="F111" t="inlineStr">
        <is>
          <t>Intermediate</t>
        </is>
      </c>
      <c r="G111" t="n">
        <v>514</v>
      </c>
    </row>
    <row r="112">
      <c r="A112" t="n">
        <v>5</v>
      </c>
      <c r="B112" t="n">
        <v>15</v>
      </c>
      <c r="C112" t="inlineStr">
        <is>
          <t>B</t>
        </is>
      </c>
      <c r="D112" t="n">
        <v>6</v>
      </c>
      <c r="E112" t="inlineStr">
        <is>
          <t>Adjustments (Outstanding, Prepaid, Bad debts)</t>
        </is>
      </c>
      <c r="F112" t="inlineStr">
        <is>
          <t>Intermediate</t>
        </is>
      </c>
      <c r="G112" t="n">
        <v>515</v>
      </c>
    </row>
    <row r="113">
      <c r="A113" t="n">
        <v>5</v>
      </c>
      <c r="B113" t="n">
        <v>16</v>
      </c>
      <c r="C113" t="inlineStr">
        <is>
          <t>C</t>
        </is>
      </c>
      <c r="D113" t="n">
        <v>6</v>
      </c>
      <c r="E113" t="inlineStr">
        <is>
          <t>Adjustments (Outstanding, Prepaid, Bad debts)</t>
        </is>
      </c>
      <c r="F113" t="inlineStr">
        <is>
          <t>Intermediate</t>
        </is>
      </c>
      <c r="G113" t="n">
        <v>516</v>
      </c>
    </row>
    <row r="114">
      <c r="A114" t="n">
        <v>5</v>
      </c>
      <c r="B114" t="n">
        <v>17</v>
      </c>
      <c r="C114" t="inlineStr">
        <is>
          <t>A</t>
        </is>
      </c>
      <c r="D114" t="n">
        <v>5</v>
      </c>
      <c r="E114" t="inlineStr">
        <is>
          <t>Balance Sheet</t>
        </is>
      </c>
      <c r="F114" t="inlineStr">
        <is>
          <t>Intermediate</t>
        </is>
      </c>
      <c r="G114" t="n">
        <v>517</v>
      </c>
    </row>
    <row r="115">
      <c r="A115" t="n">
        <v>5</v>
      </c>
      <c r="B115" t="n">
        <v>18</v>
      </c>
      <c r="C115" t="inlineStr">
        <is>
          <t>B</t>
        </is>
      </c>
      <c r="D115" t="n">
        <v>6</v>
      </c>
      <c r="E115" t="inlineStr">
        <is>
          <t>Adjustments (Outstanding, Prepaid, Bad debts)</t>
        </is>
      </c>
      <c r="F115" t="inlineStr">
        <is>
          <t>Application</t>
        </is>
      </c>
      <c r="G115" t="n">
        <v>518</v>
      </c>
    </row>
    <row r="116">
      <c r="A116" t="n">
        <v>5</v>
      </c>
      <c r="B116" t="n">
        <v>19</v>
      </c>
      <c r="C116" t="inlineStr">
        <is>
          <t>D</t>
        </is>
      </c>
      <c r="D116" t="n">
        <v>2</v>
      </c>
      <c r="E116" t="inlineStr">
        <is>
          <t>Depreciation (SLM / WDV)</t>
        </is>
      </c>
      <c r="F116" t="inlineStr">
        <is>
          <t>Application</t>
        </is>
      </c>
      <c r="G116" t="n">
        <v>519</v>
      </c>
    </row>
    <row r="117">
      <c r="A117" t="n">
        <v>5</v>
      </c>
      <c r="B117" t="n">
        <v>20</v>
      </c>
      <c r="C117" t="inlineStr">
        <is>
          <t>C</t>
        </is>
      </c>
      <c r="D117" t="n">
        <v>1</v>
      </c>
      <c r="E117" t="inlineStr">
        <is>
          <t>Bank Reconciliation Statement (BRS)</t>
        </is>
      </c>
      <c r="F117" t="inlineStr">
        <is>
          <t>Application</t>
        </is>
      </c>
      <c r="G117" t="n">
        <v>520</v>
      </c>
    </row>
    <row r="118">
      <c r="A118" t="n">
        <v>5</v>
      </c>
      <c r="B118" t="n">
        <v>21</v>
      </c>
      <c r="C118" t="inlineStr">
        <is>
          <t>A</t>
        </is>
      </c>
      <c r="D118" t="n">
        <v>4</v>
      </c>
      <c r="E118" t="inlineStr">
        <is>
          <t>Profit &amp; Loss Account</t>
        </is>
      </c>
      <c r="F118" t="inlineStr">
        <is>
          <t>Application</t>
        </is>
      </c>
      <c r="G118" t="n">
        <v>521</v>
      </c>
    </row>
    <row r="119">
      <c r="A119" t="n">
        <v>5</v>
      </c>
      <c r="B119" t="n">
        <v>22</v>
      </c>
      <c r="C119" t="inlineStr">
        <is>
          <t>D</t>
        </is>
      </c>
      <c r="D119" t="n">
        <v>5</v>
      </c>
      <c r="E119" t="inlineStr">
        <is>
          <t>Balance Sheet</t>
        </is>
      </c>
      <c r="F119" t="inlineStr">
        <is>
          <t>Application</t>
        </is>
      </c>
      <c r="G119" t="n">
        <v>522</v>
      </c>
    </row>
    <row r="120">
      <c r="A120" t="n">
        <v>5</v>
      </c>
      <c r="B120" t="n">
        <v>23</v>
      </c>
      <c r="C120" t="inlineStr">
        <is>
          <t>B</t>
        </is>
      </c>
      <c r="D120" t="n">
        <v>3</v>
      </c>
      <c r="E120" t="inlineStr">
        <is>
          <t>Trading Account</t>
        </is>
      </c>
      <c r="F120" t="inlineStr">
        <is>
          <t>Application</t>
        </is>
      </c>
      <c r="G120" t="n">
        <v>523</v>
      </c>
    </row>
    <row r="121">
      <c r="A121" t="n">
        <v>5</v>
      </c>
      <c r="B121" t="n">
        <v>24</v>
      </c>
      <c r="C121" t="inlineStr">
        <is>
          <t>C</t>
        </is>
      </c>
      <c r="D121" t="n">
        <v>2</v>
      </c>
      <c r="E121" t="inlineStr">
        <is>
          <t>Depreciation (SLM / WDV)</t>
        </is>
      </c>
      <c r="F121" t="inlineStr">
        <is>
          <t>Application</t>
        </is>
      </c>
      <c r="G121" t="n">
        <v>524</v>
      </c>
    </row>
    <row r="122">
      <c r="A122" t="n">
        <v>6</v>
      </c>
      <c r="B122" t="n">
        <v>1</v>
      </c>
      <c r="C122" t="inlineStr">
        <is>
          <t>B</t>
        </is>
      </c>
      <c r="D122" t="n">
        <v>1</v>
      </c>
      <c r="E122" t="inlineStr">
        <is>
          <t>GST रचना आणि दर</t>
        </is>
      </c>
      <c r="F122" t="inlineStr">
        <is>
          <t>Foundational</t>
        </is>
      </c>
      <c r="G122" t="n">
        <v>601</v>
      </c>
    </row>
    <row r="123">
      <c r="A123" t="n">
        <v>6</v>
      </c>
      <c r="B123" t="n">
        <v>2</v>
      </c>
      <c r="C123" t="inlineStr">
        <is>
          <t>D</t>
        </is>
      </c>
      <c r="D123" t="n">
        <v>1</v>
      </c>
      <c r="E123" t="inlineStr">
        <is>
          <t>GST रचना आणि दर</t>
        </is>
      </c>
      <c r="F123" t="inlineStr">
        <is>
          <t>Foundational</t>
        </is>
      </c>
      <c r="G123" t="n">
        <v>602</v>
      </c>
    </row>
    <row r="124">
      <c r="A124" t="n">
        <v>6</v>
      </c>
      <c r="B124" t="n">
        <v>3</v>
      </c>
      <c r="C124" t="inlineStr">
        <is>
          <t>A</t>
        </is>
      </c>
      <c r="D124" t="n">
        <v>1</v>
      </c>
      <c r="E124" t="inlineStr">
        <is>
          <t>GST रचना आणि दर</t>
        </is>
      </c>
      <c r="F124" t="inlineStr">
        <is>
          <t>Foundational</t>
        </is>
      </c>
      <c r="G124" t="n">
        <v>603</v>
      </c>
    </row>
    <row r="125">
      <c r="A125" t="n">
        <v>6</v>
      </c>
      <c r="B125" t="n">
        <v>4</v>
      </c>
      <c r="C125" t="inlineStr">
        <is>
          <t>C</t>
        </is>
      </c>
      <c r="D125" t="n">
        <v>1</v>
      </c>
      <c r="E125" t="inlineStr">
        <is>
          <t>GST रचना आणि दर</t>
        </is>
      </c>
      <c r="F125" t="inlineStr">
        <is>
          <t>Foundational</t>
        </is>
      </c>
      <c r="G125" t="n">
        <v>604</v>
      </c>
    </row>
    <row r="126">
      <c r="A126" t="n">
        <v>6</v>
      </c>
      <c r="B126" t="n">
        <v>5</v>
      </c>
      <c r="C126" t="inlineStr">
        <is>
          <t>B</t>
        </is>
      </c>
      <c r="D126" t="n">
        <v>2</v>
      </c>
      <c r="E126" t="inlineStr">
        <is>
          <t>GST गणना आणि ITC</t>
        </is>
      </c>
      <c r="F126" t="inlineStr">
        <is>
          <t>Foundational</t>
        </is>
      </c>
      <c r="G126" t="n">
        <v>605</v>
      </c>
    </row>
    <row r="127">
      <c r="A127" t="n">
        <v>6</v>
      </c>
      <c r="B127" t="n">
        <v>6</v>
      </c>
      <c r="C127" t="inlineStr">
        <is>
          <t>D</t>
        </is>
      </c>
      <c r="D127" t="n">
        <v>3</v>
      </c>
      <c r="E127" t="inlineStr">
        <is>
          <t>GST documents/returns</t>
        </is>
      </c>
      <c r="F127" t="inlineStr">
        <is>
          <t>Foundational</t>
        </is>
      </c>
      <c r="G127" t="n">
        <v>606</v>
      </c>
    </row>
    <row r="128">
      <c r="A128" t="n">
        <v>6</v>
      </c>
      <c r="B128" t="n">
        <v>7</v>
      </c>
      <c r="C128" t="inlineStr">
        <is>
          <t>A</t>
        </is>
      </c>
      <c r="D128" t="n">
        <v>4</v>
      </c>
      <c r="E128" t="inlineStr">
        <is>
          <t>TDS</t>
        </is>
      </c>
      <c r="F128" t="inlineStr">
        <is>
          <t>Foundational</t>
        </is>
      </c>
      <c r="G128" t="n">
        <v>607</v>
      </c>
    </row>
    <row r="129">
      <c r="A129" t="n">
        <v>6</v>
      </c>
      <c r="B129" t="n">
        <v>8</v>
      </c>
      <c r="C129" t="inlineStr">
        <is>
          <t>C</t>
        </is>
      </c>
      <c r="D129" t="n">
        <v>5</v>
      </c>
      <c r="E129" t="inlineStr">
        <is>
          <t>Income Tax basics</t>
        </is>
      </c>
      <c r="F129" t="inlineStr">
        <is>
          <t>Foundational</t>
        </is>
      </c>
      <c r="G129" t="n">
        <v>608</v>
      </c>
    </row>
    <row r="130">
      <c r="A130" t="n">
        <v>6</v>
      </c>
      <c r="B130" t="n">
        <v>9</v>
      </c>
      <c r="C130" t="inlineStr">
        <is>
          <t>D</t>
        </is>
      </c>
      <c r="D130" t="n">
        <v>2</v>
      </c>
      <c r="E130" t="inlineStr">
        <is>
          <t>GST गणना आणि ITC</t>
        </is>
      </c>
      <c r="F130" t="inlineStr">
        <is>
          <t>Intermediate</t>
        </is>
      </c>
      <c r="G130" t="n">
        <v>609</v>
      </c>
    </row>
    <row r="131">
      <c r="A131" t="n">
        <v>6</v>
      </c>
      <c r="B131" t="n">
        <v>10</v>
      </c>
      <c r="C131" t="inlineStr">
        <is>
          <t>B</t>
        </is>
      </c>
      <c r="D131" t="n">
        <v>2</v>
      </c>
      <c r="E131" t="inlineStr">
        <is>
          <t>GST गणना आणि ITC</t>
        </is>
      </c>
      <c r="F131" t="inlineStr">
        <is>
          <t>Intermediate</t>
        </is>
      </c>
      <c r="G131" t="n">
        <v>610</v>
      </c>
    </row>
    <row r="132">
      <c r="A132" t="n">
        <v>6</v>
      </c>
      <c r="B132" t="n">
        <v>11</v>
      </c>
      <c r="C132" t="inlineStr">
        <is>
          <t>A</t>
        </is>
      </c>
      <c r="D132" t="n">
        <v>2</v>
      </c>
      <c r="E132" t="inlineStr">
        <is>
          <t>GST गणना आणि ITC</t>
        </is>
      </c>
      <c r="F132" t="inlineStr">
        <is>
          <t>Intermediate</t>
        </is>
      </c>
      <c r="G132" t="n">
        <v>611</v>
      </c>
    </row>
    <row r="133">
      <c r="A133" t="n">
        <v>6</v>
      </c>
      <c r="B133" t="n">
        <v>12</v>
      </c>
      <c r="C133" t="inlineStr">
        <is>
          <t>C</t>
        </is>
      </c>
      <c r="D133" t="n">
        <v>2</v>
      </c>
      <c r="E133" t="inlineStr">
        <is>
          <t>GST गणना आणि ITC</t>
        </is>
      </c>
      <c r="F133" t="inlineStr">
        <is>
          <t>Intermediate</t>
        </is>
      </c>
      <c r="G133" t="n">
        <v>612</v>
      </c>
    </row>
    <row r="134">
      <c r="A134" t="n">
        <v>6</v>
      </c>
      <c r="B134" t="n">
        <v>13</v>
      </c>
      <c r="C134" t="inlineStr">
        <is>
          <t>D</t>
        </is>
      </c>
      <c r="D134" t="n">
        <v>3</v>
      </c>
      <c r="E134" t="inlineStr">
        <is>
          <t>GST documents/returns</t>
        </is>
      </c>
      <c r="F134" t="inlineStr">
        <is>
          <t>Intermediate</t>
        </is>
      </c>
      <c r="G134" t="n">
        <v>613</v>
      </c>
    </row>
    <row r="135">
      <c r="A135" t="n">
        <v>6</v>
      </c>
      <c r="B135" t="n">
        <v>14</v>
      </c>
      <c r="C135" t="inlineStr">
        <is>
          <t>A</t>
        </is>
      </c>
      <c r="D135" t="n">
        <v>2</v>
      </c>
      <c r="E135" t="inlineStr">
        <is>
          <t>GST गणना आणि ITC</t>
        </is>
      </c>
      <c r="F135" t="inlineStr">
        <is>
          <t>Intermediate</t>
        </is>
      </c>
      <c r="G135" t="n">
        <v>614</v>
      </c>
    </row>
    <row r="136">
      <c r="A136" t="n">
        <v>6</v>
      </c>
      <c r="B136" t="n">
        <v>15</v>
      </c>
      <c r="C136" t="inlineStr">
        <is>
          <t>B</t>
        </is>
      </c>
      <c r="D136" t="n">
        <v>4</v>
      </c>
      <c r="E136" t="inlineStr">
        <is>
          <t>TDS</t>
        </is>
      </c>
      <c r="F136" t="inlineStr">
        <is>
          <t>Intermediate</t>
        </is>
      </c>
      <c r="G136" t="n">
        <v>615</v>
      </c>
    </row>
    <row r="137">
      <c r="A137" t="n">
        <v>6</v>
      </c>
      <c r="B137" t="n">
        <v>16</v>
      </c>
      <c r="C137" t="inlineStr">
        <is>
          <t>C</t>
        </is>
      </c>
      <c r="D137" t="n">
        <v>4</v>
      </c>
      <c r="E137" t="inlineStr">
        <is>
          <t>TDS</t>
        </is>
      </c>
      <c r="F137" t="inlineStr">
        <is>
          <t>Intermediate</t>
        </is>
      </c>
      <c r="G137" t="n">
        <v>616</v>
      </c>
    </row>
    <row r="138">
      <c r="A138" t="n">
        <v>6</v>
      </c>
      <c r="B138" t="n">
        <v>17</v>
      </c>
      <c r="C138" t="inlineStr">
        <is>
          <t>B</t>
        </is>
      </c>
      <c r="D138" t="n">
        <v>5</v>
      </c>
      <c r="E138" t="inlineStr">
        <is>
          <t>Income Tax basics</t>
        </is>
      </c>
      <c r="F138" t="inlineStr">
        <is>
          <t>Intermediate</t>
        </is>
      </c>
      <c r="G138" t="n">
        <v>617</v>
      </c>
    </row>
    <row r="139">
      <c r="A139" t="n">
        <v>6</v>
      </c>
      <c r="B139" t="n">
        <v>18</v>
      </c>
      <c r="C139" t="inlineStr">
        <is>
          <t>A</t>
        </is>
      </c>
      <c r="D139" t="n">
        <v>2</v>
      </c>
      <c r="E139" t="inlineStr">
        <is>
          <t>GST गणना आणि ITC</t>
        </is>
      </c>
      <c r="F139" t="inlineStr">
        <is>
          <t>Application</t>
        </is>
      </c>
      <c r="G139" t="n">
        <v>618</v>
      </c>
    </row>
    <row r="140">
      <c r="A140" t="n">
        <v>6</v>
      </c>
      <c r="B140" t="n">
        <v>19</v>
      </c>
      <c r="C140" t="inlineStr">
        <is>
          <t>D</t>
        </is>
      </c>
      <c r="D140" t="n">
        <v>2</v>
      </c>
      <c r="E140" t="inlineStr">
        <is>
          <t>GST गणना आणि ITC</t>
        </is>
      </c>
      <c r="F140" t="inlineStr">
        <is>
          <t>Application</t>
        </is>
      </c>
      <c r="G140" t="n">
        <v>619</v>
      </c>
    </row>
    <row r="141">
      <c r="A141" t="n">
        <v>6</v>
      </c>
      <c r="B141" t="n">
        <v>20</v>
      </c>
      <c r="C141" t="inlineStr">
        <is>
          <t>C</t>
        </is>
      </c>
      <c r="D141" t="n">
        <v>4</v>
      </c>
      <c r="E141" t="inlineStr">
        <is>
          <t>TDS</t>
        </is>
      </c>
      <c r="F141" t="inlineStr">
        <is>
          <t>Application</t>
        </is>
      </c>
      <c r="G141" t="n">
        <v>620</v>
      </c>
    </row>
    <row r="142">
      <c r="A142" t="n">
        <v>6</v>
      </c>
      <c r="B142" t="n">
        <v>21</v>
      </c>
      <c r="C142" t="inlineStr">
        <is>
          <t>B</t>
        </is>
      </c>
      <c r="D142" t="n">
        <v>1</v>
      </c>
      <c r="E142" t="inlineStr">
        <is>
          <t>GST रचना आणि दर</t>
        </is>
      </c>
      <c r="F142" t="inlineStr">
        <is>
          <t>Application</t>
        </is>
      </c>
      <c r="G142" t="n">
        <v>621</v>
      </c>
    </row>
    <row r="143">
      <c r="A143" t="n">
        <v>6</v>
      </c>
      <c r="B143" t="n">
        <v>22</v>
      </c>
      <c r="C143" t="inlineStr">
        <is>
          <t>A</t>
        </is>
      </c>
      <c r="D143" t="n">
        <v>2</v>
      </c>
      <c r="E143" t="inlineStr">
        <is>
          <t>GST गणना आणि ITC</t>
        </is>
      </c>
      <c r="F143" t="inlineStr">
        <is>
          <t>Application</t>
        </is>
      </c>
      <c r="G143" t="n">
        <v>622</v>
      </c>
    </row>
    <row r="144">
      <c r="A144" t="n">
        <v>6</v>
      </c>
      <c r="B144" t="n">
        <v>23</v>
      </c>
      <c r="C144" t="inlineStr">
        <is>
          <t>D</t>
        </is>
      </c>
      <c r="D144" t="n">
        <v>5</v>
      </c>
      <c r="E144" t="inlineStr">
        <is>
          <t>Income Tax basics</t>
        </is>
      </c>
      <c r="F144" t="inlineStr">
        <is>
          <t>Application</t>
        </is>
      </c>
      <c r="G144" t="n">
        <v>623</v>
      </c>
    </row>
    <row r="145">
      <c r="A145" t="n">
        <v>6</v>
      </c>
      <c r="B145" t="n">
        <v>24</v>
      </c>
      <c r="C145" t="inlineStr">
        <is>
          <t>C</t>
        </is>
      </c>
      <c r="D145" t="n">
        <v>5</v>
      </c>
      <c r="E145" t="inlineStr">
        <is>
          <t>Income Tax basics</t>
        </is>
      </c>
      <c r="F145" t="inlineStr">
        <is>
          <t>Application</t>
        </is>
      </c>
      <c r="G145" t="n">
        <v>624</v>
      </c>
    </row>
    <row r="146">
      <c r="A146" t="n">
        <v>7</v>
      </c>
      <c r="B146" t="n">
        <v>1</v>
      </c>
      <c r="C146" t="inlineStr">
        <is>
          <t>D</t>
        </is>
      </c>
      <c r="D146" t="n">
        <v>1</v>
      </c>
      <c r="E146" t="inlineStr">
        <is>
          <t>Budget basics</t>
        </is>
      </c>
      <c r="F146" t="inlineStr">
        <is>
          <t>Foundational</t>
        </is>
      </c>
      <c r="G146" t="n">
        <v>701</v>
      </c>
    </row>
    <row r="147">
      <c r="A147" t="n">
        <v>7</v>
      </c>
      <c r="B147" t="n">
        <v>2</v>
      </c>
      <c r="C147" t="inlineStr">
        <is>
          <t>A</t>
        </is>
      </c>
      <c r="D147" t="n">
        <v>4</v>
      </c>
      <c r="E147" t="inlineStr">
        <is>
          <t>Government Budget concepts (deficits, Articles)</t>
        </is>
      </c>
      <c r="F147" t="inlineStr">
        <is>
          <t>Foundational</t>
        </is>
      </c>
      <c r="G147" t="n">
        <v>702</v>
      </c>
    </row>
    <row r="148">
      <c r="A148" t="n">
        <v>7</v>
      </c>
      <c r="B148" t="n">
        <v>3</v>
      </c>
      <c r="C148" t="inlineStr">
        <is>
          <t>C</t>
        </is>
      </c>
      <c r="D148" t="n">
        <v>2</v>
      </c>
      <c r="E148" t="inlineStr">
        <is>
          <t>Capital vs Revenue (expenditure/receipts)</t>
        </is>
      </c>
      <c r="F148" t="inlineStr">
        <is>
          <t>Foundational</t>
        </is>
      </c>
      <c r="G148" t="n">
        <v>703</v>
      </c>
    </row>
    <row r="149">
      <c r="A149" t="n">
        <v>7</v>
      </c>
      <c r="B149" t="n">
        <v>4</v>
      </c>
      <c r="C149" t="inlineStr">
        <is>
          <t>B</t>
        </is>
      </c>
      <c r="D149" t="n">
        <v>2</v>
      </c>
      <c r="E149" t="inlineStr">
        <is>
          <t>Capital vs Revenue (expenditure/receipts)</t>
        </is>
      </c>
      <c r="F149" t="inlineStr">
        <is>
          <t>Foundational</t>
        </is>
      </c>
      <c r="G149" t="n">
        <v>704</v>
      </c>
    </row>
    <row r="150">
      <c r="A150" t="n">
        <v>7</v>
      </c>
      <c r="B150" t="n">
        <v>5</v>
      </c>
      <c r="C150" t="inlineStr">
        <is>
          <t>A</t>
        </is>
      </c>
      <c r="D150" t="n">
        <v>4</v>
      </c>
      <c r="E150" t="inlineStr">
        <is>
          <t>Government Budget concepts (deficits, Articles)</t>
        </is>
      </c>
      <c r="F150" t="inlineStr">
        <is>
          <t>Foundational</t>
        </is>
      </c>
      <c r="G150" t="n">
        <v>705</v>
      </c>
    </row>
    <row r="151">
      <c r="A151" t="n">
        <v>7</v>
      </c>
      <c r="B151" t="n">
        <v>6</v>
      </c>
      <c r="C151" t="inlineStr">
        <is>
          <t>C</t>
        </is>
      </c>
      <c r="D151" t="n">
        <v>5</v>
      </c>
      <c r="E151" t="inlineStr">
        <is>
          <t>Financial discipline आणि internal control</t>
        </is>
      </c>
      <c r="F151" t="inlineStr">
        <is>
          <t>Foundational</t>
        </is>
      </c>
      <c r="G151" t="n">
        <v>706</v>
      </c>
    </row>
    <row r="152">
      <c r="A152" t="n">
        <v>7</v>
      </c>
      <c r="B152" t="n">
        <v>7</v>
      </c>
      <c r="C152" t="inlineStr">
        <is>
          <t>D</t>
        </is>
      </c>
      <c r="D152" t="n">
        <v>5</v>
      </c>
      <c r="E152" t="inlineStr">
        <is>
          <t>Financial discipline आणि internal control</t>
        </is>
      </c>
      <c r="F152" t="inlineStr">
        <is>
          <t>Foundational</t>
        </is>
      </c>
      <c r="G152" t="n">
        <v>707</v>
      </c>
    </row>
    <row r="153">
      <c r="A153" t="n">
        <v>7</v>
      </c>
      <c r="B153" t="n">
        <v>8</v>
      </c>
      <c r="C153" t="inlineStr">
        <is>
          <t>B</t>
        </is>
      </c>
      <c r="D153" t="n">
        <v>3</v>
      </c>
      <c r="E153" t="inlineStr">
        <is>
          <t>Budget variance आणि utilisation</t>
        </is>
      </c>
      <c r="F153" t="inlineStr">
        <is>
          <t>Foundational</t>
        </is>
      </c>
      <c r="G153" t="n">
        <v>708</v>
      </c>
    </row>
    <row r="154">
      <c r="A154" t="n">
        <v>7</v>
      </c>
      <c r="B154" t="n">
        <v>9</v>
      </c>
      <c r="C154" t="inlineStr">
        <is>
          <t>B</t>
        </is>
      </c>
      <c r="D154" t="n">
        <v>3</v>
      </c>
      <c r="E154" t="inlineStr">
        <is>
          <t>Budget variance आणि utilisation</t>
        </is>
      </c>
      <c r="F154" t="inlineStr">
        <is>
          <t>Intermediate</t>
        </is>
      </c>
      <c r="G154" t="n">
        <v>709</v>
      </c>
    </row>
    <row r="155">
      <c r="A155" t="n">
        <v>7</v>
      </c>
      <c r="B155" t="n">
        <v>10</v>
      </c>
      <c r="C155" t="inlineStr">
        <is>
          <t>D</t>
        </is>
      </c>
      <c r="D155" t="n">
        <v>4</v>
      </c>
      <c r="E155" t="inlineStr">
        <is>
          <t>Government Budget concepts (deficits, Articles)</t>
        </is>
      </c>
      <c r="F155" t="inlineStr">
        <is>
          <t>Intermediate</t>
        </is>
      </c>
      <c r="G155" t="n">
        <v>710</v>
      </c>
    </row>
    <row r="156">
      <c r="A156" t="n">
        <v>7</v>
      </c>
      <c r="B156" t="n">
        <v>11</v>
      </c>
      <c r="C156" t="inlineStr">
        <is>
          <t>A</t>
        </is>
      </c>
      <c r="D156" t="n">
        <v>4</v>
      </c>
      <c r="E156" t="inlineStr">
        <is>
          <t>Government Budget concepts (deficits, Articles)</t>
        </is>
      </c>
      <c r="F156" t="inlineStr">
        <is>
          <t>Intermediate</t>
        </is>
      </c>
      <c r="G156" t="n">
        <v>711</v>
      </c>
    </row>
    <row r="157">
      <c r="A157" t="n">
        <v>7</v>
      </c>
      <c r="B157" t="n">
        <v>12</v>
      </c>
      <c r="C157" t="inlineStr">
        <is>
          <t>C</t>
        </is>
      </c>
      <c r="D157" t="n">
        <v>4</v>
      </c>
      <c r="E157" t="inlineStr">
        <is>
          <t>Government Budget concepts (deficits, Articles)</t>
        </is>
      </c>
      <c r="F157" t="inlineStr">
        <is>
          <t>Intermediate</t>
        </is>
      </c>
      <c r="G157" t="n">
        <v>712</v>
      </c>
    </row>
    <row r="158">
      <c r="A158" t="n">
        <v>7</v>
      </c>
      <c r="B158" t="n">
        <v>13</v>
      </c>
      <c r="C158" t="inlineStr">
        <is>
          <t>B</t>
        </is>
      </c>
      <c r="D158" t="n">
        <v>2</v>
      </c>
      <c r="E158" t="inlineStr">
        <is>
          <t>Capital vs Revenue (expenditure/receipts)</t>
        </is>
      </c>
      <c r="F158" t="inlineStr">
        <is>
          <t>Intermediate</t>
        </is>
      </c>
      <c r="G158" t="n">
        <v>713</v>
      </c>
    </row>
    <row r="159">
      <c r="A159" t="n">
        <v>7</v>
      </c>
      <c r="B159" t="n">
        <v>14</v>
      </c>
      <c r="C159" t="inlineStr">
        <is>
          <t>A</t>
        </is>
      </c>
      <c r="D159" t="n">
        <v>4</v>
      </c>
      <c r="E159" t="inlineStr">
        <is>
          <t>Government Budget concepts (deficits, Articles)</t>
        </is>
      </c>
      <c r="F159" t="inlineStr">
        <is>
          <t>Intermediate</t>
        </is>
      </c>
      <c r="G159" t="n">
        <v>714</v>
      </c>
    </row>
    <row r="160">
      <c r="A160" t="n">
        <v>7</v>
      </c>
      <c r="B160" t="n">
        <v>15</v>
      </c>
      <c r="C160" t="inlineStr">
        <is>
          <t>D</t>
        </is>
      </c>
      <c r="D160" t="n">
        <v>5</v>
      </c>
      <c r="E160" t="inlineStr">
        <is>
          <t>Financial discipline आणि internal control</t>
        </is>
      </c>
      <c r="F160" t="inlineStr">
        <is>
          <t>Intermediate</t>
        </is>
      </c>
      <c r="G160" t="n">
        <v>715</v>
      </c>
    </row>
    <row r="161">
      <c r="A161" t="n">
        <v>7</v>
      </c>
      <c r="B161" t="n">
        <v>16</v>
      </c>
      <c r="C161" t="inlineStr">
        <is>
          <t>C</t>
        </is>
      </c>
      <c r="D161" t="n">
        <v>1</v>
      </c>
      <c r="E161" t="inlineStr">
        <is>
          <t>Budget basics</t>
        </is>
      </c>
      <c r="F161" t="inlineStr">
        <is>
          <t>Intermediate</t>
        </is>
      </c>
      <c r="G161" t="n">
        <v>716</v>
      </c>
    </row>
    <row r="162">
      <c r="A162" t="n">
        <v>7</v>
      </c>
      <c r="B162" t="n">
        <v>17</v>
      </c>
      <c r="C162" t="inlineStr">
        <is>
          <t>A</t>
        </is>
      </c>
      <c r="D162" t="n">
        <v>3</v>
      </c>
      <c r="E162" t="inlineStr">
        <is>
          <t>Budget variance आणि utilisation</t>
        </is>
      </c>
      <c r="F162" t="inlineStr">
        <is>
          <t>Application</t>
        </is>
      </c>
      <c r="G162" t="n">
        <v>717</v>
      </c>
    </row>
    <row r="163">
      <c r="A163" t="n">
        <v>7</v>
      </c>
      <c r="B163" t="n">
        <v>18</v>
      </c>
      <c r="C163" t="inlineStr">
        <is>
          <t>C</t>
        </is>
      </c>
      <c r="D163" t="n">
        <v>3</v>
      </c>
      <c r="E163" t="inlineStr">
        <is>
          <t>Budget variance आणि utilisation</t>
        </is>
      </c>
      <c r="F163" t="inlineStr">
        <is>
          <t>Application</t>
        </is>
      </c>
      <c r="G163" t="n">
        <v>718</v>
      </c>
    </row>
    <row r="164">
      <c r="A164" t="n">
        <v>7</v>
      </c>
      <c r="B164" t="n">
        <v>19</v>
      </c>
      <c r="C164" t="inlineStr">
        <is>
          <t>B</t>
        </is>
      </c>
      <c r="D164" t="n">
        <v>2</v>
      </c>
      <c r="E164" t="inlineStr">
        <is>
          <t>Capital vs Revenue (expenditure/receipts)</t>
        </is>
      </c>
      <c r="F164" t="inlineStr">
        <is>
          <t>Application</t>
        </is>
      </c>
      <c r="G164" t="n">
        <v>719</v>
      </c>
    </row>
    <row r="165">
      <c r="A165" t="n">
        <v>7</v>
      </c>
      <c r="B165" t="n">
        <v>20</v>
      </c>
      <c r="C165" t="inlineStr">
        <is>
          <t>D</t>
        </is>
      </c>
      <c r="D165" t="n">
        <v>5</v>
      </c>
      <c r="E165" t="inlineStr">
        <is>
          <t>Financial discipline आणि internal control</t>
        </is>
      </c>
      <c r="F165" t="inlineStr">
        <is>
          <t>Application</t>
        </is>
      </c>
      <c r="G165" t="n">
        <v>720</v>
      </c>
    </row>
    <row r="166">
      <c r="A166" t="n">
        <v>7</v>
      </c>
      <c r="B166" t="n">
        <v>21</v>
      </c>
      <c r="C166" t="inlineStr">
        <is>
          <t>A</t>
        </is>
      </c>
      <c r="D166" t="n">
        <v>4</v>
      </c>
      <c r="E166" t="inlineStr">
        <is>
          <t>Government Budget concepts (deficits, Articles)</t>
        </is>
      </c>
      <c r="F166" t="inlineStr">
        <is>
          <t>Application</t>
        </is>
      </c>
      <c r="G166" t="n">
        <v>721</v>
      </c>
    </row>
    <row r="167">
      <c r="A167" t="n">
        <v>7</v>
      </c>
      <c r="B167" t="n">
        <v>22</v>
      </c>
      <c r="C167" t="inlineStr">
        <is>
          <t>B</t>
        </is>
      </c>
      <c r="D167" t="n">
        <v>4</v>
      </c>
      <c r="E167" t="inlineStr">
        <is>
          <t>Government Budget concepts (deficits, Articles)</t>
        </is>
      </c>
      <c r="F167" t="inlineStr">
        <is>
          <t>Application</t>
        </is>
      </c>
      <c r="G167" t="n">
        <v>722</v>
      </c>
    </row>
    <row r="168">
      <c r="A168" t="n">
        <v>8</v>
      </c>
      <c r="B168" t="n">
        <v>1</v>
      </c>
      <c r="C168" t="inlineStr">
        <is>
          <t>C</t>
        </is>
      </c>
      <c r="D168" t="n">
        <v>1</v>
      </c>
      <c r="E168" t="inlineStr">
        <is>
          <t>RBI आणि Banking structure</t>
        </is>
      </c>
      <c r="F168" t="inlineStr">
        <is>
          <t>Foundational</t>
        </is>
      </c>
      <c r="G168" t="n">
        <v>801</v>
      </c>
    </row>
    <row r="169">
      <c r="A169" t="n">
        <v>8</v>
      </c>
      <c r="B169" t="n">
        <v>2</v>
      </c>
      <c r="C169" t="inlineStr">
        <is>
          <t>B</t>
        </is>
      </c>
      <c r="D169" t="n">
        <v>1</v>
      </c>
      <c r="E169" t="inlineStr">
        <is>
          <t>RBI आणि Banking structure</t>
        </is>
      </c>
      <c r="F169" t="inlineStr">
        <is>
          <t>Foundational</t>
        </is>
      </c>
      <c r="G169" t="n">
        <v>802</v>
      </c>
    </row>
    <row r="170">
      <c r="A170" t="n">
        <v>8</v>
      </c>
      <c r="B170" t="n">
        <v>3</v>
      </c>
      <c r="C170" t="inlineStr">
        <is>
          <t>D</t>
        </is>
      </c>
      <c r="D170" t="n">
        <v>2</v>
      </c>
      <c r="E170" t="inlineStr">
        <is>
          <t>Bank accounts आणि KYC</t>
        </is>
      </c>
      <c r="F170" t="inlineStr">
        <is>
          <t>Foundational</t>
        </is>
      </c>
      <c r="G170" t="n">
        <v>803</v>
      </c>
    </row>
    <row r="171">
      <c r="A171" t="n">
        <v>8</v>
      </c>
      <c r="B171" t="n">
        <v>4</v>
      </c>
      <c r="C171" t="inlineStr">
        <is>
          <t>A</t>
        </is>
      </c>
      <c r="D171" t="n">
        <v>2</v>
      </c>
      <c r="E171" t="inlineStr">
        <is>
          <t>Bank accounts आणि KYC</t>
        </is>
      </c>
      <c r="F171" t="inlineStr">
        <is>
          <t>Foundational</t>
        </is>
      </c>
      <c r="G171" t="n">
        <v>804</v>
      </c>
    </row>
    <row r="172">
      <c r="A172" t="n">
        <v>8</v>
      </c>
      <c r="B172" t="n">
        <v>5</v>
      </c>
      <c r="C172" t="inlineStr">
        <is>
          <t>C</t>
        </is>
      </c>
      <c r="D172" t="n">
        <v>3</v>
      </c>
      <c r="E172" t="inlineStr">
        <is>
          <t>Cheque आणि Negotiable instruments</t>
        </is>
      </c>
      <c r="F172" t="inlineStr">
        <is>
          <t>Foundational</t>
        </is>
      </c>
      <c r="G172" t="n">
        <v>805</v>
      </c>
    </row>
    <row r="173">
      <c r="A173" t="n">
        <v>8</v>
      </c>
      <c r="B173" t="n">
        <v>6</v>
      </c>
      <c r="C173" t="inlineStr">
        <is>
          <t>D</t>
        </is>
      </c>
      <c r="D173" t="n">
        <v>4</v>
      </c>
      <c r="E173" t="inlineStr">
        <is>
          <t>NEFT/RTGS/IMPS/UPI</t>
        </is>
      </c>
      <c r="F173" t="inlineStr">
        <is>
          <t>Foundational</t>
        </is>
      </c>
      <c r="G173" t="n">
        <v>806</v>
      </c>
    </row>
    <row r="174">
      <c r="A174" t="n">
        <v>8</v>
      </c>
      <c r="B174" t="n">
        <v>7</v>
      </c>
      <c r="C174" t="inlineStr">
        <is>
          <t>B</t>
        </is>
      </c>
      <c r="D174" t="n">
        <v>4</v>
      </c>
      <c r="E174" t="inlineStr">
        <is>
          <t>NEFT/RTGS/IMPS/UPI</t>
        </is>
      </c>
      <c r="F174" t="inlineStr">
        <is>
          <t>Foundational</t>
        </is>
      </c>
      <c r="G174" t="n">
        <v>807</v>
      </c>
    </row>
    <row r="175">
      <c r="A175" t="n">
        <v>8</v>
      </c>
      <c r="B175" t="n">
        <v>8</v>
      </c>
      <c r="C175" t="inlineStr">
        <is>
          <t>A</t>
        </is>
      </c>
      <c r="D175" t="n">
        <v>5</v>
      </c>
      <c r="E175" t="inlineStr">
        <is>
          <t>Digital safety आणि fraud</t>
        </is>
      </c>
      <c r="F175" t="inlineStr">
        <is>
          <t>Foundational</t>
        </is>
      </c>
      <c r="G175" t="n">
        <v>808</v>
      </c>
    </row>
    <row r="176">
      <c r="A176" t="n">
        <v>8</v>
      </c>
      <c r="B176" t="n">
        <v>9</v>
      </c>
      <c r="C176" t="inlineStr">
        <is>
          <t>A</t>
        </is>
      </c>
      <c r="D176" t="n">
        <v>4</v>
      </c>
      <c r="E176" t="inlineStr">
        <is>
          <t>NEFT/RTGS/IMPS/UPI</t>
        </is>
      </c>
      <c r="F176" t="inlineStr">
        <is>
          <t>Intermediate</t>
        </is>
      </c>
      <c r="G176" t="n">
        <v>809</v>
      </c>
    </row>
    <row r="177">
      <c r="A177" t="n">
        <v>8</v>
      </c>
      <c r="B177" t="n">
        <v>10</v>
      </c>
      <c r="C177" t="inlineStr">
        <is>
          <t>D</t>
        </is>
      </c>
      <c r="D177" t="n">
        <v>3</v>
      </c>
      <c r="E177" t="inlineStr">
        <is>
          <t>Cheque आणि Negotiable instruments</t>
        </is>
      </c>
      <c r="F177" t="inlineStr">
        <is>
          <t>Intermediate</t>
        </is>
      </c>
      <c r="G177" t="n">
        <v>810</v>
      </c>
    </row>
    <row r="178">
      <c r="A178" t="n">
        <v>8</v>
      </c>
      <c r="B178" t="n">
        <v>11</v>
      </c>
      <c r="C178" t="inlineStr">
        <is>
          <t>C</t>
        </is>
      </c>
      <c r="D178" t="n">
        <v>1</v>
      </c>
      <c r="E178" t="inlineStr">
        <is>
          <t>RBI आणि Banking structure</t>
        </is>
      </c>
      <c r="F178" t="inlineStr">
        <is>
          <t>Intermediate</t>
        </is>
      </c>
      <c r="G178" t="n">
        <v>811</v>
      </c>
    </row>
    <row r="179">
      <c r="A179" t="n">
        <v>8</v>
      </c>
      <c r="B179" t="n">
        <v>12</v>
      </c>
      <c r="C179" t="inlineStr">
        <is>
          <t>B</t>
        </is>
      </c>
      <c r="D179" t="n">
        <v>1</v>
      </c>
      <c r="E179" t="inlineStr">
        <is>
          <t>RBI आणि Banking structure</t>
        </is>
      </c>
      <c r="F179" t="inlineStr">
        <is>
          <t>Intermediate</t>
        </is>
      </c>
      <c r="G179" t="n">
        <v>812</v>
      </c>
    </row>
    <row r="180">
      <c r="A180" t="n">
        <v>8</v>
      </c>
      <c r="B180" t="n">
        <v>13</v>
      </c>
      <c r="C180" t="inlineStr">
        <is>
          <t>D</t>
        </is>
      </c>
      <c r="D180" t="n">
        <v>4</v>
      </c>
      <c r="E180" t="inlineStr">
        <is>
          <t>NEFT/RTGS/IMPS/UPI</t>
        </is>
      </c>
      <c r="F180" t="inlineStr">
        <is>
          <t>Intermediate</t>
        </is>
      </c>
      <c r="G180" t="n">
        <v>813</v>
      </c>
    </row>
    <row r="181">
      <c r="A181" t="n">
        <v>8</v>
      </c>
      <c r="B181" t="n">
        <v>14</v>
      </c>
      <c r="C181" t="inlineStr">
        <is>
          <t>A</t>
        </is>
      </c>
      <c r="D181" t="n">
        <v>4</v>
      </c>
      <c r="E181" t="inlineStr">
        <is>
          <t>NEFT/RTGS/IMPS/UPI</t>
        </is>
      </c>
      <c r="F181" t="inlineStr">
        <is>
          <t>Intermediate</t>
        </is>
      </c>
      <c r="G181" t="n">
        <v>814</v>
      </c>
    </row>
    <row r="182">
      <c r="A182" t="n">
        <v>8</v>
      </c>
      <c r="B182" t="n">
        <v>15</v>
      </c>
      <c r="C182" t="inlineStr">
        <is>
          <t>C</t>
        </is>
      </c>
      <c r="D182" t="n">
        <v>2</v>
      </c>
      <c r="E182" t="inlineStr">
        <is>
          <t>Bank accounts आणि KYC</t>
        </is>
      </c>
      <c r="F182" t="inlineStr">
        <is>
          <t>Intermediate</t>
        </is>
      </c>
      <c r="G182" t="n">
        <v>815</v>
      </c>
    </row>
    <row r="183">
      <c r="A183" t="n">
        <v>8</v>
      </c>
      <c r="B183" t="n">
        <v>16</v>
      </c>
      <c r="C183" t="inlineStr">
        <is>
          <t>B</t>
        </is>
      </c>
      <c r="D183" t="n">
        <v>3</v>
      </c>
      <c r="E183" t="inlineStr">
        <is>
          <t>Cheque आणि Negotiable instruments</t>
        </is>
      </c>
      <c r="F183" t="inlineStr">
        <is>
          <t>Intermediate</t>
        </is>
      </c>
      <c r="G183" t="n">
        <v>816</v>
      </c>
    </row>
    <row r="184">
      <c r="A184" t="n">
        <v>8</v>
      </c>
      <c r="B184" t="n">
        <v>17</v>
      </c>
      <c r="C184" t="inlineStr">
        <is>
          <t>B</t>
        </is>
      </c>
      <c r="D184" t="n">
        <v>6</v>
      </c>
      <c r="E184" t="inlineStr">
        <is>
          <t>Interest आणि bank calculations</t>
        </is>
      </c>
      <c r="F184" t="inlineStr">
        <is>
          <t>Application</t>
        </is>
      </c>
      <c r="G184" t="n">
        <v>817</v>
      </c>
    </row>
    <row r="185">
      <c r="A185" t="n">
        <v>8</v>
      </c>
      <c r="B185" t="n">
        <v>18</v>
      </c>
      <c r="C185" t="inlineStr">
        <is>
          <t>A</t>
        </is>
      </c>
      <c r="D185" t="n">
        <v>6</v>
      </c>
      <c r="E185" t="inlineStr">
        <is>
          <t>Interest आणि bank calculations</t>
        </is>
      </c>
      <c r="F185" t="inlineStr">
        <is>
          <t>Application</t>
        </is>
      </c>
      <c r="G185" t="n">
        <v>818</v>
      </c>
    </row>
    <row r="186">
      <c r="A186" t="n">
        <v>8</v>
      </c>
      <c r="B186" t="n">
        <v>19</v>
      </c>
      <c r="C186" t="inlineStr">
        <is>
          <t>D</t>
        </is>
      </c>
      <c r="D186" t="n">
        <v>6</v>
      </c>
      <c r="E186" t="inlineStr">
        <is>
          <t>Interest आणि bank calculations</t>
        </is>
      </c>
      <c r="F186" t="inlineStr">
        <is>
          <t>Application</t>
        </is>
      </c>
      <c r="G186" t="n">
        <v>819</v>
      </c>
    </row>
    <row r="187">
      <c r="A187" t="n">
        <v>8</v>
      </c>
      <c r="B187" t="n">
        <v>20</v>
      </c>
      <c r="C187" t="inlineStr">
        <is>
          <t>C</t>
        </is>
      </c>
      <c r="D187" t="n">
        <v>4</v>
      </c>
      <c r="E187" t="inlineStr">
        <is>
          <t>NEFT/RTGS/IMPS/UPI</t>
        </is>
      </c>
      <c r="F187" t="inlineStr">
        <is>
          <t>Application</t>
        </is>
      </c>
      <c r="G187" t="n">
        <v>820</v>
      </c>
    </row>
    <row r="188">
      <c r="A188" t="n">
        <v>8</v>
      </c>
      <c r="B188" t="n">
        <v>21</v>
      </c>
      <c r="C188" t="inlineStr">
        <is>
          <t>B</t>
        </is>
      </c>
      <c r="D188" t="n">
        <v>5</v>
      </c>
      <c r="E188" t="inlineStr">
        <is>
          <t>Digital safety आणि fraud</t>
        </is>
      </c>
      <c r="F188" t="inlineStr">
        <is>
          <t>Application</t>
        </is>
      </c>
      <c r="G188" t="n">
        <v>821</v>
      </c>
    </row>
    <row r="189">
      <c r="A189" t="n">
        <v>8</v>
      </c>
      <c r="B189" t="n">
        <v>22</v>
      </c>
      <c r="C189" t="inlineStr">
        <is>
          <t>C</t>
        </is>
      </c>
      <c r="D189" t="n">
        <v>6</v>
      </c>
      <c r="E189" t="inlineStr">
        <is>
          <t>Interest आणि bank calculations</t>
        </is>
      </c>
      <c r="F189" t="inlineStr">
        <is>
          <t>Application</t>
        </is>
      </c>
      <c r="G189" t="n">
        <v>822</v>
      </c>
    </row>
    <row r="190">
      <c r="A190" t="n">
        <v>9</v>
      </c>
      <c r="B190" t="n">
        <v>1</v>
      </c>
      <c r="C190" t="inlineStr">
        <is>
          <t>A</t>
        </is>
      </c>
      <c r="D190" t="n">
        <v>1</v>
      </c>
      <c r="E190" t="inlineStr">
        <is>
          <t>Computer basics (hardware/software)</t>
        </is>
      </c>
      <c r="F190" t="inlineStr">
        <is>
          <t>Foundational</t>
        </is>
      </c>
      <c r="G190" t="n">
        <v>901</v>
      </c>
    </row>
    <row r="191">
      <c r="A191" t="n">
        <v>9</v>
      </c>
      <c r="B191" t="n">
        <v>2</v>
      </c>
      <c r="C191" t="inlineStr">
        <is>
          <t>C</t>
        </is>
      </c>
      <c r="D191" t="n">
        <v>1</v>
      </c>
      <c r="E191" t="inlineStr">
        <is>
          <t>Computer basics (hardware/software)</t>
        </is>
      </c>
      <c r="F191" t="inlineStr">
        <is>
          <t>Foundational</t>
        </is>
      </c>
      <c r="G191" t="n">
        <v>902</v>
      </c>
    </row>
    <row r="192">
      <c r="A192" t="n">
        <v>9</v>
      </c>
      <c r="B192" t="n">
        <v>3</v>
      </c>
      <c r="C192" t="inlineStr">
        <is>
          <t>B</t>
        </is>
      </c>
      <c r="D192" t="n">
        <v>2</v>
      </c>
      <c r="E192" t="inlineStr">
        <is>
          <t>Windows, files आणि shortcuts</t>
        </is>
      </c>
      <c r="F192" t="inlineStr">
        <is>
          <t>Foundational</t>
        </is>
      </c>
      <c r="G192" t="n">
        <v>903</v>
      </c>
    </row>
    <row r="193">
      <c r="A193" t="n">
        <v>9</v>
      </c>
      <c r="B193" t="n">
        <v>4</v>
      </c>
      <c r="C193" t="inlineStr">
        <is>
          <t>D</t>
        </is>
      </c>
      <c r="D193" t="n">
        <v>2</v>
      </c>
      <c r="E193" t="inlineStr">
        <is>
          <t>Windows, files आणि shortcuts</t>
        </is>
      </c>
      <c r="F193" t="inlineStr">
        <is>
          <t>Foundational</t>
        </is>
      </c>
      <c r="G193" t="n">
        <v>904</v>
      </c>
    </row>
    <row r="194">
      <c r="A194" t="n">
        <v>9</v>
      </c>
      <c r="B194" t="n">
        <v>5</v>
      </c>
      <c r="C194" t="inlineStr">
        <is>
          <t>C</t>
        </is>
      </c>
      <c r="D194" t="n">
        <v>3</v>
      </c>
      <c r="E194" t="inlineStr">
        <is>
          <t>Word, Email आणि PDF</t>
        </is>
      </c>
      <c r="F194" t="inlineStr">
        <is>
          <t>Foundational</t>
        </is>
      </c>
      <c r="G194" t="n">
        <v>905</v>
      </c>
    </row>
    <row r="195">
      <c r="A195" t="n">
        <v>9</v>
      </c>
      <c r="B195" t="n">
        <v>6</v>
      </c>
      <c r="C195" t="inlineStr">
        <is>
          <t>A</t>
        </is>
      </c>
      <c r="D195" t="n">
        <v>3</v>
      </c>
      <c r="E195" t="inlineStr">
        <is>
          <t>Word, Email आणि PDF</t>
        </is>
      </c>
      <c r="F195" t="inlineStr">
        <is>
          <t>Foundational</t>
        </is>
      </c>
      <c r="G195" t="n">
        <v>906</v>
      </c>
    </row>
    <row r="196">
      <c r="A196" t="n">
        <v>9</v>
      </c>
      <c r="B196" t="n">
        <v>7</v>
      </c>
      <c r="C196" t="inlineStr">
        <is>
          <t>D</t>
        </is>
      </c>
      <c r="D196" t="n">
        <v>4</v>
      </c>
      <c r="E196" t="inlineStr">
        <is>
          <t>Excel basics आणि functions</t>
        </is>
      </c>
      <c r="F196" t="inlineStr">
        <is>
          <t>Foundational</t>
        </is>
      </c>
      <c r="G196" t="n">
        <v>907</v>
      </c>
    </row>
    <row r="197">
      <c r="A197" t="n">
        <v>9</v>
      </c>
      <c r="B197" t="n">
        <v>8</v>
      </c>
      <c r="C197" t="inlineStr">
        <is>
          <t>B</t>
        </is>
      </c>
      <c r="D197" t="n">
        <v>4</v>
      </c>
      <c r="E197" t="inlineStr">
        <is>
          <t>Excel basics आणि functions</t>
        </is>
      </c>
      <c r="F197" t="inlineStr">
        <is>
          <t>Foundational</t>
        </is>
      </c>
      <c r="G197" t="n">
        <v>908</v>
      </c>
    </row>
    <row r="198">
      <c r="A198" t="n">
        <v>9</v>
      </c>
      <c r="B198" t="n">
        <v>9</v>
      </c>
      <c r="C198" t="inlineStr">
        <is>
          <t>D</t>
        </is>
      </c>
      <c r="D198" t="n">
        <v>4</v>
      </c>
      <c r="E198" t="inlineStr">
        <is>
          <t>Excel basics आणि functions</t>
        </is>
      </c>
      <c r="F198" t="inlineStr">
        <is>
          <t>Intermediate</t>
        </is>
      </c>
      <c r="G198" t="n">
        <v>909</v>
      </c>
    </row>
    <row r="199">
      <c r="A199" t="n">
        <v>9</v>
      </c>
      <c r="B199" t="n">
        <v>10</v>
      </c>
      <c r="C199" t="inlineStr">
        <is>
          <t>A</t>
        </is>
      </c>
      <c r="D199" t="n">
        <v>4</v>
      </c>
      <c r="E199" t="inlineStr">
        <is>
          <t>Excel basics आणि functions</t>
        </is>
      </c>
      <c r="F199" t="inlineStr">
        <is>
          <t>Intermediate</t>
        </is>
      </c>
      <c r="G199" t="n">
        <v>910</v>
      </c>
    </row>
    <row r="200">
      <c r="A200" t="n">
        <v>9</v>
      </c>
      <c r="B200" t="n">
        <v>11</v>
      </c>
      <c r="C200" t="inlineStr">
        <is>
          <t>C</t>
        </is>
      </c>
      <c r="D200" t="n">
        <v>5</v>
      </c>
      <c r="E200" t="inlineStr">
        <is>
          <t>Excel application (SUMIF, VLOOKUP, %)</t>
        </is>
      </c>
      <c r="F200" t="inlineStr">
        <is>
          <t>Intermediate</t>
        </is>
      </c>
      <c r="G200" t="n">
        <v>911</v>
      </c>
    </row>
    <row r="201">
      <c r="A201" t="n">
        <v>9</v>
      </c>
      <c r="B201" t="n">
        <v>12</v>
      </c>
      <c r="C201" t="inlineStr">
        <is>
          <t>B</t>
        </is>
      </c>
      <c r="D201" t="n">
        <v>5</v>
      </c>
      <c r="E201" t="inlineStr">
        <is>
          <t>Excel application (SUMIF, VLOOKUP, %)</t>
        </is>
      </c>
      <c r="F201" t="inlineStr">
        <is>
          <t>Intermediate</t>
        </is>
      </c>
      <c r="G201" t="n">
        <v>912</v>
      </c>
    </row>
    <row r="202">
      <c r="A202" t="n">
        <v>9</v>
      </c>
      <c r="B202" t="n">
        <v>13</v>
      </c>
      <c r="C202" t="inlineStr">
        <is>
          <t>A</t>
        </is>
      </c>
      <c r="D202" t="n">
        <v>4</v>
      </c>
      <c r="E202" t="inlineStr">
        <is>
          <t>Excel basics आणि functions</t>
        </is>
      </c>
      <c r="F202" t="inlineStr">
        <is>
          <t>Intermediate</t>
        </is>
      </c>
      <c r="G202" t="n">
        <v>913</v>
      </c>
    </row>
    <row r="203">
      <c r="A203" t="n">
        <v>9</v>
      </c>
      <c r="B203" t="n">
        <v>14</v>
      </c>
      <c r="C203" t="inlineStr">
        <is>
          <t>D</t>
        </is>
      </c>
      <c r="D203" t="n">
        <v>6</v>
      </c>
      <c r="E203" t="inlineStr">
        <is>
          <t>Internet, cloud, cyber safety आणि modern tools</t>
        </is>
      </c>
      <c r="F203" t="inlineStr">
        <is>
          <t>Intermediate</t>
        </is>
      </c>
      <c r="G203" t="n">
        <v>914</v>
      </c>
    </row>
    <row r="204">
      <c r="A204" t="n">
        <v>9</v>
      </c>
      <c r="B204" t="n">
        <v>15</v>
      </c>
      <c r="C204" t="inlineStr">
        <is>
          <t>B</t>
        </is>
      </c>
      <c r="D204" t="n">
        <v>6</v>
      </c>
      <c r="E204" t="inlineStr">
        <is>
          <t>Internet, cloud, cyber safety आणि modern tools</t>
        </is>
      </c>
      <c r="F204" t="inlineStr">
        <is>
          <t>Intermediate</t>
        </is>
      </c>
      <c r="G204" t="n">
        <v>915</v>
      </c>
    </row>
    <row r="205">
      <c r="A205" t="n">
        <v>9</v>
      </c>
      <c r="B205" t="n">
        <v>16</v>
      </c>
      <c r="C205" t="inlineStr">
        <is>
          <t>C</t>
        </is>
      </c>
      <c r="D205" t="n">
        <v>2</v>
      </c>
      <c r="E205" t="inlineStr">
        <is>
          <t>Windows, files आणि shortcuts</t>
        </is>
      </c>
      <c r="F205" t="inlineStr">
        <is>
          <t>Intermediate</t>
        </is>
      </c>
      <c r="G205" t="n">
        <v>916</v>
      </c>
    </row>
    <row r="206">
      <c r="A206" t="n">
        <v>9</v>
      </c>
      <c r="B206" t="n">
        <v>17</v>
      </c>
      <c r="C206" t="inlineStr">
        <is>
          <t>C</t>
        </is>
      </c>
      <c r="D206" t="n">
        <v>5</v>
      </c>
      <c r="E206" t="inlineStr">
        <is>
          <t>Excel application (SUMIF, VLOOKUP, %)</t>
        </is>
      </c>
      <c r="F206" t="inlineStr">
        <is>
          <t>Application</t>
        </is>
      </c>
      <c r="G206" t="n">
        <v>917</v>
      </c>
    </row>
    <row r="207">
      <c r="A207" t="n">
        <v>9</v>
      </c>
      <c r="B207" t="n">
        <v>18</v>
      </c>
      <c r="C207" t="inlineStr">
        <is>
          <t>D</t>
        </is>
      </c>
      <c r="D207" t="n">
        <v>5</v>
      </c>
      <c r="E207" t="inlineStr">
        <is>
          <t>Excel application (SUMIF, VLOOKUP, %)</t>
        </is>
      </c>
      <c r="F207" t="inlineStr">
        <is>
          <t>Application</t>
        </is>
      </c>
      <c r="G207" t="n">
        <v>918</v>
      </c>
    </row>
    <row r="208">
      <c r="A208" t="n">
        <v>9</v>
      </c>
      <c r="B208" t="n">
        <v>19</v>
      </c>
      <c r="C208" t="inlineStr">
        <is>
          <t>A</t>
        </is>
      </c>
      <c r="D208" t="n">
        <v>4</v>
      </c>
      <c r="E208" t="inlineStr">
        <is>
          <t>Excel basics आणि functions</t>
        </is>
      </c>
      <c r="F208" t="inlineStr">
        <is>
          <t>Application</t>
        </is>
      </c>
      <c r="G208" t="n">
        <v>919</v>
      </c>
    </row>
    <row r="209">
      <c r="A209" t="n">
        <v>9</v>
      </c>
      <c r="B209" t="n">
        <v>20</v>
      </c>
      <c r="C209" t="inlineStr">
        <is>
          <t>B</t>
        </is>
      </c>
      <c r="D209" t="n">
        <v>5</v>
      </c>
      <c r="E209" t="inlineStr">
        <is>
          <t>Excel application (SUMIF, VLOOKUP, %)</t>
        </is>
      </c>
      <c r="F209" t="inlineStr">
        <is>
          <t>Application</t>
        </is>
      </c>
      <c r="G209" t="n">
        <v>920</v>
      </c>
    </row>
    <row r="210">
      <c r="A210" t="n">
        <v>9</v>
      </c>
      <c r="B210" t="n">
        <v>21</v>
      </c>
      <c r="C210" t="inlineStr">
        <is>
          <t>C</t>
        </is>
      </c>
      <c r="D210" t="n">
        <v>6</v>
      </c>
      <c r="E210" t="inlineStr">
        <is>
          <t>Internet, cloud, cyber safety आणि modern tools</t>
        </is>
      </c>
      <c r="F210" t="inlineStr">
        <is>
          <t>Application</t>
        </is>
      </c>
      <c r="G210" t="n">
        <v>921</v>
      </c>
    </row>
    <row r="211">
      <c r="A211" t="n">
        <v>9</v>
      </c>
      <c r="B211" t="n">
        <v>22</v>
      </c>
      <c r="C211" t="inlineStr">
        <is>
          <t>D</t>
        </is>
      </c>
      <c r="D211" t="n">
        <v>6</v>
      </c>
      <c r="E211" t="inlineStr">
        <is>
          <t>Internet, cloud, cyber safety आणि modern tools</t>
        </is>
      </c>
      <c r="F211" t="inlineStr">
        <is>
          <t>Application</t>
        </is>
      </c>
      <c r="G211" t="n">
        <v>922</v>
      </c>
    </row>
    <row r="212">
      <c r="A212" t="n">
        <v>10</v>
      </c>
      <c r="B212" t="n">
        <v>1</v>
      </c>
      <c r="C212" t="inlineStr">
        <is>
          <t>B</t>
        </is>
      </c>
      <c r="D212" t="n">
        <v>2</v>
      </c>
      <c r="E212" t="inlineStr">
        <is>
          <t>Union Budget 2026-27</t>
        </is>
      </c>
      <c r="F212" t="inlineStr">
        <is>
          <t>Foundational</t>
        </is>
      </c>
      <c r="G212" t="n">
        <v>1001</v>
      </c>
    </row>
    <row r="213">
      <c r="A213" t="n">
        <v>10</v>
      </c>
      <c r="B213" t="n">
        <v>2</v>
      </c>
      <c r="C213" t="inlineStr">
        <is>
          <t>D</t>
        </is>
      </c>
      <c r="D213" t="n">
        <v>1</v>
      </c>
      <c r="E213" t="inlineStr">
        <is>
          <t>स्थिर General Knowledge (संविधान, संस्था)</t>
        </is>
      </c>
      <c r="F213" t="inlineStr">
        <is>
          <t>Foundational</t>
        </is>
      </c>
      <c r="G213" t="n">
        <v>1002</v>
      </c>
    </row>
    <row r="214">
      <c r="A214" t="n">
        <v>10</v>
      </c>
      <c r="B214" t="n">
        <v>3</v>
      </c>
      <c r="C214" t="inlineStr">
        <is>
          <t>A</t>
        </is>
      </c>
      <c r="D214" t="n">
        <v>1</v>
      </c>
      <c r="E214" t="inlineStr">
        <is>
          <t>स्थिर General Knowledge (संविधान, संस्था)</t>
        </is>
      </c>
      <c r="F214" t="inlineStr">
        <is>
          <t>Foundational</t>
        </is>
      </c>
      <c r="G214" t="n">
        <v>1003</v>
      </c>
    </row>
    <row r="215">
      <c r="A215" t="n">
        <v>10</v>
      </c>
      <c r="B215" t="n">
        <v>4</v>
      </c>
      <c r="C215" t="inlineStr">
        <is>
          <t>C</t>
        </is>
      </c>
      <c r="D215" t="n">
        <v>4</v>
      </c>
      <c r="E215" t="inlineStr">
        <is>
          <t>Taxation/Banking updates</t>
        </is>
      </c>
      <c r="F215" t="inlineStr">
        <is>
          <t>Foundational</t>
        </is>
      </c>
      <c r="G215" t="n">
        <v>1004</v>
      </c>
    </row>
    <row r="216">
      <c r="A216" t="n">
        <v>10</v>
      </c>
      <c r="B216" t="n">
        <v>5</v>
      </c>
      <c r="C216" t="inlineStr">
        <is>
          <t>A</t>
        </is>
      </c>
      <c r="D216" t="n">
        <v>1</v>
      </c>
      <c r="E216" t="inlineStr">
        <is>
          <t>स्थिर General Knowledge (संविधान, संस्था)</t>
        </is>
      </c>
      <c r="F216" t="inlineStr">
        <is>
          <t>Foundational</t>
        </is>
      </c>
      <c r="G216" t="n">
        <v>1005</v>
      </c>
    </row>
    <row r="217">
      <c r="A217" t="n">
        <v>10</v>
      </c>
      <c r="B217" t="n">
        <v>6</v>
      </c>
      <c r="C217" t="inlineStr">
        <is>
          <t>D</t>
        </is>
      </c>
      <c r="D217" t="n">
        <v>1</v>
      </c>
      <c r="E217" t="inlineStr">
        <is>
          <t>स्थिर General Knowledge (संविधान, संस्था)</t>
        </is>
      </c>
      <c r="F217" t="inlineStr">
        <is>
          <t>Foundational</t>
        </is>
      </c>
      <c r="G217" t="n">
        <v>1006</v>
      </c>
    </row>
    <row r="218">
      <c r="A218" t="n">
        <v>10</v>
      </c>
      <c r="B218" t="n">
        <v>7</v>
      </c>
      <c r="C218" t="inlineStr">
        <is>
          <t>C</t>
        </is>
      </c>
      <c r="D218" t="n">
        <v>1</v>
      </c>
      <c r="E218" t="inlineStr">
        <is>
          <t>स्थिर General Knowledge (संविधान, संस्था)</t>
        </is>
      </c>
      <c r="F218" t="inlineStr">
        <is>
          <t>Foundational</t>
        </is>
      </c>
      <c r="G218" t="n">
        <v>1007</v>
      </c>
    </row>
    <row r="219">
      <c r="A219" t="n">
        <v>10</v>
      </c>
      <c r="B219" t="n">
        <v>8</v>
      </c>
      <c r="C219" t="inlineStr">
        <is>
          <t>B</t>
        </is>
      </c>
      <c r="D219" t="n">
        <v>4</v>
      </c>
      <c r="E219" t="inlineStr">
        <is>
          <t>Taxation/Banking updates</t>
        </is>
      </c>
      <c r="F219" t="inlineStr">
        <is>
          <t>Foundational</t>
        </is>
      </c>
      <c r="G219" t="n">
        <v>1008</v>
      </c>
    </row>
    <row r="220">
      <c r="A220" t="n">
        <v>10</v>
      </c>
      <c r="B220" t="n">
        <v>9</v>
      </c>
      <c r="C220" t="inlineStr">
        <is>
          <t>C</t>
        </is>
      </c>
      <c r="D220" t="n">
        <v>2</v>
      </c>
      <c r="E220" t="inlineStr">
        <is>
          <t>Union Budget 2026-27</t>
        </is>
      </c>
      <c r="F220" t="inlineStr">
        <is>
          <t>Intermediate</t>
        </is>
      </c>
      <c r="G220" t="n">
        <v>1009</v>
      </c>
    </row>
    <row r="221">
      <c r="A221" t="n">
        <v>10</v>
      </c>
      <c r="B221" t="n">
        <v>10</v>
      </c>
      <c r="C221" t="inlineStr">
        <is>
          <t>A</t>
        </is>
      </c>
      <c r="D221" t="n">
        <v>2</v>
      </c>
      <c r="E221" t="inlineStr">
        <is>
          <t>Union Budget 2026-27</t>
        </is>
      </c>
      <c r="F221" t="inlineStr">
        <is>
          <t>Intermediate</t>
        </is>
      </c>
      <c r="G221" t="n">
        <v>1010</v>
      </c>
    </row>
    <row r="222">
      <c r="A222" t="n">
        <v>10</v>
      </c>
      <c r="B222" t="n">
        <v>11</v>
      </c>
      <c r="C222" t="inlineStr">
        <is>
          <t>B</t>
        </is>
      </c>
      <c r="D222" t="n">
        <v>2</v>
      </c>
      <c r="E222" t="inlineStr">
        <is>
          <t>Union Budget 2026-27</t>
        </is>
      </c>
      <c r="F222" t="inlineStr">
        <is>
          <t>Intermediate</t>
        </is>
      </c>
      <c r="G222" t="n">
        <v>1011</v>
      </c>
    </row>
    <row r="223">
      <c r="A223" t="n">
        <v>10</v>
      </c>
      <c r="B223" t="n">
        <v>12</v>
      </c>
      <c r="C223" t="inlineStr">
        <is>
          <t>D</t>
        </is>
      </c>
      <c r="D223" t="n">
        <v>2</v>
      </c>
      <c r="E223" t="inlineStr">
        <is>
          <t>Union Budget 2026-27</t>
        </is>
      </c>
      <c r="F223" t="inlineStr">
        <is>
          <t>Intermediate</t>
        </is>
      </c>
      <c r="G223" t="n">
        <v>1012</v>
      </c>
    </row>
    <row r="224">
      <c r="A224" t="n">
        <v>10</v>
      </c>
      <c r="B224" t="n">
        <v>13</v>
      </c>
      <c r="C224" t="inlineStr">
        <is>
          <t>C</t>
        </is>
      </c>
      <c r="D224" t="n">
        <v>3</v>
      </c>
      <c r="E224" t="inlineStr">
        <is>
          <t>Maharashtra Budget 2026-27 आणि राज्य</t>
        </is>
      </c>
      <c r="F224" t="inlineStr">
        <is>
          <t>Intermediate</t>
        </is>
      </c>
      <c r="G224" t="n">
        <v>1013</v>
      </c>
    </row>
    <row r="225">
      <c r="A225" t="n">
        <v>10</v>
      </c>
      <c r="B225" t="n">
        <v>14</v>
      </c>
      <c r="C225" t="inlineStr">
        <is>
          <t>A</t>
        </is>
      </c>
      <c r="D225" t="n">
        <v>3</v>
      </c>
      <c r="E225" t="inlineStr">
        <is>
          <t>Maharashtra Budget 2026-27 आणि राज्य</t>
        </is>
      </c>
      <c r="F225" t="inlineStr">
        <is>
          <t>Intermediate</t>
        </is>
      </c>
      <c r="G225" t="n">
        <v>1014</v>
      </c>
    </row>
    <row r="226">
      <c r="A226" t="n">
        <v>10</v>
      </c>
      <c r="B226" t="n">
        <v>15</v>
      </c>
      <c r="C226" t="inlineStr">
        <is>
          <t>D</t>
        </is>
      </c>
      <c r="D226" t="n">
        <v>5</v>
      </c>
      <c r="E226" t="inlineStr">
        <is>
          <t>Census 2027 आणि इतर घडामोडी</t>
        </is>
      </c>
      <c r="F226" t="inlineStr">
        <is>
          <t>Intermediate</t>
        </is>
      </c>
      <c r="G226" t="n">
        <v>1015</v>
      </c>
    </row>
    <row r="227">
      <c r="A227" t="n">
        <v>10</v>
      </c>
      <c r="B227" t="n">
        <v>16</v>
      </c>
      <c r="C227" t="inlineStr">
        <is>
          <t>B</t>
        </is>
      </c>
      <c r="D227" t="n">
        <v>5</v>
      </c>
      <c r="E227" t="inlineStr">
        <is>
          <t>Census 2027 आणि इतर घडामोडी</t>
        </is>
      </c>
      <c r="F227" t="inlineStr">
        <is>
          <t>Intermediate</t>
        </is>
      </c>
      <c r="G227" t="n">
        <v>1016</v>
      </c>
    </row>
    <row r="228">
      <c r="A228" t="n">
        <v>10</v>
      </c>
      <c r="B228" t="n">
        <v>17</v>
      </c>
      <c r="C228" t="inlineStr">
        <is>
          <t>A</t>
        </is>
      </c>
      <c r="D228" t="n">
        <v>3</v>
      </c>
      <c r="E228" t="inlineStr">
        <is>
          <t>Maharashtra Budget 2026-27 आणि राज्य</t>
        </is>
      </c>
      <c r="F228" t="inlineStr">
        <is>
          <t>Application</t>
        </is>
      </c>
      <c r="G228" t="n">
        <v>1017</v>
      </c>
    </row>
    <row r="229">
      <c r="A229" t="n">
        <v>10</v>
      </c>
      <c r="B229" t="n">
        <v>18</v>
      </c>
      <c r="C229" t="inlineStr">
        <is>
          <t>C</t>
        </is>
      </c>
      <c r="D229" t="n">
        <v>3</v>
      </c>
      <c r="E229" t="inlineStr">
        <is>
          <t>Maharashtra Budget 2026-27 आणि राज्य</t>
        </is>
      </c>
      <c r="F229" t="inlineStr">
        <is>
          <t>Application</t>
        </is>
      </c>
      <c r="G229" t="n">
        <v>1018</v>
      </c>
    </row>
    <row r="230">
      <c r="A230" t="n">
        <v>10</v>
      </c>
      <c r="B230" t="n">
        <v>19</v>
      </c>
      <c r="C230" t="inlineStr">
        <is>
          <t>C</t>
        </is>
      </c>
      <c r="D230" t="n">
        <v>2</v>
      </c>
      <c r="E230" t="inlineStr">
        <is>
          <t>Union Budget 2026-27</t>
        </is>
      </c>
      <c r="F230" t="inlineStr">
        <is>
          <t>Application</t>
        </is>
      </c>
      <c r="G230" t="n">
        <v>1019</v>
      </c>
    </row>
    <row r="231">
      <c r="A231" t="n">
        <v>10</v>
      </c>
      <c r="B231" t="n">
        <v>20</v>
      </c>
      <c r="C231" t="inlineStr">
        <is>
          <t>D</t>
        </is>
      </c>
      <c r="D231" t="n">
        <v>4</v>
      </c>
      <c r="E231" t="inlineStr">
        <is>
          <t>Taxation/Banking updates</t>
        </is>
      </c>
      <c r="F231" t="inlineStr">
        <is>
          <t>Application</t>
        </is>
      </c>
      <c r="G231" t="n">
        <v>1020</v>
      </c>
    </row>
    <row r="232">
      <c r="A232" t="n">
        <v>10</v>
      </c>
      <c r="B232" t="n">
        <v>21</v>
      </c>
      <c r="C232" t="inlineStr">
        <is>
          <t>A</t>
        </is>
      </c>
      <c r="D232" t="n">
        <v>4</v>
      </c>
      <c r="E232" t="inlineStr">
        <is>
          <t>Taxation/Banking updates</t>
        </is>
      </c>
      <c r="F232" t="inlineStr">
        <is>
          <t>Application</t>
        </is>
      </c>
      <c r="G232" t="n">
        <v>1021</v>
      </c>
    </row>
    <row r="233">
      <c r="A233" t="n">
        <v>10</v>
      </c>
      <c r="B233" t="n">
        <v>22</v>
      </c>
      <c r="C233" t="inlineStr">
        <is>
          <t>C</t>
        </is>
      </c>
      <c r="D233" t="n">
        <v>5</v>
      </c>
      <c r="E233" t="inlineStr">
        <is>
          <t>Census 2027 आणि इतर घडामोडी</t>
        </is>
      </c>
      <c r="F233" t="inlineStr">
        <is>
          <t>Application</t>
        </is>
      </c>
      <c r="G233" t="n">
        <v>1022</v>
      </c>
    </row>
    <row r="234">
      <c r="A234" t="n">
        <v>11</v>
      </c>
      <c r="B234" t="n">
        <v>1</v>
      </c>
      <c r="C234" t="inlineStr">
        <is>
          <t>B</t>
        </is>
      </c>
      <c r="D234" t="n">
        <v>1</v>
      </c>
      <c r="E234" t="inlineStr">
        <is>
          <t>A Bookkeeping &amp; Accounting</t>
        </is>
      </c>
      <c r="F234" t="inlineStr">
        <is>
          <t>Foundational</t>
        </is>
      </c>
      <c r="G234" t="n">
        <v>1101</v>
      </c>
    </row>
    <row r="235">
      <c r="A235" t="n">
        <v>11</v>
      </c>
      <c r="B235" t="n">
        <v>2</v>
      </c>
      <c r="C235" t="inlineStr">
        <is>
          <t>B</t>
        </is>
      </c>
      <c r="D235" t="n">
        <v>1</v>
      </c>
      <c r="E235" t="inlineStr">
        <is>
          <t>A Bookkeeping &amp; Accounting</t>
        </is>
      </c>
      <c r="F235" t="inlineStr">
        <is>
          <t>Foundational</t>
        </is>
      </c>
      <c r="G235" t="n">
        <v>1102</v>
      </c>
    </row>
    <row r="236">
      <c r="A236" t="n">
        <v>11</v>
      </c>
      <c r="B236" t="n">
        <v>3</v>
      </c>
      <c r="C236" t="inlineStr">
        <is>
          <t>D</t>
        </is>
      </c>
      <c r="D236" t="n">
        <v>1</v>
      </c>
      <c r="E236" t="inlineStr">
        <is>
          <t>A Bookkeeping &amp; Accounting</t>
        </is>
      </c>
      <c r="F236" t="inlineStr">
        <is>
          <t>Foundational</t>
        </is>
      </c>
      <c r="G236" t="n">
        <v>1103</v>
      </c>
    </row>
    <row r="237">
      <c r="A237" t="n">
        <v>11</v>
      </c>
      <c r="B237" t="n">
        <v>4</v>
      </c>
      <c r="C237" t="inlineStr">
        <is>
          <t>B</t>
        </is>
      </c>
      <c r="D237" t="n">
        <v>2</v>
      </c>
      <c r="E237" t="inlineStr">
        <is>
          <t>B Taxation</t>
        </is>
      </c>
      <c r="F237" t="inlineStr">
        <is>
          <t>Foundational</t>
        </is>
      </c>
      <c r="G237" t="n">
        <v>1104</v>
      </c>
    </row>
    <row r="238">
      <c r="A238" t="n">
        <v>11</v>
      </c>
      <c r="B238" t="n">
        <v>5</v>
      </c>
      <c r="C238" t="inlineStr">
        <is>
          <t>B</t>
        </is>
      </c>
      <c r="D238" t="n">
        <v>3</v>
      </c>
      <c r="E238" t="inlineStr">
        <is>
          <t>C Budget &amp; Financial Discipline</t>
        </is>
      </c>
      <c r="F238" t="inlineStr">
        <is>
          <t>Foundational</t>
        </is>
      </c>
      <c r="G238" t="n">
        <v>1105</v>
      </c>
    </row>
    <row r="239">
      <c r="A239" t="n">
        <v>11</v>
      </c>
      <c r="B239" t="n">
        <v>6</v>
      </c>
      <c r="C239" t="inlineStr">
        <is>
          <t>D</t>
        </is>
      </c>
      <c r="D239" t="n">
        <v>4</v>
      </c>
      <c r="E239" t="inlineStr">
        <is>
          <t>D Banking</t>
        </is>
      </c>
      <c r="F239" t="inlineStr">
        <is>
          <t>Foundational</t>
        </is>
      </c>
      <c r="G239" t="n">
        <v>1106</v>
      </c>
    </row>
    <row r="240">
      <c r="A240" t="n">
        <v>11</v>
      </c>
      <c r="B240" t="n">
        <v>7</v>
      </c>
      <c r="C240" t="inlineStr">
        <is>
          <t>B</t>
        </is>
      </c>
      <c r="D240" t="n">
        <v>4</v>
      </c>
      <c r="E240" t="inlineStr">
        <is>
          <t>D Banking</t>
        </is>
      </c>
      <c r="F240" t="inlineStr">
        <is>
          <t>Foundational</t>
        </is>
      </c>
      <c r="G240" t="n">
        <v>1107</v>
      </c>
    </row>
    <row r="241">
      <c r="A241" t="n">
        <v>11</v>
      </c>
      <c r="B241" t="n">
        <v>8</v>
      </c>
      <c r="C241" t="inlineStr">
        <is>
          <t>A</t>
        </is>
      </c>
      <c r="D241" t="n">
        <v>5</v>
      </c>
      <c r="E241" t="inlineStr">
        <is>
          <t>E Computer &amp; Excel</t>
        </is>
      </c>
      <c r="F241" t="inlineStr">
        <is>
          <t>Foundational</t>
        </is>
      </c>
      <c r="G241" t="n">
        <v>1108</v>
      </c>
    </row>
    <row r="242">
      <c r="A242" t="n">
        <v>11</v>
      </c>
      <c r="B242" t="n">
        <v>9</v>
      </c>
      <c r="C242" t="inlineStr">
        <is>
          <t>C</t>
        </is>
      </c>
      <c r="D242" t="n">
        <v>5</v>
      </c>
      <c r="E242" t="inlineStr">
        <is>
          <t>E Computer &amp; Excel</t>
        </is>
      </c>
      <c r="F242" t="inlineStr">
        <is>
          <t>Foundational</t>
        </is>
      </c>
      <c r="G242" t="n">
        <v>1109</v>
      </c>
    </row>
    <row r="243">
      <c r="A243" t="n">
        <v>11</v>
      </c>
      <c r="B243" t="n">
        <v>10</v>
      </c>
      <c r="C243" t="inlineStr">
        <is>
          <t>D</t>
        </is>
      </c>
      <c r="D243" t="n">
        <v>6</v>
      </c>
      <c r="E243" t="inlineStr">
        <is>
          <t>F Current Affairs / General Awareness</t>
        </is>
      </c>
      <c r="F243" t="inlineStr">
        <is>
          <t>Foundational</t>
        </is>
      </c>
      <c r="G243" t="n">
        <v>1110</v>
      </c>
    </row>
    <row r="244">
      <c r="A244" t="n">
        <v>11</v>
      </c>
      <c r="B244" t="n">
        <v>11</v>
      </c>
      <c r="C244" t="inlineStr">
        <is>
          <t>B</t>
        </is>
      </c>
      <c r="D244" t="n">
        <v>1</v>
      </c>
      <c r="E244" t="inlineStr">
        <is>
          <t>A Bookkeeping &amp; Accounting</t>
        </is>
      </c>
      <c r="F244" t="inlineStr">
        <is>
          <t>Intermediate</t>
        </is>
      </c>
      <c r="G244" t="n">
        <v>1111</v>
      </c>
    </row>
    <row r="245">
      <c r="A245" t="n">
        <v>11</v>
      </c>
      <c r="B245" t="n">
        <v>12</v>
      </c>
      <c r="C245" t="inlineStr">
        <is>
          <t>C</t>
        </is>
      </c>
      <c r="D245" t="n">
        <v>1</v>
      </c>
      <c r="E245" t="inlineStr">
        <is>
          <t>A Bookkeeping &amp; Accounting</t>
        </is>
      </c>
      <c r="F245" t="inlineStr">
        <is>
          <t>Intermediate</t>
        </is>
      </c>
      <c r="G245" t="n">
        <v>1112</v>
      </c>
    </row>
    <row r="246">
      <c r="A246" t="n">
        <v>11</v>
      </c>
      <c r="B246" t="n">
        <v>13</v>
      </c>
      <c r="C246" t="inlineStr">
        <is>
          <t>A</t>
        </is>
      </c>
      <c r="D246" t="n">
        <v>1</v>
      </c>
      <c r="E246" t="inlineStr">
        <is>
          <t>A Bookkeeping &amp; Accounting</t>
        </is>
      </c>
      <c r="F246" t="inlineStr">
        <is>
          <t>Intermediate</t>
        </is>
      </c>
      <c r="G246" t="n">
        <v>1113</v>
      </c>
    </row>
    <row r="247">
      <c r="A247" t="n">
        <v>11</v>
      </c>
      <c r="B247" t="n">
        <v>14</v>
      </c>
      <c r="C247" t="inlineStr">
        <is>
          <t>D</t>
        </is>
      </c>
      <c r="D247" t="n">
        <v>1</v>
      </c>
      <c r="E247" t="inlineStr">
        <is>
          <t>A Bookkeeping &amp; Accounting</t>
        </is>
      </c>
      <c r="F247" t="inlineStr">
        <is>
          <t>Intermediate</t>
        </is>
      </c>
      <c r="G247" t="n">
        <v>1114</v>
      </c>
    </row>
    <row r="248">
      <c r="A248" t="n">
        <v>11</v>
      </c>
      <c r="B248" t="n">
        <v>15</v>
      </c>
      <c r="C248" t="inlineStr">
        <is>
          <t>B</t>
        </is>
      </c>
      <c r="D248" t="n">
        <v>2</v>
      </c>
      <c r="E248" t="inlineStr">
        <is>
          <t>B Taxation</t>
        </is>
      </c>
      <c r="F248" t="inlineStr">
        <is>
          <t>Intermediate</t>
        </is>
      </c>
      <c r="G248" t="n">
        <v>1115</v>
      </c>
    </row>
    <row r="249">
      <c r="A249" t="n">
        <v>11</v>
      </c>
      <c r="B249" t="n">
        <v>16</v>
      </c>
      <c r="C249" t="inlineStr">
        <is>
          <t>C</t>
        </is>
      </c>
      <c r="D249" t="n">
        <v>2</v>
      </c>
      <c r="E249" t="inlineStr">
        <is>
          <t>B Taxation</t>
        </is>
      </c>
      <c r="F249" t="inlineStr">
        <is>
          <t>Intermediate</t>
        </is>
      </c>
      <c r="G249" t="n">
        <v>1116</v>
      </c>
    </row>
    <row r="250">
      <c r="A250" t="n">
        <v>11</v>
      </c>
      <c r="B250" t="n">
        <v>17</v>
      </c>
      <c r="C250" t="inlineStr">
        <is>
          <t>A</t>
        </is>
      </c>
      <c r="D250" t="n">
        <v>3</v>
      </c>
      <c r="E250" t="inlineStr">
        <is>
          <t>C Budget &amp; Financial Discipline</t>
        </is>
      </c>
      <c r="F250" t="inlineStr">
        <is>
          <t>Intermediate</t>
        </is>
      </c>
      <c r="G250" t="n">
        <v>1117</v>
      </c>
    </row>
    <row r="251">
      <c r="A251" t="n">
        <v>11</v>
      </c>
      <c r="B251" t="n">
        <v>18</v>
      </c>
      <c r="C251" t="inlineStr">
        <is>
          <t>D</t>
        </is>
      </c>
      <c r="D251" t="n">
        <v>3</v>
      </c>
      <c r="E251" t="inlineStr">
        <is>
          <t>C Budget &amp; Financial Discipline</t>
        </is>
      </c>
      <c r="F251" t="inlineStr">
        <is>
          <t>Intermediate</t>
        </is>
      </c>
      <c r="G251" t="n">
        <v>1118</v>
      </c>
    </row>
    <row r="252">
      <c r="A252" t="n">
        <v>11</v>
      </c>
      <c r="B252" t="n">
        <v>19</v>
      </c>
      <c r="C252" t="inlineStr">
        <is>
          <t>C</t>
        </is>
      </c>
      <c r="D252" t="n">
        <v>4</v>
      </c>
      <c r="E252" t="inlineStr">
        <is>
          <t>D Banking</t>
        </is>
      </c>
      <c r="F252" t="inlineStr">
        <is>
          <t>Intermediate</t>
        </is>
      </c>
      <c r="G252" t="n">
        <v>1119</v>
      </c>
    </row>
    <row r="253">
      <c r="A253" t="n">
        <v>11</v>
      </c>
      <c r="B253" t="n">
        <v>20</v>
      </c>
      <c r="C253" t="inlineStr">
        <is>
          <t>A</t>
        </is>
      </c>
      <c r="D253" t="n">
        <v>4</v>
      </c>
      <c r="E253" t="inlineStr">
        <is>
          <t>D Banking</t>
        </is>
      </c>
      <c r="F253" t="inlineStr">
        <is>
          <t>Intermediate</t>
        </is>
      </c>
      <c r="G253" t="n">
        <v>1120</v>
      </c>
    </row>
    <row r="254">
      <c r="A254" t="n">
        <v>11</v>
      </c>
      <c r="B254" t="n">
        <v>21</v>
      </c>
      <c r="C254" t="inlineStr">
        <is>
          <t>D</t>
        </is>
      </c>
      <c r="D254" t="n">
        <v>5</v>
      </c>
      <c r="E254" t="inlineStr">
        <is>
          <t>E Computer &amp; Excel</t>
        </is>
      </c>
      <c r="F254" t="inlineStr">
        <is>
          <t>Intermediate</t>
        </is>
      </c>
      <c r="G254" t="n">
        <v>1121</v>
      </c>
    </row>
    <row r="255">
      <c r="A255" t="n">
        <v>11</v>
      </c>
      <c r="B255" t="n">
        <v>22</v>
      </c>
      <c r="C255" t="inlineStr">
        <is>
          <t>A</t>
        </is>
      </c>
      <c r="D255" t="n">
        <v>6</v>
      </c>
      <c r="E255" t="inlineStr">
        <is>
          <t>F Current Affairs / General Awareness</t>
        </is>
      </c>
      <c r="F255" t="inlineStr">
        <is>
          <t>Intermediate</t>
        </is>
      </c>
      <c r="G255" t="n">
        <v>1122</v>
      </c>
    </row>
    <row r="256">
      <c r="A256" t="n">
        <v>11</v>
      </c>
      <c r="B256" t="n">
        <v>23</v>
      </c>
      <c r="C256" t="inlineStr">
        <is>
          <t>C</t>
        </is>
      </c>
      <c r="D256" t="n">
        <v>1</v>
      </c>
      <c r="E256" t="inlineStr">
        <is>
          <t>A Bookkeeping &amp; Accounting</t>
        </is>
      </c>
      <c r="F256" t="inlineStr">
        <is>
          <t>Application</t>
        </is>
      </c>
      <c r="G256" t="n">
        <v>1123</v>
      </c>
    </row>
    <row r="257">
      <c r="A257" t="n">
        <v>11</v>
      </c>
      <c r="B257" t="n">
        <v>24</v>
      </c>
      <c r="C257" t="inlineStr">
        <is>
          <t>D</t>
        </is>
      </c>
      <c r="D257" t="n">
        <v>1</v>
      </c>
      <c r="E257" t="inlineStr">
        <is>
          <t>A Bookkeeping &amp; Accounting</t>
        </is>
      </c>
      <c r="F257" t="inlineStr">
        <is>
          <t>Application</t>
        </is>
      </c>
      <c r="G257" t="n">
        <v>1124</v>
      </c>
    </row>
    <row r="258">
      <c r="A258" t="n">
        <v>11</v>
      </c>
      <c r="B258" t="n">
        <v>25</v>
      </c>
      <c r="C258" t="inlineStr">
        <is>
          <t>B</t>
        </is>
      </c>
      <c r="D258" t="n">
        <v>1</v>
      </c>
      <c r="E258" t="inlineStr">
        <is>
          <t>A Bookkeeping &amp; Accounting</t>
        </is>
      </c>
      <c r="F258" t="inlineStr">
        <is>
          <t>Application</t>
        </is>
      </c>
      <c r="G258" t="n">
        <v>1125</v>
      </c>
    </row>
    <row r="259">
      <c r="A259" t="n">
        <v>11</v>
      </c>
      <c r="B259" t="n">
        <v>26</v>
      </c>
      <c r="C259" t="inlineStr">
        <is>
          <t>A</t>
        </is>
      </c>
      <c r="D259" t="n">
        <v>2</v>
      </c>
      <c r="E259" t="inlineStr">
        <is>
          <t>B Taxation</t>
        </is>
      </c>
      <c r="F259" t="inlineStr">
        <is>
          <t>Application</t>
        </is>
      </c>
      <c r="G259" t="n">
        <v>1126</v>
      </c>
    </row>
    <row r="260">
      <c r="A260" t="n">
        <v>11</v>
      </c>
      <c r="B260" t="n">
        <v>27</v>
      </c>
      <c r="C260" t="inlineStr">
        <is>
          <t>C</t>
        </is>
      </c>
      <c r="D260" t="n">
        <v>3</v>
      </c>
      <c r="E260" t="inlineStr">
        <is>
          <t>C Budget &amp; Financial Discipline</t>
        </is>
      </c>
      <c r="F260" t="inlineStr">
        <is>
          <t>Application</t>
        </is>
      </c>
      <c r="G260" t="n">
        <v>1127</v>
      </c>
    </row>
    <row r="261">
      <c r="A261" t="n">
        <v>11</v>
      </c>
      <c r="B261" t="n">
        <v>28</v>
      </c>
      <c r="C261" t="inlineStr">
        <is>
          <t>A</t>
        </is>
      </c>
      <c r="D261" t="n">
        <v>4</v>
      </c>
      <c r="E261" t="inlineStr">
        <is>
          <t>D Banking</t>
        </is>
      </c>
      <c r="F261" t="inlineStr">
        <is>
          <t>Application</t>
        </is>
      </c>
      <c r="G261" t="n">
        <v>1128</v>
      </c>
    </row>
    <row r="262">
      <c r="A262" t="n">
        <v>11</v>
      </c>
      <c r="B262" t="n">
        <v>29</v>
      </c>
      <c r="C262" t="inlineStr">
        <is>
          <t>D</t>
        </is>
      </c>
      <c r="D262" t="n">
        <v>5</v>
      </c>
      <c r="E262" t="inlineStr">
        <is>
          <t>E Computer &amp; Excel</t>
        </is>
      </c>
      <c r="F262" t="inlineStr">
        <is>
          <t>Application</t>
        </is>
      </c>
      <c r="G262" t="n">
        <v>1129</v>
      </c>
    </row>
    <row r="263">
      <c r="A263" t="n">
        <v>11</v>
      </c>
      <c r="B263" t="n">
        <v>30</v>
      </c>
      <c r="C263" t="inlineStr">
        <is>
          <t>A</t>
        </is>
      </c>
      <c r="D263" t="n">
        <v>6</v>
      </c>
      <c r="E263" t="inlineStr">
        <is>
          <t>F Current Affairs / General Awareness</t>
        </is>
      </c>
      <c r="F263" t="inlineStr">
        <is>
          <t>Application</t>
        </is>
      </c>
      <c r="G263" t="n">
        <v>1130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</cols>
  <sheetData>
    <row r="1">
      <c r="A1" s="3" t="inlineStr">
        <is>
          <t>Paper</t>
        </is>
      </c>
      <c r="B1" s="3" t="inlineStr">
        <is>
          <t>Q1</t>
        </is>
      </c>
      <c r="C1" s="3" t="inlineStr">
        <is>
          <t>Q2</t>
        </is>
      </c>
      <c r="D1" s="3" t="inlineStr">
        <is>
          <t>Q3</t>
        </is>
      </c>
      <c r="E1" s="3" t="inlineStr">
        <is>
          <t>Q4</t>
        </is>
      </c>
      <c r="F1" s="3" t="inlineStr">
        <is>
          <t>Q5</t>
        </is>
      </c>
      <c r="G1" s="3" t="inlineStr">
        <is>
          <t>Q6</t>
        </is>
      </c>
      <c r="H1" s="3" t="inlineStr">
        <is>
          <t>Q7</t>
        </is>
      </c>
      <c r="I1" s="3" t="inlineStr">
        <is>
          <t>Q8</t>
        </is>
      </c>
      <c r="J1" s="3" t="inlineStr">
        <is>
          <t>Q9</t>
        </is>
      </c>
      <c r="K1" s="3" t="inlineStr">
        <is>
          <t>Q10</t>
        </is>
      </c>
      <c r="L1" s="3" t="inlineStr">
        <is>
          <t>Q11</t>
        </is>
      </c>
      <c r="M1" s="3" t="inlineStr">
        <is>
          <t>Q12</t>
        </is>
      </c>
      <c r="N1" s="3" t="inlineStr">
        <is>
          <t>Q13</t>
        </is>
      </c>
      <c r="O1" s="3" t="inlineStr">
        <is>
          <t>Q14</t>
        </is>
      </c>
      <c r="P1" s="3" t="inlineStr">
        <is>
          <t>Q15</t>
        </is>
      </c>
      <c r="Q1" s="3" t="inlineStr">
        <is>
          <t>Q16</t>
        </is>
      </c>
      <c r="R1" s="3" t="inlineStr">
        <is>
          <t>Q17</t>
        </is>
      </c>
      <c r="S1" s="3" t="inlineStr">
        <is>
          <t>Q18</t>
        </is>
      </c>
      <c r="T1" s="3" t="inlineStr">
        <is>
          <t>Q19</t>
        </is>
      </c>
      <c r="U1" s="3" t="inlineStr">
        <is>
          <t>Q20</t>
        </is>
      </c>
      <c r="V1" s="3" t="inlineStr">
        <is>
          <t>Q21</t>
        </is>
      </c>
      <c r="W1" s="3" t="inlineStr">
        <is>
          <t>Q22</t>
        </is>
      </c>
      <c r="X1" s="3" t="inlineStr">
        <is>
          <t>Q23</t>
        </is>
      </c>
      <c r="Y1" s="3" t="inlineStr">
        <is>
          <t>Q24</t>
        </is>
      </c>
      <c r="Z1" s="3" t="inlineStr">
        <is>
          <t>Q25</t>
        </is>
      </c>
      <c r="AA1" s="3" t="inlineStr">
        <is>
          <t>Q26</t>
        </is>
      </c>
      <c r="AB1" s="3" t="inlineStr">
        <is>
          <t>Q27</t>
        </is>
      </c>
      <c r="AC1" s="3" t="inlineStr">
        <is>
          <t>Q28</t>
        </is>
      </c>
      <c r="AD1" s="3" t="inlineStr">
        <is>
          <t>Q29</t>
        </is>
      </c>
      <c r="AE1" s="3" t="inlineStr">
        <is>
          <t>Q30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5</v>
      </c>
      <c r="I2" t="n">
        <v>6</v>
      </c>
      <c r="J2" t="n">
        <v>1</v>
      </c>
      <c r="K2" t="n">
        <v>1</v>
      </c>
      <c r="L2" t="n">
        <v>1</v>
      </c>
      <c r="M2" t="n">
        <v>2</v>
      </c>
      <c r="N2" t="n">
        <v>2</v>
      </c>
      <c r="O2" t="n">
        <v>3</v>
      </c>
      <c r="P2" t="n">
        <v>4</v>
      </c>
      <c r="Q2" t="n">
        <v>4</v>
      </c>
      <c r="R2" t="n">
        <v>5</v>
      </c>
      <c r="S2" t="n">
        <v>6</v>
      </c>
      <c r="T2" t="n">
        <v>1</v>
      </c>
      <c r="U2" t="n">
        <v>1</v>
      </c>
      <c r="V2" t="n">
        <v>2</v>
      </c>
      <c r="W2" t="n">
        <v>3</v>
      </c>
      <c r="X2" t="n">
        <v>4</v>
      </c>
      <c r="Y2" t="n">
        <v>5</v>
      </c>
      <c r="Z2" t="n">
        <v>6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 t="n">
        <v>4</v>
      </c>
      <c r="I3" t="n">
        <v>3</v>
      </c>
      <c r="J3" t="n">
        <v>3</v>
      </c>
      <c r="K3" t="n">
        <v>3</v>
      </c>
      <c r="L3" t="n">
        <v>3</v>
      </c>
      <c r="M3" t="n">
        <v>5</v>
      </c>
      <c r="N3" t="n">
        <v>4</v>
      </c>
      <c r="O3" t="n">
        <v>4</v>
      </c>
      <c r="P3" t="n">
        <v>4</v>
      </c>
      <c r="Q3" t="n">
        <v>5</v>
      </c>
      <c r="R3" t="n">
        <v>5</v>
      </c>
      <c r="S3" t="n">
        <v>5</v>
      </c>
      <c r="T3" t="n">
        <v>2</v>
      </c>
      <c r="U3" t="n">
        <v>5</v>
      </c>
      <c r="V3" t="n">
        <v>4</v>
      </c>
      <c r="W3" t="n">
        <v>4</v>
      </c>
      <c r="X3" t="n">
        <v>5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2</v>
      </c>
      <c r="F4" t="n">
        <v>2</v>
      </c>
      <c r="G4" t="n">
        <v>2</v>
      </c>
      <c r="H4" t="n">
        <v>6</v>
      </c>
      <c r="I4" t="n">
        <v>6</v>
      </c>
      <c r="J4" t="n">
        <v>3</v>
      </c>
      <c r="K4" t="n">
        <v>3</v>
      </c>
      <c r="L4" t="n">
        <v>4</v>
      </c>
      <c r="M4" t="n">
        <v>4</v>
      </c>
      <c r="N4" t="n">
        <v>4</v>
      </c>
      <c r="O4" t="n">
        <v>4</v>
      </c>
      <c r="P4" t="n">
        <v>5</v>
      </c>
      <c r="Q4" t="n">
        <v>5</v>
      </c>
      <c r="R4" t="n">
        <v>5</v>
      </c>
      <c r="S4" t="n">
        <v>3</v>
      </c>
      <c r="T4" t="n">
        <v>4</v>
      </c>
      <c r="U4" t="n">
        <v>2</v>
      </c>
      <c r="V4" t="n">
        <v>3</v>
      </c>
      <c r="W4" t="n">
        <v>5</v>
      </c>
      <c r="X4" t="n">
        <v>4</v>
      </c>
      <c r="Y4" t="n">
        <v>4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2</v>
      </c>
      <c r="F5" t="n">
        <v>2</v>
      </c>
      <c r="G5" t="n">
        <v>4</v>
      </c>
      <c r="H5" t="n">
        <v>4</v>
      </c>
      <c r="I5" t="n">
        <v>5</v>
      </c>
      <c r="J5" t="n">
        <v>1</v>
      </c>
      <c r="K5" t="n">
        <v>1</v>
      </c>
      <c r="L5" t="n">
        <v>2</v>
      </c>
      <c r="M5" t="n">
        <v>2</v>
      </c>
      <c r="N5" t="n">
        <v>2</v>
      </c>
      <c r="O5" t="n">
        <v>3</v>
      </c>
      <c r="P5" t="n">
        <v>4</v>
      </c>
      <c r="Q5" t="n">
        <v>4</v>
      </c>
      <c r="R5" t="n">
        <v>5</v>
      </c>
      <c r="S5" t="n">
        <v>4</v>
      </c>
      <c r="T5" t="n">
        <v>4</v>
      </c>
      <c r="U5" t="n">
        <v>2</v>
      </c>
      <c r="V5" t="n">
        <v>1</v>
      </c>
      <c r="W5" t="n">
        <v>5</v>
      </c>
      <c r="X5" t="n">
        <v>3</v>
      </c>
      <c r="Y5" t="n">
        <v>4</v>
      </c>
    </row>
    <row r="6">
      <c r="A6" t="n">
        <v>5</v>
      </c>
      <c r="B6" t="n">
        <v>1</v>
      </c>
      <c r="C6" t="n">
        <v>1</v>
      </c>
      <c r="D6" t="n">
        <v>2</v>
      </c>
      <c r="E6" t="n">
        <v>2</v>
      </c>
      <c r="F6" t="n">
        <v>3</v>
      </c>
      <c r="G6" t="n">
        <v>4</v>
      </c>
      <c r="H6" t="n">
        <v>5</v>
      </c>
      <c r="I6" t="n">
        <v>3</v>
      </c>
      <c r="J6" t="n">
        <v>1</v>
      </c>
      <c r="K6" t="n">
        <v>1</v>
      </c>
      <c r="L6" t="n">
        <v>2</v>
      </c>
      <c r="M6" t="n">
        <v>2</v>
      </c>
      <c r="N6" t="n">
        <v>3</v>
      </c>
      <c r="O6" t="n">
        <v>4</v>
      </c>
      <c r="P6" t="n">
        <v>6</v>
      </c>
      <c r="Q6" t="n">
        <v>6</v>
      </c>
      <c r="R6" t="n">
        <v>5</v>
      </c>
      <c r="S6" t="n">
        <v>6</v>
      </c>
      <c r="T6" t="n">
        <v>2</v>
      </c>
      <c r="U6" t="n">
        <v>1</v>
      </c>
      <c r="V6" t="n">
        <v>4</v>
      </c>
      <c r="W6" t="n">
        <v>5</v>
      </c>
      <c r="X6" t="n">
        <v>3</v>
      </c>
      <c r="Y6" t="n">
        <v>2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J7" t="n">
        <v>2</v>
      </c>
      <c r="K7" t="n">
        <v>2</v>
      </c>
      <c r="L7" t="n">
        <v>2</v>
      </c>
      <c r="M7" t="n">
        <v>2</v>
      </c>
      <c r="N7" t="n">
        <v>3</v>
      </c>
      <c r="O7" t="n">
        <v>2</v>
      </c>
      <c r="P7" t="n">
        <v>4</v>
      </c>
      <c r="Q7" t="n">
        <v>4</v>
      </c>
      <c r="R7" t="n">
        <v>5</v>
      </c>
      <c r="S7" t="n">
        <v>2</v>
      </c>
      <c r="T7" t="n">
        <v>2</v>
      </c>
      <c r="U7" t="n">
        <v>4</v>
      </c>
      <c r="V7" t="n">
        <v>1</v>
      </c>
      <c r="W7" t="n">
        <v>2</v>
      </c>
      <c r="X7" t="n">
        <v>5</v>
      </c>
      <c r="Y7" t="n">
        <v>5</v>
      </c>
    </row>
    <row r="8">
      <c r="A8" t="n">
        <v>7</v>
      </c>
      <c r="B8" t="n">
        <v>1</v>
      </c>
      <c r="C8" t="n">
        <v>4</v>
      </c>
      <c r="D8" t="n">
        <v>2</v>
      </c>
      <c r="E8" t="n">
        <v>2</v>
      </c>
      <c r="F8" t="n">
        <v>4</v>
      </c>
      <c r="G8" t="n">
        <v>5</v>
      </c>
      <c r="H8" t="n">
        <v>5</v>
      </c>
      <c r="I8" t="n">
        <v>3</v>
      </c>
      <c r="J8" t="n">
        <v>3</v>
      </c>
      <c r="K8" t="n">
        <v>4</v>
      </c>
      <c r="L8" t="n">
        <v>4</v>
      </c>
      <c r="M8" t="n">
        <v>4</v>
      </c>
      <c r="N8" t="n">
        <v>2</v>
      </c>
      <c r="O8" t="n">
        <v>4</v>
      </c>
      <c r="P8" t="n">
        <v>5</v>
      </c>
      <c r="Q8" t="n">
        <v>1</v>
      </c>
      <c r="R8" t="n">
        <v>3</v>
      </c>
      <c r="S8" t="n">
        <v>3</v>
      </c>
      <c r="T8" t="n">
        <v>2</v>
      </c>
      <c r="U8" t="n">
        <v>5</v>
      </c>
      <c r="V8" t="n">
        <v>4</v>
      </c>
      <c r="W8" t="n">
        <v>4</v>
      </c>
    </row>
    <row r="9">
      <c r="A9" t="n">
        <v>8</v>
      </c>
      <c r="B9" t="n">
        <v>1</v>
      </c>
      <c r="C9" t="n">
        <v>1</v>
      </c>
      <c r="D9" t="n">
        <v>2</v>
      </c>
      <c r="E9" t="n">
        <v>2</v>
      </c>
      <c r="F9" t="n">
        <v>3</v>
      </c>
      <c r="G9" t="n">
        <v>4</v>
      </c>
      <c r="H9" t="n">
        <v>4</v>
      </c>
      <c r="I9" t="n">
        <v>5</v>
      </c>
      <c r="J9" t="n">
        <v>4</v>
      </c>
      <c r="K9" t="n">
        <v>3</v>
      </c>
      <c r="L9" t="n">
        <v>1</v>
      </c>
      <c r="M9" t="n">
        <v>1</v>
      </c>
      <c r="N9" t="n">
        <v>4</v>
      </c>
      <c r="O9" t="n">
        <v>4</v>
      </c>
      <c r="P9" t="n">
        <v>2</v>
      </c>
      <c r="Q9" t="n">
        <v>3</v>
      </c>
      <c r="R9" t="n">
        <v>6</v>
      </c>
      <c r="S9" t="n">
        <v>6</v>
      </c>
      <c r="T9" t="n">
        <v>6</v>
      </c>
      <c r="U9" t="n">
        <v>4</v>
      </c>
      <c r="V9" t="n">
        <v>5</v>
      </c>
      <c r="W9" t="n">
        <v>6</v>
      </c>
    </row>
    <row r="10">
      <c r="A10" t="n">
        <v>9</v>
      </c>
      <c r="B10" t="n">
        <v>1</v>
      </c>
      <c r="C10" t="n">
        <v>1</v>
      </c>
      <c r="D10" t="n">
        <v>2</v>
      </c>
      <c r="E10" t="n">
        <v>2</v>
      </c>
      <c r="F10" t="n">
        <v>3</v>
      </c>
      <c r="G10" t="n">
        <v>3</v>
      </c>
      <c r="H10" t="n">
        <v>4</v>
      </c>
      <c r="I10" t="n">
        <v>4</v>
      </c>
      <c r="J10" t="n">
        <v>4</v>
      </c>
      <c r="K10" t="n">
        <v>4</v>
      </c>
      <c r="L10" t="n">
        <v>5</v>
      </c>
      <c r="M10" t="n">
        <v>5</v>
      </c>
      <c r="N10" t="n">
        <v>4</v>
      </c>
      <c r="O10" t="n">
        <v>6</v>
      </c>
      <c r="P10" t="n">
        <v>6</v>
      </c>
      <c r="Q10" t="n">
        <v>2</v>
      </c>
      <c r="R10" t="n">
        <v>5</v>
      </c>
      <c r="S10" t="n">
        <v>5</v>
      </c>
      <c r="T10" t="n">
        <v>4</v>
      </c>
      <c r="U10" t="n">
        <v>5</v>
      </c>
      <c r="V10" t="n">
        <v>6</v>
      </c>
      <c r="W10" t="n">
        <v>6</v>
      </c>
    </row>
    <row r="11">
      <c r="A11" t="n">
        <v>10</v>
      </c>
      <c r="B11" t="n">
        <v>2</v>
      </c>
      <c r="C11" t="n">
        <v>1</v>
      </c>
      <c r="D11" t="n">
        <v>1</v>
      </c>
      <c r="E11" t="n">
        <v>4</v>
      </c>
      <c r="F11" t="n">
        <v>1</v>
      </c>
      <c r="G11" t="n">
        <v>1</v>
      </c>
      <c r="H11" t="n">
        <v>1</v>
      </c>
      <c r="I11" t="n">
        <v>4</v>
      </c>
      <c r="J11" t="n">
        <v>2</v>
      </c>
      <c r="K11" t="n">
        <v>2</v>
      </c>
      <c r="L11" t="n">
        <v>2</v>
      </c>
      <c r="M11" t="n">
        <v>2</v>
      </c>
      <c r="N11" t="n">
        <v>3</v>
      </c>
      <c r="O11" t="n">
        <v>3</v>
      </c>
      <c r="P11" t="n">
        <v>5</v>
      </c>
      <c r="Q11" t="n">
        <v>5</v>
      </c>
      <c r="R11" t="n">
        <v>3</v>
      </c>
      <c r="S11" t="n">
        <v>3</v>
      </c>
      <c r="T11" t="n">
        <v>2</v>
      </c>
      <c r="U11" t="n">
        <v>4</v>
      </c>
      <c r="V11" t="n">
        <v>4</v>
      </c>
      <c r="W11" t="n">
        <v>5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2</v>
      </c>
      <c r="F12" t="n">
        <v>3</v>
      </c>
      <c r="G12" t="n">
        <v>4</v>
      </c>
      <c r="H12" t="n">
        <v>4</v>
      </c>
      <c r="I12" t="n">
        <v>5</v>
      </c>
      <c r="J12" t="n">
        <v>5</v>
      </c>
      <c r="K12" t="n">
        <v>6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3</v>
      </c>
      <c r="S12" t="n">
        <v>3</v>
      </c>
      <c r="T12" t="n">
        <v>4</v>
      </c>
      <c r="U12" t="n">
        <v>4</v>
      </c>
      <c r="V12" t="n">
        <v>5</v>
      </c>
      <c r="W12" t="n">
        <v>6</v>
      </c>
      <c r="X12" t="n">
        <v>1</v>
      </c>
      <c r="Y12" t="n">
        <v>1</v>
      </c>
      <c r="Z12" t="n">
        <v>1</v>
      </c>
      <c r="AA12" t="n">
        <v>2</v>
      </c>
      <c r="AB12" t="n">
        <v>3</v>
      </c>
      <c r="AC12" t="n">
        <v>4</v>
      </c>
      <c r="AD12" t="n">
        <v>5</v>
      </c>
      <c r="AE1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2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9" customWidth="1" min="4" max="4"/>
    <col width="40" customWidth="1" min="5" max="5"/>
    <col width="8" customWidth="1" min="6" max="6"/>
    <col width="10" customWidth="1" min="7" max="7"/>
    <col width="8" customWidth="1" min="8" max="8"/>
    <col width="9" customWidth="1" min="9" max="9"/>
    <col width="11" customWidth="1" min="10" max="10"/>
    <col width="7" customWidth="1" min="11" max="11"/>
    <col width="8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</cols>
  <sheetData>
    <row r="1">
      <c r="A1" s="3" t="inlineStr">
        <is>
          <t>Attempt ID</t>
        </is>
      </c>
      <c r="B1" s="3" t="inlineStr">
        <is>
          <t>Candidate</t>
        </is>
      </c>
      <c r="C1" s="3" t="inlineStr">
        <is>
          <t>Date</t>
        </is>
      </c>
      <c r="D1" s="3" t="inlineStr">
        <is>
          <t>Paper No</t>
        </is>
      </c>
      <c r="E1" s="3" t="inlineStr">
        <is>
          <t>Topic</t>
        </is>
      </c>
      <c r="F1" s="3" t="inlineStr">
        <is>
          <t>Total Qs</t>
        </is>
      </c>
      <c r="G1" s="3" t="inlineStr">
        <is>
          <t>Attempted</t>
        </is>
      </c>
      <c r="H1" s="3" t="inlineStr">
        <is>
          <t>Correct</t>
        </is>
      </c>
      <c r="I1" s="3" t="inlineStr">
        <is>
          <t>Incorrect</t>
        </is>
      </c>
      <c r="J1" s="3" t="inlineStr">
        <is>
          <t>Unanswered</t>
        </is>
      </c>
      <c r="K1" s="3" t="inlineStr">
        <is>
          <t>Score</t>
        </is>
      </c>
      <c r="L1" s="3" t="inlineStr">
        <is>
          <t>%</t>
        </is>
      </c>
      <c r="M1" s="3" t="inlineStr">
        <is>
          <t>Q1</t>
        </is>
      </c>
      <c r="N1" s="3" t="inlineStr">
        <is>
          <t>Q2</t>
        </is>
      </c>
      <c r="O1" s="3" t="inlineStr">
        <is>
          <t>Q3</t>
        </is>
      </c>
      <c r="P1" s="3" t="inlineStr">
        <is>
          <t>Q4</t>
        </is>
      </c>
      <c r="Q1" s="3" t="inlineStr">
        <is>
          <t>Q5</t>
        </is>
      </c>
      <c r="R1" s="3" t="inlineStr">
        <is>
          <t>Q6</t>
        </is>
      </c>
      <c r="S1" s="3" t="inlineStr">
        <is>
          <t>Q7</t>
        </is>
      </c>
      <c r="T1" s="3" t="inlineStr">
        <is>
          <t>Q8</t>
        </is>
      </c>
      <c r="U1" s="3" t="inlineStr">
        <is>
          <t>Q9</t>
        </is>
      </c>
      <c r="V1" s="3" t="inlineStr">
        <is>
          <t>Q10</t>
        </is>
      </c>
      <c r="W1" s="3" t="inlineStr">
        <is>
          <t>Q11</t>
        </is>
      </c>
      <c r="X1" s="3" t="inlineStr">
        <is>
          <t>Q12</t>
        </is>
      </c>
      <c r="Y1" s="3" t="inlineStr">
        <is>
          <t>Q13</t>
        </is>
      </c>
      <c r="Z1" s="3" t="inlineStr">
        <is>
          <t>Q14</t>
        </is>
      </c>
      <c r="AA1" s="3" t="inlineStr">
        <is>
          <t>Q15</t>
        </is>
      </c>
      <c r="AB1" s="3" t="inlineStr">
        <is>
          <t>Q16</t>
        </is>
      </c>
      <c r="AC1" s="3" t="inlineStr">
        <is>
          <t>Q17</t>
        </is>
      </c>
      <c r="AD1" s="3" t="inlineStr">
        <is>
          <t>Q18</t>
        </is>
      </c>
      <c r="AE1" s="3" t="inlineStr">
        <is>
          <t>Q19</t>
        </is>
      </c>
      <c r="AF1" s="3" t="inlineStr">
        <is>
          <t>Q20</t>
        </is>
      </c>
      <c r="AG1" s="3" t="inlineStr">
        <is>
          <t>Q21</t>
        </is>
      </c>
      <c r="AH1" s="3" t="inlineStr">
        <is>
          <t>Q22</t>
        </is>
      </c>
      <c r="AI1" s="3" t="inlineStr">
        <is>
          <t>Q23</t>
        </is>
      </c>
      <c r="AJ1" s="3" t="inlineStr">
        <is>
          <t>Q24</t>
        </is>
      </c>
      <c r="AK1" s="3" t="inlineStr">
        <is>
          <t>Q25</t>
        </is>
      </c>
      <c r="AL1" s="3" t="inlineStr">
        <is>
          <t>Q26</t>
        </is>
      </c>
      <c r="AM1" s="3" t="inlineStr">
        <is>
          <t>Q27</t>
        </is>
      </c>
      <c r="AN1" s="3" t="inlineStr">
        <is>
          <t>Q28</t>
        </is>
      </c>
      <c r="AO1" s="3" t="inlineStr">
        <is>
          <t>Q29</t>
        </is>
      </c>
      <c r="AP1" s="3" t="inlineStr">
        <is>
          <t>Q30</t>
        </is>
      </c>
      <c r="AQ1" t="inlineStr">
        <is>
          <t>→ flags</t>
        </is>
      </c>
      <c r="AR1" s="5" t="inlineStr">
        <is>
          <t>f1</t>
        </is>
      </c>
      <c r="AS1" s="5" t="inlineStr">
        <is>
          <t>f2</t>
        </is>
      </c>
      <c r="AT1" s="5" t="inlineStr">
        <is>
          <t>f3</t>
        </is>
      </c>
      <c r="AU1" s="5" t="inlineStr">
        <is>
          <t>f4</t>
        </is>
      </c>
      <c r="AV1" s="5" t="inlineStr">
        <is>
          <t>f5</t>
        </is>
      </c>
      <c r="AW1" s="5" t="inlineStr">
        <is>
          <t>f6</t>
        </is>
      </c>
      <c r="AX1" s="5" t="inlineStr">
        <is>
          <t>f7</t>
        </is>
      </c>
      <c r="AY1" s="5" t="inlineStr">
        <is>
          <t>f8</t>
        </is>
      </c>
      <c r="AZ1" s="5" t="inlineStr">
        <is>
          <t>f9</t>
        </is>
      </c>
      <c r="BA1" s="5" t="inlineStr">
        <is>
          <t>f10</t>
        </is>
      </c>
      <c r="BB1" s="5" t="inlineStr">
        <is>
          <t>f11</t>
        </is>
      </c>
      <c r="BC1" s="5" t="inlineStr">
        <is>
          <t>f12</t>
        </is>
      </c>
      <c r="BD1" s="5" t="inlineStr">
        <is>
          <t>f13</t>
        </is>
      </c>
      <c r="BE1" s="5" t="inlineStr">
        <is>
          <t>f14</t>
        </is>
      </c>
      <c r="BF1" s="5" t="inlineStr">
        <is>
          <t>f15</t>
        </is>
      </c>
      <c r="BG1" s="5" t="inlineStr">
        <is>
          <t>f16</t>
        </is>
      </c>
      <c r="BH1" s="5" t="inlineStr">
        <is>
          <t>f17</t>
        </is>
      </c>
      <c r="BI1" s="5" t="inlineStr">
        <is>
          <t>f18</t>
        </is>
      </c>
      <c r="BJ1" s="5" t="inlineStr">
        <is>
          <t>f19</t>
        </is>
      </c>
      <c r="BK1" s="5" t="inlineStr">
        <is>
          <t>f20</t>
        </is>
      </c>
      <c r="BL1" s="5" t="inlineStr">
        <is>
          <t>f21</t>
        </is>
      </c>
      <c r="BM1" s="5" t="inlineStr">
        <is>
          <t>f22</t>
        </is>
      </c>
      <c r="BN1" s="5" t="inlineStr">
        <is>
          <t>f23</t>
        </is>
      </c>
      <c r="BO1" s="5" t="inlineStr">
        <is>
          <t>f24</t>
        </is>
      </c>
      <c r="BP1" s="5" t="inlineStr">
        <is>
          <t>f25</t>
        </is>
      </c>
      <c r="BQ1" s="5" t="inlineStr">
        <is>
          <t>f26</t>
        </is>
      </c>
      <c r="BR1" s="5" t="inlineStr">
        <is>
          <t>f27</t>
        </is>
      </c>
      <c r="BS1" s="5" t="inlineStr">
        <is>
          <t>f28</t>
        </is>
      </c>
      <c r="BT1" s="5" t="inlineStr">
        <is>
          <t>f29</t>
        </is>
      </c>
      <c r="BU1" s="5" t="inlineStr">
        <is>
          <t>f30</t>
        </is>
      </c>
    </row>
    <row r="2">
      <c r="A2" s="6" t="n"/>
      <c r="B2" s="6" t="n"/>
      <c r="C2" s="6" t="n"/>
      <c r="D2" s="6" t="n"/>
      <c r="E2" s="7">
        <f>IF($D2="","",IFERROR(INDEX(Papers!$B$2:$B$12,MATCH($D2,Papers!$A$2:$A$12,0)),"?"))</f>
        <v/>
      </c>
      <c r="F2" s="7">
        <f>IF($D2="","",IFERROR(INDEX(Papers!$C$2:$C$12,MATCH($D2,Papers!$A$2:$A$12,0)),0))</f>
        <v/>
      </c>
      <c r="G2" s="7">
        <f>IF($D2="","",COUNTIF(M2:AP2,"?*"))</f>
        <v/>
      </c>
      <c r="H2" s="7">
        <f>IF($D2="","",SUM(AR2:BU2))</f>
        <v/>
      </c>
      <c r="I2" s="7">
        <f>IF($D2="","",G2-H2)</f>
        <v/>
      </c>
      <c r="J2" s="7">
        <f>IF($D2="","",F2-G2)</f>
        <v/>
      </c>
      <c r="K2" s="7">
        <f>IF($D2="","",H2)</f>
        <v/>
      </c>
      <c r="L2" s="7">
        <f>IF($D2="","",IF(F2=0,"",ROUND(H2/F2*100,1)))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R2">
        <f>IF(OR($D2="",M2="",1&gt;$F2),0,IF(UPPER(TRIM(M2))=IFERROR(INDEX(Key!$C$2:$C$263,MATCH($D2*100+1,Key!$G$2:$G$263,0)),"#"),1,0))</f>
        <v/>
      </c>
      <c r="AS2">
        <f>IF(OR($D2="",N2="",2&gt;$F2),0,IF(UPPER(TRIM(N2))=IFERROR(INDEX(Key!$C$2:$C$263,MATCH($D2*100+2,Key!$G$2:$G$263,0)),"#"),1,0))</f>
        <v/>
      </c>
      <c r="AT2">
        <f>IF(OR($D2="",O2="",3&gt;$F2),0,IF(UPPER(TRIM(O2))=IFERROR(INDEX(Key!$C$2:$C$263,MATCH($D2*100+3,Key!$G$2:$G$263,0)),"#"),1,0))</f>
        <v/>
      </c>
      <c r="AU2">
        <f>IF(OR($D2="",P2="",4&gt;$F2),0,IF(UPPER(TRIM(P2))=IFERROR(INDEX(Key!$C$2:$C$263,MATCH($D2*100+4,Key!$G$2:$G$263,0)),"#"),1,0))</f>
        <v/>
      </c>
      <c r="AV2">
        <f>IF(OR($D2="",Q2="",5&gt;$F2),0,IF(UPPER(TRIM(Q2))=IFERROR(INDEX(Key!$C$2:$C$263,MATCH($D2*100+5,Key!$G$2:$G$263,0)),"#"),1,0))</f>
        <v/>
      </c>
      <c r="AW2">
        <f>IF(OR($D2="",R2="",6&gt;$F2),0,IF(UPPER(TRIM(R2))=IFERROR(INDEX(Key!$C$2:$C$263,MATCH($D2*100+6,Key!$G$2:$G$263,0)),"#"),1,0))</f>
        <v/>
      </c>
      <c r="AX2">
        <f>IF(OR($D2="",S2="",7&gt;$F2),0,IF(UPPER(TRIM(S2))=IFERROR(INDEX(Key!$C$2:$C$263,MATCH($D2*100+7,Key!$G$2:$G$263,0)),"#"),1,0))</f>
        <v/>
      </c>
      <c r="AY2">
        <f>IF(OR($D2="",T2="",8&gt;$F2),0,IF(UPPER(TRIM(T2))=IFERROR(INDEX(Key!$C$2:$C$263,MATCH($D2*100+8,Key!$G$2:$G$263,0)),"#"),1,0))</f>
        <v/>
      </c>
      <c r="AZ2">
        <f>IF(OR($D2="",U2="",9&gt;$F2),0,IF(UPPER(TRIM(U2))=IFERROR(INDEX(Key!$C$2:$C$263,MATCH($D2*100+9,Key!$G$2:$G$263,0)),"#"),1,0))</f>
        <v/>
      </c>
      <c r="BA2">
        <f>IF(OR($D2="",V2="",10&gt;$F2),0,IF(UPPER(TRIM(V2))=IFERROR(INDEX(Key!$C$2:$C$263,MATCH($D2*100+10,Key!$G$2:$G$263,0)),"#"),1,0))</f>
        <v/>
      </c>
      <c r="BB2">
        <f>IF(OR($D2="",W2="",11&gt;$F2),0,IF(UPPER(TRIM(W2))=IFERROR(INDEX(Key!$C$2:$C$263,MATCH($D2*100+11,Key!$G$2:$G$263,0)),"#"),1,0))</f>
        <v/>
      </c>
      <c r="BC2">
        <f>IF(OR($D2="",X2="",12&gt;$F2),0,IF(UPPER(TRIM(X2))=IFERROR(INDEX(Key!$C$2:$C$263,MATCH($D2*100+12,Key!$G$2:$G$263,0)),"#"),1,0))</f>
        <v/>
      </c>
      <c r="BD2">
        <f>IF(OR($D2="",Y2="",13&gt;$F2),0,IF(UPPER(TRIM(Y2))=IFERROR(INDEX(Key!$C$2:$C$263,MATCH($D2*100+13,Key!$G$2:$G$263,0)),"#"),1,0))</f>
        <v/>
      </c>
      <c r="BE2">
        <f>IF(OR($D2="",Z2="",14&gt;$F2),0,IF(UPPER(TRIM(Z2))=IFERROR(INDEX(Key!$C$2:$C$263,MATCH($D2*100+14,Key!$G$2:$G$263,0)),"#"),1,0))</f>
        <v/>
      </c>
      <c r="BF2">
        <f>IF(OR($D2="",AA2="",15&gt;$F2),0,IF(UPPER(TRIM(AA2))=IFERROR(INDEX(Key!$C$2:$C$263,MATCH($D2*100+15,Key!$G$2:$G$263,0)),"#"),1,0))</f>
        <v/>
      </c>
      <c r="BG2">
        <f>IF(OR($D2="",AB2="",16&gt;$F2),0,IF(UPPER(TRIM(AB2))=IFERROR(INDEX(Key!$C$2:$C$263,MATCH($D2*100+16,Key!$G$2:$G$263,0)),"#"),1,0))</f>
        <v/>
      </c>
      <c r="BH2">
        <f>IF(OR($D2="",AC2="",17&gt;$F2),0,IF(UPPER(TRIM(AC2))=IFERROR(INDEX(Key!$C$2:$C$263,MATCH($D2*100+17,Key!$G$2:$G$263,0)),"#"),1,0))</f>
        <v/>
      </c>
      <c r="BI2">
        <f>IF(OR($D2="",AD2="",18&gt;$F2),0,IF(UPPER(TRIM(AD2))=IFERROR(INDEX(Key!$C$2:$C$263,MATCH($D2*100+18,Key!$G$2:$G$263,0)),"#"),1,0))</f>
        <v/>
      </c>
      <c r="BJ2">
        <f>IF(OR($D2="",AE2="",19&gt;$F2),0,IF(UPPER(TRIM(AE2))=IFERROR(INDEX(Key!$C$2:$C$263,MATCH($D2*100+19,Key!$G$2:$G$263,0)),"#"),1,0))</f>
        <v/>
      </c>
      <c r="BK2">
        <f>IF(OR($D2="",AF2="",20&gt;$F2),0,IF(UPPER(TRIM(AF2))=IFERROR(INDEX(Key!$C$2:$C$263,MATCH($D2*100+20,Key!$G$2:$G$263,0)),"#"),1,0))</f>
        <v/>
      </c>
      <c r="BL2">
        <f>IF(OR($D2="",AG2="",21&gt;$F2),0,IF(UPPER(TRIM(AG2))=IFERROR(INDEX(Key!$C$2:$C$263,MATCH($D2*100+21,Key!$G$2:$G$263,0)),"#"),1,0))</f>
        <v/>
      </c>
      <c r="BM2">
        <f>IF(OR($D2="",AH2="",22&gt;$F2),0,IF(UPPER(TRIM(AH2))=IFERROR(INDEX(Key!$C$2:$C$263,MATCH($D2*100+22,Key!$G$2:$G$263,0)),"#"),1,0))</f>
        <v/>
      </c>
      <c r="BN2">
        <f>IF(OR($D2="",AI2="",23&gt;$F2),0,IF(UPPER(TRIM(AI2))=IFERROR(INDEX(Key!$C$2:$C$263,MATCH($D2*100+23,Key!$G$2:$G$263,0)),"#"),1,0))</f>
        <v/>
      </c>
      <c r="BO2">
        <f>IF(OR($D2="",AJ2="",24&gt;$F2),0,IF(UPPER(TRIM(AJ2))=IFERROR(INDEX(Key!$C$2:$C$263,MATCH($D2*100+24,Key!$G$2:$G$263,0)),"#"),1,0))</f>
        <v/>
      </c>
      <c r="BP2">
        <f>IF(OR($D2="",AK2="",25&gt;$F2),0,IF(UPPER(TRIM(AK2))=IFERROR(INDEX(Key!$C$2:$C$263,MATCH($D2*100+25,Key!$G$2:$G$263,0)),"#"),1,0))</f>
        <v/>
      </c>
      <c r="BQ2">
        <f>IF(OR($D2="",AL2="",26&gt;$F2),0,IF(UPPER(TRIM(AL2))=IFERROR(INDEX(Key!$C$2:$C$263,MATCH($D2*100+26,Key!$G$2:$G$263,0)),"#"),1,0))</f>
        <v/>
      </c>
      <c r="BR2">
        <f>IF(OR($D2="",AM2="",27&gt;$F2),0,IF(UPPER(TRIM(AM2))=IFERROR(INDEX(Key!$C$2:$C$263,MATCH($D2*100+27,Key!$G$2:$G$263,0)),"#"),1,0))</f>
        <v/>
      </c>
      <c r="BS2">
        <f>IF(OR($D2="",AN2="",28&gt;$F2),0,IF(UPPER(TRIM(AN2))=IFERROR(INDEX(Key!$C$2:$C$263,MATCH($D2*100+28,Key!$G$2:$G$263,0)),"#"),1,0))</f>
        <v/>
      </c>
      <c r="BT2">
        <f>IF(OR($D2="",AO2="",29&gt;$F2),0,IF(UPPER(TRIM(AO2))=IFERROR(INDEX(Key!$C$2:$C$263,MATCH($D2*100+29,Key!$G$2:$G$263,0)),"#"),1,0))</f>
        <v/>
      </c>
      <c r="BU2">
        <f>IF(OR($D2="",AP2="",30&gt;$F2),0,IF(UPPER(TRIM(AP2))=IFERROR(INDEX(Key!$C$2:$C$263,MATCH($D2*100+30,Key!$G$2:$G$263,0)),"#"),1,0))</f>
        <v/>
      </c>
    </row>
    <row r="3">
      <c r="A3" s="6" t="n"/>
      <c r="B3" s="6" t="n"/>
      <c r="C3" s="6" t="n"/>
      <c r="D3" s="6" t="n"/>
      <c r="E3" s="7">
        <f>IF($D3="","",IFERROR(INDEX(Papers!$B$2:$B$12,MATCH($D3,Papers!$A$2:$A$12,0)),"?"))</f>
        <v/>
      </c>
      <c r="F3" s="7">
        <f>IF($D3="","",IFERROR(INDEX(Papers!$C$2:$C$12,MATCH($D3,Papers!$A$2:$A$12,0)),0))</f>
        <v/>
      </c>
      <c r="G3" s="7">
        <f>IF($D3="","",COUNTIF(M3:AP3,"?*"))</f>
        <v/>
      </c>
      <c r="H3" s="7">
        <f>IF($D3="","",SUM(AR3:BU3))</f>
        <v/>
      </c>
      <c r="I3" s="7">
        <f>IF($D3="","",G3-H3)</f>
        <v/>
      </c>
      <c r="J3" s="7">
        <f>IF($D3="","",F3-G3)</f>
        <v/>
      </c>
      <c r="K3" s="7">
        <f>IF($D3="","",H3)</f>
        <v/>
      </c>
      <c r="L3" s="7">
        <f>IF($D3="","",IF(F3=0,"",ROUND(H3/F3*100,1)))</f>
        <v/>
      </c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R3">
        <f>IF(OR($D3="",M3="",1&gt;$F3),0,IF(UPPER(TRIM(M3))=IFERROR(INDEX(Key!$C$2:$C$263,MATCH($D3*100+1,Key!$G$2:$G$263,0)),"#"),1,0))</f>
        <v/>
      </c>
      <c r="AS3">
        <f>IF(OR($D3="",N3="",2&gt;$F3),0,IF(UPPER(TRIM(N3))=IFERROR(INDEX(Key!$C$2:$C$263,MATCH($D3*100+2,Key!$G$2:$G$263,0)),"#"),1,0))</f>
        <v/>
      </c>
      <c r="AT3">
        <f>IF(OR($D3="",O3="",3&gt;$F3),0,IF(UPPER(TRIM(O3))=IFERROR(INDEX(Key!$C$2:$C$263,MATCH($D3*100+3,Key!$G$2:$G$263,0)),"#"),1,0))</f>
        <v/>
      </c>
      <c r="AU3">
        <f>IF(OR($D3="",P3="",4&gt;$F3),0,IF(UPPER(TRIM(P3))=IFERROR(INDEX(Key!$C$2:$C$263,MATCH($D3*100+4,Key!$G$2:$G$263,0)),"#"),1,0))</f>
        <v/>
      </c>
      <c r="AV3">
        <f>IF(OR($D3="",Q3="",5&gt;$F3),0,IF(UPPER(TRIM(Q3))=IFERROR(INDEX(Key!$C$2:$C$263,MATCH($D3*100+5,Key!$G$2:$G$263,0)),"#"),1,0))</f>
        <v/>
      </c>
      <c r="AW3">
        <f>IF(OR($D3="",R3="",6&gt;$F3),0,IF(UPPER(TRIM(R3))=IFERROR(INDEX(Key!$C$2:$C$263,MATCH($D3*100+6,Key!$G$2:$G$263,0)),"#"),1,0))</f>
        <v/>
      </c>
      <c r="AX3">
        <f>IF(OR($D3="",S3="",7&gt;$F3),0,IF(UPPER(TRIM(S3))=IFERROR(INDEX(Key!$C$2:$C$263,MATCH($D3*100+7,Key!$G$2:$G$263,0)),"#"),1,0))</f>
        <v/>
      </c>
      <c r="AY3">
        <f>IF(OR($D3="",T3="",8&gt;$F3),0,IF(UPPER(TRIM(T3))=IFERROR(INDEX(Key!$C$2:$C$263,MATCH($D3*100+8,Key!$G$2:$G$263,0)),"#"),1,0))</f>
        <v/>
      </c>
      <c r="AZ3">
        <f>IF(OR($D3="",U3="",9&gt;$F3),0,IF(UPPER(TRIM(U3))=IFERROR(INDEX(Key!$C$2:$C$263,MATCH($D3*100+9,Key!$G$2:$G$263,0)),"#"),1,0))</f>
        <v/>
      </c>
      <c r="BA3">
        <f>IF(OR($D3="",V3="",10&gt;$F3),0,IF(UPPER(TRIM(V3))=IFERROR(INDEX(Key!$C$2:$C$263,MATCH($D3*100+10,Key!$G$2:$G$263,0)),"#"),1,0))</f>
        <v/>
      </c>
      <c r="BB3">
        <f>IF(OR($D3="",W3="",11&gt;$F3),0,IF(UPPER(TRIM(W3))=IFERROR(INDEX(Key!$C$2:$C$263,MATCH($D3*100+11,Key!$G$2:$G$263,0)),"#"),1,0))</f>
        <v/>
      </c>
      <c r="BC3">
        <f>IF(OR($D3="",X3="",12&gt;$F3),0,IF(UPPER(TRIM(X3))=IFERROR(INDEX(Key!$C$2:$C$263,MATCH($D3*100+12,Key!$G$2:$G$263,0)),"#"),1,0))</f>
        <v/>
      </c>
      <c r="BD3">
        <f>IF(OR($D3="",Y3="",13&gt;$F3),0,IF(UPPER(TRIM(Y3))=IFERROR(INDEX(Key!$C$2:$C$263,MATCH($D3*100+13,Key!$G$2:$G$263,0)),"#"),1,0))</f>
        <v/>
      </c>
      <c r="BE3">
        <f>IF(OR($D3="",Z3="",14&gt;$F3),0,IF(UPPER(TRIM(Z3))=IFERROR(INDEX(Key!$C$2:$C$263,MATCH($D3*100+14,Key!$G$2:$G$263,0)),"#"),1,0))</f>
        <v/>
      </c>
      <c r="BF3">
        <f>IF(OR($D3="",AA3="",15&gt;$F3),0,IF(UPPER(TRIM(AA3))=IFERROR(INDEX(Key!$C$2:$C$263,MATCH($D3*100+15,Key!$G$2:$G$263,0)),"#"),1,0))</f>
        <v/>
      </c>
      <c r="BG3">
        <f>IF(OR($D3="",AB3="",16&gt;$F3),0,IF(UPPER(TRIM(AB3))=IFERROR(INDEX(Key!$C$2:$C$263,MATCH($D3*100+16,Key!$G$2:$G$263,0)),"#"),1,0))</f>
        <v/>
      </c>
      <c r="BH3">
        <f>IF(OR($D3="",AC3="",17&gt;$F3),0,IF(UPPER(TRIM(AC3))=IFERROR(INDEX(Key!$C$2:$C$263,MATCH($D3*100+17,Key!$G$2:$G$263,0)),"#"),1,0))</f>
        <v/>
      </c>
      <c r="BI3">
        <f>IF(OR($D3="",AD3="",18&gt;$F3),0,IF(UPPER(TRIM(AD3))=IFERROR(INDEX(Key!$C$2:$C$263,MATCH($D3*100+18,Key!$G$2:$G$263,0)),"#"),1,0))</f>
        <v/>
      </c>
      <c r="BJ3">
        <f>IF(OR($D3="",AE3="",19&gt;$F3),0,IF(UPPER(TRIM(AE3))=IFERROR(INDEX(Key!$C$2:$C$263,MATCH($D3*100+19,Key!$G$2:$G$263,0)),"#"),1,0))</f>
        <v/>
      </c>
      <c r="BK3">
        <f>IF(OR($D3="",AF3="",20&gt;$F3),0,IF(UPPER(TRIM(AF3))=IFERROR(INDEX(Key!$C$2:$C$263,MATCH($D3*100+20,Key!$G$2:$G$263,0)),"#"),1,0))</f>
        <v/>
      </c>
      <c r="BL3">
        <f>IF(OR($D3="",AG3="",21&gt;$F3),0,IF(UPPER(TRIM(AG3))=IFERROR(INDEX(Key!$C$2:$C$263,MATCH($D3*100+21,Key!$G$2:$G$263,0)),"#"),1,0))</f>
        <v/>
      </c>
      <c r="BM3">
        <f>IF(OR($D3="",AH3="",22&gt;$F3),0,IF(UPPER(TRIM(AH3))=IFERROR(INDEX(Key!$C$2:$C$263,MATCH($D3*100+22,Key!$G$2:$G$263,0)),"#"),1,0))</f>
        <v/>
      </c>
      <c r="BN3">
        <f>IF(OR($D3="",AI3="",23&gt;$F3),0,IF(UPPER(TRIM(AI3))=IFERROR(INDEX(Key!$C$2:$C$263,MATCH($D3*100+23,Key!$G$2:$G$263,0)),"#"),1,0))</f>
        <v/>
      </c>
      <c r="BO3">
        <f>IF(OR($D3="",AJ3="",24&gt;$F3),0,IF(UPPER(TRIM(AJ3))=IFERROR(INDEX(Key!$C$2:$C$263,MATCH($D3*100+24,Key!$G$2:$G$263,0)),"#"),1,0))</f>
        <v/>
      </c>
      <c r="BP3">
        <f>IF(OR($D3="",AK3="",25&gt;$F3),0,IF(UPPER(TRIM(AK3))=IFERROR(INDEX(Key!$C$2:$C$263,MATCH($D3*100+25,Key!$G$2:$G$263,0)),"#"),1,0))</f>
        <v/>
      </c>
      <c r="BQ3">
        <f>IF(OR($D3="",AL3="",26&gt;$F3),0,IF(UPPER(TRIM(AL3))=IFERROR(INDEX(Key!$C$2:$C$263,MATCH($D3*100+26,Key!$G$2:$G$263,0)),"#"),1,0))</f>
        <v/>
      </c>
      <c r="BR3">
        <f>IF(OR($D3="",AM3="",27&gt;$F3),0,IF(UPPER(TRIM(AM3))=IFERROR(INDEX(Key!$C$2:$C$263,MATCH($D3*100+27,Key!$G$2:$G$263,0)),"#"),1,0))</f>
        <v/>
      </c>
      <c r="BS3">
        <f>IF(OR($D3="",AN3="",28&gt;$F3),0,IF(UPPER(TRIM(AN3))=IFERROR(INDEX(Key!$C$2:$C$263,MATCH($D3*100+28,Key!$G$2:$G$263,0)),"#"),1,0))</f>
        <v/>
      </c>
      <c r="BT3">
        <f>IF(OR($D3="",AO3="",29&gt;$F3),0,IF(UPPER(TRIM(AO3))=IFERROR(INDEX(Key!$C$2:$C$263,MATCH($D3*100+29,Key!$G$2:$G$263,0)),"#"),1,0))</f>
        <v/>
      </c>
      <c r="BU3">
        <f>IF(OR($D3="",AP3="",30&gt;$F3),0,IF(UPPER(TRIM(AP3))=IFERROR(INDEX(Key!$C$2:$C$263,MATCH($D3*100+30,Key!$G$2:$G$263,0)),"#"),1,0))</f>
        <v/>
      </c>
    </row>
    <row r="4">
      <c r="A4" s="6" t="n"/>
      <c r="B4" s="6" t="n"/>
      <c r="C4" s="6" t="n"/>
      <c r="D4" s="6" t="n"/>
      <c r="E4" s="7">
        <f>IF($D4="","",IFERROR(INDEX(Papers!$B$2:$B$12,MATCH($D4,Papers!$A$2:$A$12,0)),"?"))</f>
        <v/>
      </c>
      <c r="F4" s="7">
        <f>IF($D4="","",IFERROR(INDEX(Papers!$C$2:$C$12,MATCH($D4,Papers!$A$2:$A$12,0)),0))</f>
        <v/>
      </c>
      <c r="G4" s="7">
        <f>IF($D4="","",COUNTIF(M4:AP4,"?*"))</f>
        <v/>
      </c>
      <c r="H4" s="7">
        <f>IF($D4="","",SUM(AR4:BU4))</f>
        <v/>
      </c>
      <c r="I4" s="7">
        <f>IF($D4="","",G4-H4)</f>
        <v/>
      </c>
      <c r="J4" s="7">
        <f>IF($D4="","",F4-G4)</f>
        <v/>
      </c>
      <c r="K4" s="7">
        <f>IF($D4="","",H4)</f>
        <v/>
      </c>
      <c r="L4" s="7">
        <f>IF($D4="","",IF(F4=0,"",ROUND(H4/F4*100,1)))</f>
        <v/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R4">
        <f>IF(OR($D4="",M4="",1&gt;$F4),0,IF(UPPER(TRIM(M4))=IFERROR(INDEX(Key!$C$2:$C$263,MATCH($D4*100+1,Key!$G$2:$G$263,0)),"#"),1,0))</f>
        <v/>
      </c>
      <c r="AS4">
        <f>IF(OR($D4="",N4="",2&gt;$F4),0,IF(UPPER(TRIM(N4))=IFERROR(INDEX(Key!$C$2:$C$263,MATCH($D4*100+2,Key!$G$2:$G$263,0)),"#"),1,0))</f>
        <v/>
      </c>
      <c r="AT4">
        <f>IF(OR($D4="",O4="",3&gt;$F4),0,IF(UPPER(TRIM(O4))=IFERROR(INDEX(Key!$C$2:$C$263,MATCH($D4*100+3,Key!$G$2:$G$263,0)),"#"),1,0))</f>
        <v/>
      </c>
      <c r="AU4">
        <f>IF(OR($D4="",P4="",4&gt;$F4),0,IF(UPPER(TRIM(P4))=IFERROR(INDEX(Key!$C$2:$C$263,MATCH($D4*100+4,Key!$G$2:$G$263,0)),"#"),1,0))</f>
        <v/>
      </c>
      <c r="AV4">
        <f>IF(OR($D4="",Q4="",5&gt;$F4),0,IF(UPPER(TRIM(Q4))=IFERROR(INDEX(Key!$C$2:$C$263,MATCH($D4*100+5,Key!$G$2:$G$263,0)),"#"),1,0))</f>
        <v/>
      </c>
      <c r="AW4">
        <f>IF(OR($D4="",R4="",6&gt;$F4),0,IF(UPPER(TRIM(R4))=IFERROR(INDEX(Key!$C$2:$C$263,MATCH($D4*100+6,Key!$G$2:$G$263,0)),"#"),1,0))</f>
        <v/>
      </c>
      <c r="AX4">
        <f>IF(OR($D4="",S4="",7&gt;$F4),0,IF(UPPER(TRIM(S4))=IFERROR(INDEX(Key!$C$2:$C$263,MATCH($D4*100+7,Key!$G$2:$G$263,0)),"#"),1,0))</f>
        <v/>
      </c>
      <c r="AY4">
        <f>IF(OR($D4="",T4="",8&gt;$F4),0,IF(UPPER(TRIM(T4))=IFERROR(INDEX(Key!$C$2:$C$263,MATCH($D4*100+8,Key!$G$2:$G$263,0)),"#"),1,0))</f>
        <v/>
      </c>
      <c r="AZ4">
        <f>IF(OR($D4="",U4="",9&gt;$F4),0,IF(UPPER(TRIM(U4))=IFERROR(INDEX(Key!$C$2:$C$263,MATCH($D4*100+9,Key!$G$2:$G$263,0)),"#"),1,0))</f>
        <v/>
      </c>
      <c r="BA4">
        <f>IF(OR($D4="",V4="",10&gt;$F4),0,IF(UPPER(TRIM(V4))=IFERROR(INDEX(Key!$C$2:$C$263,MATCH($D4*100+10,Key!$G$2:$G$263,0)),"#"),1,0))</f>
        <v/>
      </c>
      <c r="BB4">
        <f>IF(OR($D4="",W4="",11&gt;$F4),0,IF(UPPER(TRIM(W4))=IFERROR(INDEX(Key!$C$2:$C$263,MATCH($D4*100+11,Key!$G$2:$G$263,0)),"#"),1,0))</f>
        <v/>
      </c>
      <c r="BC4">
        <f>IF(OR($D4="",X4="",12&gt;$F4),0,IF(UPPER(TRIM(X4))=IFERROR(INDEX(Key!$C$2:$C$263,MATCH($D4*100+12,Key!$G$2:$G$263,0)),"#"),1,0))</f>
        <v/>
      </c>
      <c r="BD4">
        <f>IF(OR($D4="",Y4="",13&gt;$F4),0,IF(UPPER(TRIM(Y4))=IFERROR(INDEX(Key!$C$2:$C$263,MATCH($D4*100+13,Key!$G$2:$G$263,0)),"#"),1,0))</f>
        <v/>
      </c>
      <c r="BE4">
        <f>IF(OR($D4="",Z4="",14&gt;$F4),0,IF(UPPER(TRIM(Z4))=IFERROR(INDEX(Key!$C$2:$C$263,MATCH($D4*100+14,Key!$G$2:$G$263,0)),"#"),1,0))</f>
        <v/>
      </c>
      <c r="BF4">
        <f>IF(OR($D4="",AA4="",15&gt;$F4),0,IF(UPPER(TRIM(AA4))=IFERROR(INDEX(Key!$C$2:$C$263,MATCH($D4*100+15,Key!$G$2:$G$263,0)),"#"),1,0))</f>
        <v/>
      </c>
      <c r="BG4">
        <f>IF(OR($D4="",AB4="",16&gt;$F4),0,IF(UPPER(TRIM(AB4))=IFERROR(INDEX(Key!$C$2:$C$263,MATCH($D4*100+16,Key!$G$2:$G$263,0)),"#"),1,0))</f>
        <v/>
      </c>
      <c r="BH4">
        <f>IF(OR($D4="",AC4="",17&gt;$F4),0,IF(UPPER(TRIM(AC4))=IFERROR(INDEX(Key!$C$2:$C$263,MATCH($D4*100+17,Key!$G$2:$G$263,0)),"#"),1,0))</f>
        <v/>
      </c>
      <c r="BI4">
        <f>IF(OR($D4="",AD4="",18&gt;$F4),0,IF(UPPER(TRIM(AD4))=IFERROR(INDEX(Key!$C$2:$C$263,MATCH($D4*100+18,Key!$G$2:$G$263,0)),"#"),1,0))</f>
        <v/>
      </c>
      <c r="BJ4">
        <f>IF(OR($D4="",AE4="",19&gt;$F4),0,IF(UPPER(TRIM(AE4))=IFERROR(INDEX(Key!$C$2:$C$263,MATCH($D4*100+19,Key!$G$2:$G$263,0)),"#"),1,0))</f>
        <v/>
      </c>
      <c r="BK4">
        <f>IF(OR($D4="",AF4="",20&gt;$F4),0,IF(UPPER(TRIM(AF4))=IFERROR(INDEX(Key!$C$2:$C$263,MATCH($D4*100+20,Key!$G$2:$G$263,0)),"#"),1,0))</f>
        <v/>
      </c>
      <c r="BL4">
        <f>IF(OR($D4="",AG4="",21&gt;$F4),0,IF(UPPER(TRIM(AG4))=IFERROR(INDEX(Key!$C$2:$C$263,MATCH($D4*100+21,Key!$G$2:$G$263,0)),"#"),1,0))</f>
        <v/>
      </c>
      <c r="BM4">
        <f>IF(OR($D4="",AH4="",22&gt;$F4),0,IF(UPPER(TRIM(AH4))=IFERROR(INDEX(Key!$C$2:$C$263,MATCH($D4*100+22,Key!$G$2:$G$263,0)),"#"),1,0))</f>
        <v/>
      </c>
      <c r="BN4">
        <f>IF(OR($D4="",AI4="",23&gt;$F4),0,IF(UPPER(TRIM(AI4))=IFERROR(INDEX(Key!$C$2:$C$263,MATCH($D4*100+23,Key!$G$2:$G$263,0)),"#"),1,0))</f>
        <v/>
      </c>
      <c r="BO4">
        <f>IF(OR($D4="",AJ4="",24&gt;$F4),0,IF(UPPER(TRIM(AJ4))=IFERROR(INDEX(Key!$C$2:$C$263,MATCH($D4*100+24,Key!$G$2:$G$263,0)),"#"),1,0))</f>
        <v/>
      </c>
      <c r="BP4">
        <f>IF(OR($D4="",AK4="",25&gt;$F4),0,IF(UPPER(TRIM(AK4))=IFERROR(INDEX(Key!$C$2:$C$263,MATCH($D4*100+25,Key!$G$2:$G$263,0)),"#"),1,0))</f>
        <v/>
      </c>
      <c r="BQ4">
        <f>IF(OR($D4="",AL4="",26&gt;$F4),0,IF(UPPER(TRIM(AL4))=IFERROR(INDEX(Key!$C$2:$C$263,MATCH($D4*100+26,Key!$G$2:$G$263,0)),"#"),1,0))</f>
        <v/>
      </c>
      <c r="BR4">
        <f>IF(OR($D4="",AM4="",27&gt;$F4),0,IF(UPPER(TRIM(AM4))=IFERROR(INDEX(Key!$C$2:$C$263,MATCH($D4*100+27,Key!$G$2:$G$263,0)),"#"),1,0))</f>
        <v/>
      </c>
      <c r="BS4">
        <f>IF(OR($D4="",AN4="",28&gt;$F4),0,IF(UPPER(TRIM(AN4))=IFERROR(INDEX(Key!$C$2:$C$263,MATCH($D4*100+28,Key!$G$2:$G$263,0)),"#"),1,0))</f>
        <v/>
      </c>
      <c r="BT4">
        <f>IF(OR($D4="",AO4="",29&gt;$F4),0,IF(UPPER(TRIM(AO4))=IFERROR(INDEX(Key!$C$2:$C$263,MATCH($D4*100+29,Key!$G$2:$G$263,0)),"#"),1,0))</f>
        <v/>
      </c>
      <c r="BU4">
        <f>IF(OR($D4="",AP4="",30&gt;$F4),0,IF(UPPER(TRIM(AP4))=IFERROR(INDEX(Key!$C$2:$C$263,MATCH($D4*100+30,Key!$G$2:$G$263,0)),"#"),1,0))</f>
        <v/>
      </c>
    </row>
    <row r="5">
      <c r="A5" s="6" t="n"/>
      <c r="B5" s="6" t="n"/>
      <c r="C5" s="6" t="n"/>
      <c r="D5" s="6" t="n"/>
      <c r="E5" s="7">
        <f>IF($D5="","",IFERROR(INDEX(Papers!$B$2:$B$12,MATCH($D5,Papers!$A$2:$A$12,0)),"?"))</f>
        <v/>
      </c>
      <c r="F5" s="7">
        <f>IF($D5="","",IFERROR(INDEX(Papers!$C$2:$C$12,MATCH($D5,Papers!$A$2:$A$12,0)),0))</f>
        <v/>
      </c>
      <c r="G5" s="7">
        <f>IF($D5="","",COUNTIF(M5:AP5,"?*"))</f>
        <v/>
      </c>
      <c r="H5" s="7">
        <f>IF($D5="","",SUM(AR5:BU5))</f>
        <v/>
      </c>
      <c r="I5" s="7">
        <f>IF($D5="","",G5-H5)</f>
        <v/>
      </c>
      <c r="J5" s="7">
        <f>IF($D5="","",F5-G5)</f>
        <v/>
      </c>
      <c r="K5" s="7">
        <f>IF($D5="","",H5)</f>
        <v/>
      </c>
      <c r="L5" s="7">
        <f>IF($D5="","",IF(F5=0,"",ROUND(H5/F5*100,1)))</f>
        <v/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R5">
        <f>IF(OR($D5="",M5="",1&gt;$F5),0,IF(UPPER(TRIM(M5))=IFERROR(INDEX(Key!$C$2:$C$263,MATCH($D5*100+1,Key!$G$2:$G$263,0)),"#"),1,0))</f>
        <v/>
      </c>
      <c r="AS5">
        <f>IF(OR($D5="",N5="",2&gt;$F5),0,IF(UPPER(TRIM(N5))=IFERROR(INDEX(Key!$C$2:$C$263,MATCH($D5*100+2,Key!$G$2:$G$263,0)),"#"),1,0))</f>
        <v/>
      </c>
      <c r="AT5">
        <f>IF(OR($D5="",O5="",3&gt;$F5),0,IF(UPPER(TRIM(O5))=IFERROR(INDEX(Key!$C$2:$C$263,MATCH($D5*100+3,Key!$G$2:$G$263,0)),"#"),1,0))</f>
        <v/>
      </c>
      <c r="AU5">
        <f>IF(OR($D5="",P5="",4&gt;$F5),0,IF(UPPER(TRIM(P5))=IFERROR(INDEX(Key!$C$2:$C$263,MATCH($D5*100+4,Key!$G$2:$G$263,0)),"#"),1,0))</f>
        <v/>
      </c>
      <c r="AV5">
        <f>IF(OR($D5="",Q5="",5&gt;$F5),0,IF(UPPER(TRIM(Q5))=IFERROR(INDEX(Key!$C$2:$C$263,MATCH($D5*100+5,Key!$G$2:$G$263,0)),"#"),1,0))</f>
        <v/>
      </c>
      <c r="AW5">
        <f>IF(OR($D5="",R5="",6&gt;$F5),0,IF(UPPER(TRIM(R5))=IFERROR(INDEX(Key!$C$2:$C$263,MATCH($D5*100+6,Key!$G$2:$G$263,0)),"#"),1,0))</f>
        <v/>
      </c>
      <c r="AX5">
        <f>IF(OR($D5="",S5="",7&gt;$F5),0,IF(UPPER(TRIM(S5))=IFERROR(INDEX(Key!$C$2:$C$263,MATCH($D5*100+7,Key!$G$2:$G$263,0)),"#"),1,0))</f>
        <v/>
      </c>
      <c r="AY5">
        <f>IF(OR($D5="",T5="",8&gt;$F5),0,IF(UPPER(TRIM(T5))=IFERROR(INDEX(Key!$C$2:$C$263,MATCH($D5*100+8,Key!$G$2:$G$263,0)),"#"),1,0))</f>
        <v/>
      </c>
      <c r="AZ5">
        <f>IF(OR($D5="",U5="",9&gt;$F5),0,IF(UPPER(TRIM(U5))=IFERROR(INDEX(Key!$C$2:$C$263,MATCH($D5*100+9,Key!$G$2:$G$263,0)),"#"),1,0))</f>
        <v/>
      </c>
      <c r="BA5">
        <f>IF(OR($D5="",V5="",10&gt;$F5),0,IF(UPPER(TRIM(V5))=IFERROR(INDEX(Key!$C$2:$C$263,MATCH($D5*100+10,Key!$G$2:$G$263,0)),"#"),1,0))</f>
        <v/>
      </c>
      <c r="BB5">
        <f>IF(OR($D5="",W5="",11&gt;$F5),0,IF(UPPER(TRIM(W5))=IFERROR(INDEX(Key!$C$2:$C$263,MATCH($D5*100+11,Key!$G$2:$G$263,0)),"#"),1,0))</f>
        <v/>
      </c>
      <c r="BC5">
        <f>IF(OR($D5="",X5="",12&gt;$F5),0,IF(UPPER(TRIM(X5))=IFERROR(INDEX(Key!$C$2:$C$263,MATCH($D5*100+12,Key!$G$2:$G$263,0)),"#"),1,0))</f>
        <v/>
      </c>
      <c r="BD5">
        <f>IF(OR($D5="",Y5="",13&gt;$F5),0,IF(UPPER(TRIM(Y5))=IFERROR(INDEX(Key!$C$2:$C$263,MATCH($D5*100+13,Key!$G$2:$G$263,0)),"#"),1,0))</f>
        <v/>
      </c>
      <c r="BE5">
        <f>IF(OR($D5="",Z5="",14&gt;$F5),0,IF(UPPER(TRIM(Z5))=IFERROR(INDEX(Key!$C$2:$C$263,MATCH($D5*100+14,Key!$G$2:$G$263,0)),"#"),1,0))</f>
        <v/>
      </c>
      <c r="BF5">
        <f>IF(OR($D5="",AA5="",15&gt;$F5),0,IF(UPPER(TRIM(AA5))=IFERROR(INDEX(Key!$C$2:$C$263,MATCH($D5*100+15,Key!$G$2:$G$263,0)),"#"),1,0))</f>
        <v/>
      </c>
      <c r="BG5">
        <f>IF(OR($D5="",AB5="",16&gt;$F5),0,IF(UPPER(TRIM(AB5))=IFERROR(INDEX(Key!$C$2:$C$263,MATCH($D5*100+16,Key!$G$2:$G$263,0)),"#"),1,0))</f>
        <v/>
      </c>
      <c r="BH5">
        <f>IF(OR($D5="",AC5="",17&gt;$F5),0,IF(UPPER(TRIM(AC5))=IFERROR(INDEX(Key!$C$2:$C$263,MATCH($D5*100+17,Key!$G$2:$G$263,0)),"#"),1,0))</f>
        <v/>
      </c>
      <c r="BI5">
        <f>IF(OR($D5="",AD5="",18&gt;$F5),0,IF(UPPER(TRIM(AD5))=IFERROR(INDEX(Key!$C$2:$C$263,MATCH($D5*100+18,Key!$G$2:$G$263,0)),"#"),1,0))</f>
        <v/>
      </c>
      <c r="BJ5">
        <f>IF(OR($D5="",AE5="",19&gt;$F5),0,IF(UPPER(TRIM(AE5))=IFERROR(INDEX(Key!$C$2:$C$263,MATCH($D5*100+19,Key!$G$2:$G$263,0)),"#"),1,0))</f>
        <v/>
      </c>
      <c r="BK5">
        <f>IF(OR($D5="",AF5="",20&gt;$F5),0,IF(UPPER(TRIM(AF5))=IFERROR(INDEX(Key!$C$2:$C$263,MATCH($D5*100+20,Key!$G$2:$G$263,0)),"#"),1,0))</f>
        <v/>
      </c>
      <c r="BL5">
        <f>IF(OR($D5="",AG5="",21&gt;$F5),0,IF(UPPER(TRIM(AG5))=IFERROR(INDEX(Key!$C$2:$C$263,MATCH($D5*100+21,Key!$G$2:$G$263,0)),"#"),1,0))</f>
        <v/>
      </c>
      <c r="BM5">
        <f>IF(OR($D5="",AH5="",22&gt;$F5),0,IF(UPPER(TRIM(AH5))=IFERROR(INDEX(Key!$C$2:$C$263,MATCH($D5*100+22,Key!$G$2:$G$263,0)),"#"),1,0))</f>
        <v/>
      </c>
      <c r="BN5">
        <f>IF(OR($D5="",AI5="",23&gt;$F5),0,IF(UPPER(TRIM(AI5))=IFERROR(INDEX(Key!$C$2:$C$263,MATCH($D5*100+23,Key!$G$2:$G$263,0)),"#"),1,0))</f>
        <v/>
      </c>
      <c r="BO5">
        <f>IF(OR($D5="",AJ5="",24&gt;$F5),0,IF(UPPER(TRIM(AJ5))=IFERROR(INDEX(Key!$C$2:$C$263,MATCH($D5*100+24,Key!$G$2:$G$263,0)),"#"),1,0))</f>
        <v/>
      </c>
      <c r="BP5">
        <f>IF(OR($D5="",AK5="",25&gt;$F5),0,IF(UPPER(TRIM(AK5))=IFERROR(INDEX(Key!$C$2:$C$263,MATCH($D5*100+25,Key!$G$2:$G$263,0)),"#"),1,0))</f>
        <v/>
      </c>
      <c r="BQ5">
        <f>IF(OR($D5="",AL5="",26&gt;$F5),0,IF(UPPER(TRIM(AL5))=IFERROR(INDEX(Key!$C$2:$C$263,MATCH($D5*100+26,Key!$G$2:$G$263,0)),"#"),1,0))</f>
        <v/>
      </c>
      <c r="BR5">
        <f>IF(OR($D5="",AM5="",27&gt;$F5),0,IF(UPPER(TRIM(AM5))=IFERROR(INDEX(Key!$C$2:$C$263,MATCH($D5*100+27,Key!$G$2:$G$263,0)),"#"),1,0))</f>
        <v/>
      </c>
      <c r="BS5">
        <f>IF(OR($D5="",AN5="",28&gt;$F5),0,IF(UPPER(TRIM(AN5))=IFERROR(INDEX(Key!$C$2:$C$263,MATCH($D5*100+28,Key!$G$2:$G$263,0)),"#"),1,0))</f>
        <v/>
      </c>
      <c r="BT5">
        <f>IF(OR($D5="",AO5="",29&gt;$F5),0,IF(UPPER(TRIM(AO5))=IFERROR(INDEX(Key!$C$2:$C$263,MATCH($D5*100+29,Key!$G$2:$G$263,0)),"#"),1,0))</f>
        <v/>
      </c>
      <c r="BU5">
        <f>IF(OR($D5="",AP5="",30&gt;$F5),0,IF(UPPER(TRIM(AP5))=IFERROR(INDEX(Key!$C$2:$C$263,MATCH($D5*100+30,Key!$G$2:$G$263,0)),"#"),1,0))</f>
        <v/>
      </c>
    </row>
    <row r="6">
      <c r="A6" s="6" t="n"/>
      <c r="B6" s="6" t="n"/>
      <c r="C6" s="6" t="n"/>
      <c r="D6" s="6" t="n"/>
      <c r="E6" s="7">
        <f>IF($D6="","",IFERROR(INDEX(Papers!$B$2:$B$12,MATCH($D6,Papers!$A$2:$A$12,0)),"?"))</f>
        <v/>
      </c>
      <c r="F6" s="7">
        <f>IF($D6="","",IFERROR(INDEX(Papers!$C$2:$C$12,MATCH($D6,Papers!$A$2:$A$12,0)),0))</f>
        <v/>
      </c>
      <c r="G6" s="7">
        <f>IF($D6="","",COUNTIF(M6:AP6,"?*"))</f>
        <v/>
      </c>
      <c r="H6" s="7">
        <f>IF($D6="","",SUM(AR6:BU6))</f>
        <v/>
      </c>
      <c r="I6" s="7">
        <f>IF($D6="","",G6-H6)</f>
        <v/>
      </c>
      <c r="J6" s="7">
        <f>IF($D6="","",F6-G6)</f>
        <v/>
      </c>
      <c r="K6" s="7">
        <f>IF($D6="","",H6)</f>
        <v/>
      </c>
      <c r="L6" s="7">
        <f>IF($D6="","",IF(F6=0,"",ROUND(H6/F6*100,1)))</f>
        <v/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R6">
        <f>IF(OR($D6="",M6="",1&gt;$F6),0,IF(UPPER(TRIM(M6))=IFERROR(INDEX(Key!$C$2:$C$263,MATCH($D6*100+1,Key!$G$2:$G$263,0)),"#"),1,0))</f>
        <v/>
      </c>
      <c r="AS6">
        <f>IF(OR($D6="",N6="",2&gt;$F6),0,IF(UPPER(TRIM(N6))=IFERROR(INDEX(Key!$C$2:$C$263,MATCH($D6*100+2,Key!$G$2:$G$263,0)),"#"),1,0))</f>
        <v/>
      </c>
      <c r="AT6">
        <f>IF(OR($D6="",O6="",3&gt;$F6),0,IF(UPPER(TRIM(O6))=IFERROR(INDEX(Key!$C$2:$C$263,MATCH($D6*100+3,Key!$G$2:$G$263,0)),"#"),1,0))</f>
        <v/>
      </c>
      <c r="AU6">
        <f>IF(OR($D6="",P6="",4&gt;$F6),0,IF(UPPER(TRIM(P6))=IFERROR(INDEX(Key!$C$2:$C$263,MATCH($D6*100+4,Key!$G$2:$G$263,0)),"#"),1,0))</f>
        <v/>
      </c>
      <c r="AV6">
        <f>IF(OR($D6="",Q6="",5&gt;$F6),0,IF(UPPER(TRIM(Q6))=IFERROR(INDEX(Key!$C$2:$C$263,MATCH($D6*100+5,Key!$G$2:$G$263,0)),"#"),1,0))</f>
        <v/>
      </c>
      <c r="AW6">
        <f>IF(OR($D6="",R6="",6&gt;$F6),0,IF(UPPER(TRIM(R6))=IFERROR(INDEX(Key!$C$2:$C$263,MATCH($D6*100+6,Key!$G$2:$G$263,0)),"#"),1,0))</f>
        <v/>
      </c>
      <c r="AX6">
        <f>IF(OR($D6="",S6="",7&gt;$F6),0,IF(UPPER(TRIM(S6))=IFERROR(INDEX(Key!$C$2:$C$263,MATCH($D6*100+7,Key!$G$2:$G$263,0)),"#"),1,0))</f>
        <v/>
      </c>
      <c r="AY6">
        <f>IF(OR($D6="",T6="",8&gt;$F6),0,IF(UPPER(TRIM(T6))=IFERROR(INDEX(Key!$C$2:$C$263,MATCH($D6*100+8,Key!$G$2:$G$263,0)),"#"),1,0))</f>
        <v/>
      </c>
      <c r="AZ6">
        <f>IF(OR($D6="",U6="",9&gt;$F6),0,IF(UPPER(TRIM(U6))=IFERROR(INDEX(Key!$C$2:$C$263,MATCH($D6*100+9,Key!$G$2:$G$263,0)),"#"),1,0))</f>
        <v/>
      </c>
      <c r="BA6">
        <f>IF(OR($D6="",V6="",10&gt;$F6),0,IF(UPPER(TRIM(V6))=IFERROR(INDEX(Key!$C$2:$C$263,MATCH($D6*100+10,Key!$G$2:$G$263,0)),"#"),1,0))</f>
        <v/>
      </c>
      <c r="BB6">
        <f>IF(OR($D6="",W6="",11&gt;$F6),0,IF(UPPER(TRIM(W6))=IFERROR(INDEX(Key!$C$2:$C$263,MATCH($D6*100+11,Key!$G$2:$G$263,0)),"#"),1,0))</f>
        <v/>
      </c>
      <c r="BC6">
        <f>IF(OR($D6="",X6="",12&gt;$F6),0,IF(UPPER(TRIM(X6))=IFERROR(INDEX(Key!$C$2:$C$263,MATCH($D6*100+12,Key!$G$2:$G$263,0)),"#"),1,0))</f>
        <v/>
      </c>
      <c r="BD6">
        <f>IF(OR($D6="",Y6="",13&gt;$F6),0,IF(UPPER(TRIM(Y6))=IFERROR(INDEX(Key!$C$2:$C$263,MATCH($D6*100+13,Key!$G$2:$G$263,0)),"#"),1,0))</f>
        <v/>
      </c>
      <c r="BE6">
        <f>IF(OR($D6="",Z6="",14&gt;$F6),0,IF(UPPER(TRIM(Z6))=IFERROR(INDEX(Key!$C$2:$C$263,MATCH($D6*100+14,Key!$G$2:$G$263,0)),"#"),1,0))</f>
        <v/>
      </c>
      <c r="BF6">
        <f>IF(OR($D6="",AA6="",15&gt;$F6),0,IF(UPPER(TRIM(AA6))=IFERROR(INDEX(Key!$C$2:$C$263,MATCH($D6*100+15,Key!$G$2:$G$263,0)),"#"),1,0))</f>
        <v/>
      </c>
      <c r="BG6">
        <f>IF(OR($D6="",AB6="",16&gt;$F6),0,IF(UPPER(TRIM(AB6))=IFERROR(INDEX(Key!$C$2:$C$263,MATCH($D6*100+16,Key!$G$2:$G$263,0)),"#"),1,0))</f>
        <v/>
      </c>
      <c r="BH6">
        <f>IF(OR($D6="",AC6="",17&gt;$F6),0,IF(UPPER(TRIM(AC6))=IFERROR(INDEX(Key!$C$2:$C$263,MATCH($D6*100+17,Key!$G$2:$G$263,0)),"#"),1,0))</f>
        <v/>
      </c>
      <c r="BI6">
        <f>IF(OR($D6="",AD6="",18&gt;$F6),0,IF(UPPER(TRIM(AD6))=IFERROR(INDEX(Key!$C$2:$C$263,MATCH($D6*100+18,Key!$G$2:$G$263,0)),"#"),1,0))</f>
        <v/>
      </c>
      <c r="BJ6">
        <f>IF(OR($D6="",AE6="",19&gt;$F6),0,IF(UPPER(TRIM(AE6))=IFERROR(INDEX(Key!$C$2:$C$263,MATCH($D6*100+19,Key!$G$2:$G$263,0)),"#"),1,0))</f>
        <v/>
      </c>
      <c r="BK6">
        <f>IF(OR($D6="",AF6="",20&gt;$F6),0,IF(UPPER(TRIM(AF6))=IFERROR(INDEX(Key!$C$2:$C$263,MATCH($D6*100+20,Key!$G$2:$G$263,0)),"#"),1,0))</f>
        <v/>
      </c>
      <c r="BL6">
        <f>IF(OR($D6="",AG6="",21&gt;$F6),0,IF(UPPER(TRIM(AG6))=IFERROR(INDEX(Key!$C$2:$C$263,MATCH($D6*100+21,Key!$G$2:$G$263,0)),"#"),1,0))</f>
        <v/>
      </c>
      <c r="BM6">
        <f>IF(OR($D6="",AH6="",22&gt;$F6),0,IF(UPPER(TRIM(AH6))=IFERROR(INDEX(Key!$C$2:$C$263,MATCH($D6*100+22,Key!$G$2:$G$263,0)),"#"),1,0))</f>
        <v/>
      </c>
      <c r="BN6">
        <f>IF(OR($D6="",AI6="",23&gt;$F6),0,IF(UPPER(TRIM(AI6))=IFERROR(INDEX(Key!$C$2:$C$263,MATCH($D6*100+23,Key!$G$2:$G$263,0)),"#"),1,0))</f>
        <v/>
      </c>
      <c r="BO6">
        <f>IF(OR($D6="",AJ6="",24&gt;$F6),0,IF(UPPER(TRIM(AJ6))=IFERROR(INDEX(Key!$C$2:$C$263,MATCH($D6*100+24,Key!$G$2:$G$263,0)),"#"),1,0))</f>
        <v/>
      </c>
      <c r="BP6">
        <f>IF(OR($D6="",AK6="",25&gt;$F6),0,IF(UPPER(TRIM(AK6))=IFERROR(INDEX(Key!$C$2:$C$263,MATCH($D6*100+25,Key!$G$2:$G$263,0)),"#"),1,0))</f>
        <v/>
      </c>
      <c r="BQ6">
        <f>IF(OR($D6="",AL6="",26&gt;$F6),0,IF(UPPER(TRIM(AL6))=IFERROR(INDEX(Key!$C$2:$C$263,MATCH($D6*100+26,Key!$G$2:$G$263,0)),"#"),1,0))</f>
        <v/>
      </c>
      <c r="BR6">
        <f>IF(OR($D6="",AM6="",27&gt;$F6),0,IF(UPPER(TRIM(AM6))=IFERROR(INDEX(Key!$C$2:$C$263,MATCH($D6*100+27,Key!$G$2:$G$263,0)),"#"),1,0))</f>
        <v/>
      </c>
      <c r="BS6">
        <f>IF(OR($D6="",AN6="",28&gt;$F6),0,IF(UPPER(TRIM(AN6))=IFERROR(INDEX(Key!$C$2:$C$263,MATCH($D6*100+28,Key!$G$2:$G$263,0)),"#"),1,0))</f>
        <v/>
      </c>
      <c r="BT6">
        <f>IF(OR($D6="",AO6="",29&gt;$F6),0,IF(UPPER(TRIM(AO6))=IFERROR(INDEX(Key!$C$2:$C$263,MATCH($D6*100+29,Key!$G$2:$G$263,0)),"#"),1,0))</f>
        <v/>
      </c>
      <c r="BU6">
        <f>IF(OR($D6="",AP6="",30&gt;$F6),0,IF(UPPER(TRIM(AP6))=IFERROR(INDEX(Key!$C$2:$C$263,MATCH($D6*100+30,Key!$G$2:$G$263,0)),"#"),1,0))</f>
        <v/>
      </c>
    </row>
    <row r="7">
      <c r="A7" s="6" t="n"/>
      <c r="B7" s="6" t="n"/>
      <c r="C7" s="6" t="n"/>
      <c r="D7" s="6" t="n"/>
      <c r="E7" s="7">
        <f>IF($D7="","",IFERROR(INDEX(Papers!$B$2:$B$12,MATCH($D7,Papers!$A$2:$A$12,0)),"?"))</f>
        <v/>
      </c>
      <c r="F7" s="7">
        <f>IF($D7="","",IFERROR(INDEX(Papers!$C$2:$C$12,MATCH($D7,Papers!$A$2:$A$12,0)),0))</f>
        <v/>
      </c>
      <c r="G7" s="7">
        <f>IF($D7="","",COUNTIF(M7:AP7,"?*"))</f>
        <v/>
      </c>
      <c r="H7" s="7">
        <f>IF($D7="","",SUM(AR7:BU7))</f>
        <v/>
      </c>
      <c r="I7" s="7">
        <f>IF($D7="","",G7-H7)</f>
        <v/>
      </c>
      <c r="J7" s="7">
        <f>IF($D7="","",F7-G7)</f>
        <v/>
      </c>
      <c r="K7" s="7">
        <f>IF($D7="","",H7)</f>
        <v/>
      </c>
      <c r="L7" s="7">
        <f>IF($D7="","",IF(F7=0,"",ROUND(H7/F7*100,1)))</f>
        <v/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R7">
        <f>IF(OR($D7="",M7="",1&gt;$F7),0,IF(UPPER(TRIM(M7))=IFERROR(INDEX(Key!$C$2:$C$263,MATCH($D7*100+1,Key!$G$2:$G$263,0)),"#"),1,0))</f>
        <v/>
      </c>
      <c r="AS7">
        <f>IF(OR($D7="",N7="",2&gt;$F7),0,IF(UPPER(TRIM(N7))=IFERROR(INDEX(Key!$C$2:$C$263,MATCH($D7*100+2,Key!$G$2:$G$263,0)),"#"),1,0))</f>
        <v/>
      </c>
      <c r="AT7">
        <f>IF(OR($D7="",O7="",3&gt;$F7),0,IF(UPPER(TRIM(O7))=IFERROR(INDEX(Key!$C$2:$C$263,MATCH($D7*100+3,Key!$G$2:$G$263,0)),"#"),1,0))</f>
        <v/>
      </c>
      <c r="AU7">
        <f>IF(OR($D7="",P7="",4&gt;$F7),0,IF(UPPER(TRIM(P7))=IFERROR(INDEX(Key!$C$2:$C$263,MATCH($D7*100+4,Key!$G$2:$G$263,0)),"#"),1,0))</f>
        <v/>
      </c>
      <c r="AV7">
        <f>IF(OR($D7="",Q7="",5&gt;$F7),0,IF(UPPER(TRIM(Q7))=IFERROR(INDEX(Key!$C$2:$C$263,MATCH($D7*100+5,Key!$G$2:$G$263,0)),"#"),1,0))</f>
        <v/>
      </c>
      <c r="AW7">
        <f>IF(OR($D7="",R7="",6&gt;$F7),0,IF(UPPER(TRIM(R7))=IFERROR(INDEX(Key!$C$2:$C$263,MATCH($D7*100+6,Key!$G$2:$G$263,0)),"#"),1,0))</f>
        <v/>
      </c>
      <c r="AX7">
        <f>IF(OR($D7="",S7="",7&gt;$F7),0,IF(UPPER(TRIM(S7))=IFERROR(INDEX(Key!$C$2:$C$263,MATCH($D7*100+7,Key!$G$2:$G$263,0)),"#"),1,0))</f>
        <v/>
      </c>
      <c r="AY7">
        <f>IF(OR($D7="",T7="",8&gt;$F7),0,IF(UPPER(TRIM(T7))=IFERROR(INDEX(Key!$C$2:$C$263,MATCH($D7*100+8,Key!$G$2:$G$263,0)),"#"),1,0))</f>
        <v/>
      </c>
      <c r="AZ7">
        <f>IF(OR($D7="",U7="",9&gt;$F7),0,IF(UPPER(TRIM(U7))=IFERROR(INDEX(Key!$C$2:$C$263,MATCH($D7*100+9,Key!$G$2:$G$263,0)),"#"),1,0))</f>
        <v/>
      </c>
      <c r="BA7">
        <f>IF(OR($D7="",V7="",10&gt;$F7),0,IF(UPPER(TRIM(V7))=IFERROR(INDEX(Key!$C$2:$C$263,MATCH($D7*100+10,Key!$G$2:$G$263,0)),"#"),1,0))</f>
        <v/>
      </c>
      <c r="BB7">
        <f>IF(OR($D7="",W7="",11&gt;$F7),0,IF(UPPER(TRIM(W7))=IFERROR(INDEX(Key!$C$2:$C$263,MATCH($D7*100+11,Key!$G$2:$G$263,0)),"#"),1,0))</f>
        <v/>
      </c>
      <c r="BC7">
        <f>IF(OR($D7="",X7="",12&gt;$F7),0,IF(UPPER(TRIM(X7))=IFERROR(INDEX(Key!$C$2:$C$263,MATCH($D7*100+12,Key!$G$2:$G$263,0)),"#"),1,0))</f>
        <v/>
      </c>
      <c r="BD7">
        <f>IF(OR($D7="",Y7="",13&gt;$F7),0,IF(UPPER(TRIM(Y7))=IFERROR(INDEX(Key!$C$2:$C$263,MATCH($D7*100+13,Key!$G$2:$G$263,0)),"#"),1,0))</f>
        <v/>
      </c>
      <c r="BE7">
        <f>IF(OR($D7="",Z7="",14&gt;$F7),0,IF(UPPER(TRIM(Z7))=IFERROR(INDEX(Key!$C$2:$C$263,MATCH($D7*100+14,Key!$G$2:$G$263,0)),"#"),1,0))</f>
        <v/>
      </c>
      <c r="BF7">
        <f>IF(OR($D7="",AA7="",15&gt;$F7),0,IF(UPPER(TRIM(AA7))=IFERROR(INDEX(Key!$C$2:$C$263,MATCH($D7*100+15,Key!$G$2:$G$263,0)),"#"),1,0))</f>
        <v/>
      </c>
      <c r="BG7">
        <f>IF(OR($D7="",AB7="",16&gt;$F7),0,IF(UPPER(TRIM(AB7))=IFERROR(INDEX(Key!$C$2:$C$263,MATCH($D7*100+16,Key!$G$2:$G$263,0)),"#"),1,0))</f>
        <v/>
      </c>
      <c r="BH7">
        <f>IF(OR($D7="",AC7="",17&gt;$F7),0,IF(UPPER(TRIM(AC7))=IFERROR(INDEX(Key!$C$2:$C$263,MATCH($D7*100+17,Key!$G$2:$G$263,0)),"#"),1,0))</f>
        <v/>
      </c>
      <c r="BI7">
        <f>IF(OR($D7="",AD7="",18&gt;$F7),0,IF(UPPER(TRIM(AD7))=IFERROR(INDEX(Key!$C$2:$C$263,MATCH($D7*100+18,Key!$G$2:$G$263,0)),"#"),1,0))</f>
        <v/>
      </c>
      <c r="BJ7">
        <f>IF(OR($D7="",AE7="",19&gt;$F7),0,IF(UPPER(TRIM(AE7))=IFERROR(INDEX(Key!$C$2:$C$263,MATCH($D7*100+19,Key!$G$2:$G$263,0)),"#"),1,0))</f>
        <v/>
      </c>
      <c r="BK7">
        <f>IF(OR($D7="",AF7="",20&gt;$F7),0,IF(UPPER(TRIM(AF7))=IFERROR(INDEX(Key!$C$2:$C$263,MATCH($D7*100+20,Key!$G$2:$G$263,0)),"#"),1,0))</f>
        <v/>
      </c>
      <c r="BL7">
        <f>IF(OR($D7="",AG7="",21&gt;$F7),0,IF(UPPER(TRIM(AG7))=IFERROR(INDEX(Key!$C$2:$C$263,MATCH($D7*100+21,Key!$G$2:$G$263,0)),"#"),1,0))</f>
        <v/>
      </c>
      <c r="BM7">
        <f>IF(OR($D7="",AH7="",22&gt;$F7),0,IF(UPPER(TRIM(AH7))=IFERROR(INDEX(Key!$C$2:$C$263,MATCH($D7*100+22,Key!$G$2:$G$263,0)),"#"),1,0))</f>
        <v/>
      </c>
      <c r="BN7">
        <f>IF(OR($D7="",AI7="",23&gt;$F7),0,IF(UPPER(TRIM(AI7))=IFERROR(INDEX(Key!$C$2:$C$263,MATCH($D7*100+23,Key!$G$2:$G$263,0)),"#"),1,0))</f>
        <v/>
      </c>
      <c r="BO7">
        <f>IF(OR($D7="",AJ7="",24&gt;$F7),0,IF(UPPER(TRIM(AJ7))=IFERROR(INDEX(Key!$C$2:$C$263,MATCH($D7*100+24,Key!$G$2:$G$263,0)),"#"),1,0))</f>
        <v/>
      </c>
      <c r="BP7">
        <f>IF(OR($D7="",AK7="",25&gt;$F7),0,IF(UPPER(TRIM(AK7))=IFERROR(INDEX(Key!$C$2:$C$263,MATCH($D7*100+25,Key!$G$2:$G$263,0)),"#"),1,0))</f>
        <v/>
      </c>
      <c r="BQ7">
        <f>IF(OR($D7="",AL7="",26&gt;$F7),0,IF(UPPER(TRIM(AL7))=IFERROR(INDEX(Key!$C$2:$C$263,MATCH($D7*100+26,Key!$G$2:$G$263,0)),"#"),1,0))</f>
        <v/>
      </c>
      <c r="BR7">
        <f>IF(OR($D7="",AM7="",27&gt;$F7),0,IF(UPPER(TRIM(AM7))=IFERROR(INDEX(Key!$C$2:$C$263,MATCH($D7*100+27,Key!$G$2:$G$263,0)),"#"),1,0))</f>
        <v/>
      </c>
      <c r="BS7">
        <f>IF(OR($D7="",AN7="",28&gt;$F7),0,IF(UPPER(TRIM(AN7))=IFERROR(INDEX(Key!$C$2:$C$263,MATCH($D7*100+28,Key!$G$2:$G$263,0)),"#"),1,0))</f>
        <v/>
      </c>
      <c r="BT7">
        <f>IF(OR($D7="",AO7="",29&gt;$F7),0,IF(UPPER(TRIM(AO7))=IFERROR(INDEX(Key!$C$2:$C$263,MATCH($D7*100+29,Key!$G$2:$G$263,0)),"#"),1,0))</f>
        <v/>
      </c>
      <c r="BU7">
        <f>IF(OR($D7="",AP7="",30&gt;$F7),0,IF(UPPER(TRIM(AP7))=IFERROR(INDEX(Key!$C$2:$C$263,MATCH($D7*100+30,Key!$G$2:$G$263,0)),"#"),1,0))</f>
        <v/>
      </c>
    </row>
    <row r="8">
      <c r="A8" s="6" t="n"/>
      <c r="B8" s="6" t="n"/>
      <c r="C8" s="6" t="n"/>
      <c r="D8" s="6" t="n"/>
      <c r="E8" s="7">
        <f>IF($D8="","",IFERROR(INDEX(Papers!$B$2:$B$12,MATCH($D8,Papers!$A$2:$A$12,0)),"?"))</f>
        <v/>
      </c>
      <c r="F8" s="7">
        <f>IF($D8="","",IFERROR(INDEX(Papers!$C$2:$C$12,MATCH($D8,Papers!$A$2:$A$12,0)),0))</f>
        <v/>
      </c>
      <c r="G8" s="7">
        <f>IF($D8="","",COUNTIF(M8:AP8,"?*"))</f>
        <v/>
      </c>
      <c r="H8" s="7">
        <f>IF($D8="","",SUM(AR8:BU8))</f>
        <v/>
      </c>
      <c r="I8" s="7">
        <f>IF($D8="","",G8-H8)</f>
        <v/>
      </c>
      <c r="J8" s="7">
        <f>IF($D8="","",F8-G8)</f>
        <v/>
      </c>
      <c r="K8" s="7">
        <f>IF($D8="","",H8)</f>
        <v/>
      </c>
      <c r="L8" s="7">
        <f>IF($D8="","",IF(F8=0,"",ROUND(H8/F8*100,1)))</f>
        <v/>
      </c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R8">
        <f>IF(OR($D8="",M8="",1&gt;$F8),0,IF(UPPER(TRIM(M8))=IFERROR(INDEX(Key!$C$2:$C$263,MATCH($D8*100+1,Key!$G$2:$G$263,0)),"#"),1,0))</f>
        <v/>
      </c>
      <c r="AS8">
        <f>IF(OR($D8="",N8="",2&gt;$F8),0,IF(UPPER(TRIM(N8))=IFERROR(INDEX(Key!$C$2:$C$263,MATCH($D8*100+2,Key!$G$2:$G$263,0)),"#"),1,0))</f>
        <v/>
      </c>
      <c r="AT8">
        <f>IF(OR($D8="",O8="",3&gt;$F8),0,IF(UPPER(TRIM(O8))=IFERROR(INDEX(Key!$C$2:$C$263,MATCH($D8*100+3,Key!$G$2:$G$263,0)),"#"),1,0))</f>
        <v/>
      </c>
      <c r="AU8">
        <f>IF(OR($D8="",P8="",4&gt;$F8),0,IF(UPPER(TRIM(P8))=IFERROR(INDEX(Key!$C$2:$C$263,MATCH($D8*100+4,Key!$G$2:$G$263,0)),"#"),1,0))</f>
        <v/>
      </c>
      <c r="AV8">
        <f>IF(OR($D8="",Q8="",5&gt;$F8),0,IF(UPPER(TRIM(Q8))=IFERROR(INDEX(Key!$C$2:$C$263,MATCH($D8*100+5,Key!$G$2:$G$263,0)),"#"),1,0))</f>
        <v/>
      </c>
      <c r="AW8">
        <f>IF(OR($D8="",R8="",6&gt;$F8),0,IF(UPPER(TRIM(R8))=IFERROR(INDEX(Key!$C$2:$C$263,MATCH($D8*100+6,Key!$G$2:$G$263,0)),"#"),1,0))</f>
        <v/>
      </c>
      <c r="AX8">
        <f>IF(OR($D8="",S8="",7&gt;$F8),0,IF(UPPER(TRIM(S8))=IFERROR(INDEX(Key!$C$2:$C$263,MATCH($D8*100+7,Key!$G$2:$G$263,0)),"#"),1,0))</f>
        <v/>
      </c>
      <c r="AY8">
        <f>IF(OR($D8="",T8="",8&gt;$F8),0,IF(UPPER(TRIM(T8))=IFERROR(INDEX(Key!$C$2:$C$263,MATCH($D8*100+8,Key!$G$2:$G$263,0)),"#"),1,0))</f>
        <v/>
      </c>
      <c r="AZ8">
        <f>IF(OR($D8="",U8="",9&gt;$F8),0,IF(UPPER(TRIM(U8))=IFERROR(INDEX(Key!$C$2:$C$263,MATCH($D8*100+9,Key!$G$2:$G$263,0)),"#"),1,0))</f>
        <v/>
      </c>
      <c r="BA8">
        <f>IF(OR($D8="",V8="",10&gt;$F8),0,IF(UPPER(TRIM(V8))=IFERROR(INDEX(Key!$C$2:$C$263,MATCH($D8*100+10,Key!$G$2:$G$263,0)),"#"),1,0))</f>
        <v/>
      </c>
      <c r="BB8">
        <f>IF(OR($D8="",W8="",11&gt;$F8),0,IF(UPPER(TRIM(W8))=IFERROR(INDEX(Key!$C$2:$C$263,MATCH($D8*100+11,Key!$G$2:$G$263,0)),"#"),1,0))</f>
        <v/>
      </c>
      <c r="BC8">
        <f>IF(OR($D8="",X8="",12&gt;$F8),0,IF(UPPER(TRIM(X8))=IFERROR(INDEX(Key!$C$2:$C$263,MATCH($D8*100+12,Key!$G$2:$G$263,0)),"#"),1,0))</f>
        <v/>
      </c>
      <c r="BD8">
        <f>IF(OR($D8="",Y8="",13&gt;$F8),0,IF(UPPER(TRIM(Y8))=IFERROR(INDEX(Key!$C$2:$C$263,MATCH($D8*100+13,Key!$G$2:$G$263,0)),"#"),1,0))</f>
        <v/>
      </c>
      <c r="BE8">
        <f>IF(OR($D8="",Z8="",14&gt;$F8),0,IF(UPPER(TRIM(Z8))=IFERROR(INDEX(Key!$C$2:$C$263,MATCH($D8*100+14,Key!$G$2:$G$263,0)),"#"),1,0))</f>
        <v/>
      </c>
      <c r="BF8">
        <f>IF(OR($D8="",AA8="",15&gt;$F8),0,IF(UPPER(TRIM(AA8))=IFERROR(INDEX(Key!$C$2:$C$263,MATCH($D8*100+15,Key!$G$2:$G$263,0)),"#"),1,0))</f>
        <v/>
      </c>
      <c r="BG8">
        <f>IF(OR($D8="",AB8="",16&gt;$F8),0,IF(UPPER(TRIM(AB8))=IFERROR(INDEX(Key!$C$2:$C$263,MATCH($D8*100+16,Key!$G$2:$G$263,0)),"#"),1,0))</f>
        <v/>
      </c>
      <c r="BH8">
        <f>IF(OR($D8="",AC8="",17&gt;$F8),0,IF(UPPER(TRIM(AC8))=IFERROR(INDEX(Key!$C$2:$C$263,MATCH($D8*100+17,Key!$G$2:$G$263,0)),"#"),1,0))</f>
        <v/>
      </c>
      <c r="BI8">
        <f>IF(OR($D8="",AD8="",18&gt;$F8),0,IF(UPPER(TRIM(AD8))=IFERROR(INDEX(Key!$C$2:$C$263,MATCH($D8*100+18,Key!$G$2:$G$263,0)),"#"),1,0))</f>
        <v/>
      </c>
      <c r="BJ8">
        <f>IF(OR($D8="",AE8="",19&gt;$F8),0,IF(UPPER(TRIM(AE8))=IFERROR(INDEX(Key!$C$2:$C$263,MATCH($D8*100+19,Key!$G$2:$G$263,0)),"#"),1,0))</f>
        <v/>
      </c>
      <c r="BK8">
        <f>IF(OR($D8="",AF8="",20&gt;$F8),0,IF(UPPER(TRIM(AF8))=IFERROR(INDEX(Key!$C$2:$C$263,MATCH($D8*100+20,Key!$G$2:$G$263,0)),"#"),1,0))</f>
        <v/>
      </c>
      <c r="BL8">
        <f>IF(OR($D8="",AG8="",21&gt;$F8),0,IF(UPPER(TRIM(AG8))=IFERROR(INDEX(Key!$C$2:$C$263,MATCH($D8*100+21,Key!$G$2:$G$263,0)),"#"),1,0))</f>
        <v/>
      </c>
      <c r="BM8">
        <f>IF(OR($D8="",AH8="",22&gt;$F8),0,IF(UPPER(TRIM(AH8))=IFERROR(INDEX(Key!$C$2:$C$263,MATCH($D8*100+22,Key!$G$2:$G$263,0)),"#"),1,0))</f>
        <v/>
      </c>
      <c r="BN8">
        <f>IF(OR($D8="",AI8="",23&gt;$F8),0,IF(UPPER(TRIM(AI8))=IFERROR(INDEX(Key!$C$2:$C$263,MATCH($D8*100+23,Key!$G$2:$G$263,0)),"#"),1,0))</f>
        <v/>
      </c>
      <c r="BO8">
        <f>IF(OR($D8="",AJ8="",24&gt;$F8),0,IF(UPPER(TRIM(AJ8))=IFERROR(INDEX(Key!$C$2:$C$263,MATCH($D8*100+24,Key!$G$2:$G$263,0)),"#"),1,0))</f>
        <v/>
      </c>
      <c r="BP8">
        <f>IF(OR($D8="",AK8="",25&gt;$F8),0,IF(UPPER(TRIM(AK8))=IFERROR(INDEX(Key!$C$2:$C$263,MATCH($D8*100+25,Key!$G$2:$G$263,0)),"#"),1,0))</f>
        <v/>
      </c>
      <c r="BQ8">
        <f>IF(OR($D8="",AL8="",26&gt;$F8),0,IF(UPPER(TRIM(AL8))=IFERROR(INDEX(Key!$C$2:$C$263,MATCH($D8*100+26,Key!$G$2:$G$263,0)),"#"),1,0))</f>
        <v/>
      </c>
      <c r="BR8">
        <f>IF(OR($D8="",AM8="",27&gt;$F8),0,IF(UPPER(TRIM(AM8))=IFERROR(INDEX(Key!$C$2:$C$263,MATCH($D8*100+27,Key!$G$2:$G$263,0)),"#"),1,0))</f>
        <v/>
      </c>
      <c r="BS8">
        <f>IF(OR($D8="",AN8="",28&gt;$F8),0,IF(UPPER(TRIM(AN8))=IFERROR(INDEX(Key!$C$2:$C$263,MATCH($D8*100+28,Key!$G$2:$G$263,0)),"#"),1,0))</f>
        <v/>
      </c>
      <c r="BT8">
        <f>IF(OR($D8="",AO8="",29&gt;$F8),0,IF(UPPER(TRIM(AO8))=IFERROR(INDEX(Key!$C$2:$C$263,MATCH($D8*100+29,Key!$G$2:$G$263,0)),"#"),1,0))</f>
        <v/>
      </c>
      <c r="BU8">
        <f>IF(OR($D8="",AP8="",30&gt;$F8),0,IF(UPPER(TRIM(AP8))=IFERROR(INDEX(Key!$C$2:$C$263,MATCH($D8*100+30,Key!$G$2:$G$263,0)),"#"),1,0))</f>
        <v/>
      </c>
    </row>
    <row r="9">
      <c r="A9" s="6" t="n"/>
      <c r="B9" s="6" t="n"/>
      <c r="C9" s="6" t="n"/>
      <c r="D9" s="6" t="n"/>
      <c r="E9" s="7">
        <f>IF($D9="","",IFERROR(INDEX(Papers!$B$2:$B$12,MATCH($D9,Papers!$A$2:$A$12,0)),"?"))</f>
        <v/>
      </c>
      <c r="F9" s="7">
        <f>IF($D9="","",IFERROR(INDEX(Papers!$C$2:$C$12,MATCH($D9,Papers!$A$2:$A$12,0)),0))</f>
        <v/>
      </c>
      <c r="G9" s="7">
        <f>IF($D9="","",COUNTIF(M9:AP9,"?*"))</f>
        <v/>
      </c>
      <c r="H9" s="7">
        <f>IF($D9="","",SUM(AR9:BU9))</f>
        <v/>
      </c>
      <c r="I9" s="7">
        <f>IF($D9="","",G9-H9)</f>
        <v/>
      </c>
      <c r="J9" s="7">
        <f>IF($D9="","",F9-G9)</f>
        <v/>
      </c>
      <c r="K9" s="7">
        <f>IF($D9="","",H9)</f>
        <v/>
      </c>
      <c r="L9" s="7">
        <f>IF($D9="","",IF(F9=0,"",ROUND(H9/F9*100,1)))</f>
        <v/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R9">
        <f>IF(OR($D9="",M9="",1&gt;$F9),0,IF(UPPER(TRIM(M9))=IFERROR(INDEX(Key!$C$2:$C$263,MATCH($D9*100+1,Key!$G$2:$G$263,0)),"#"),1,0))</f>
        <v/>
      </c>
      <c r="AS9">
        <f>IF(OR($D9="",N9="",2&gt;$F9),0,IF(UPPER(TRIM(N9))=IFERROR(INDEX(Key!$C$2:$C$263,MATCH($D9*100+2,Key!$G$2:$G$263,0)),"#"),1,0))</f>
        <v/>
      </c>
      <c r="AT9">
        <f>IF(OR($D9="",O9="",3&gt;$F9),0,IF(UPPER(TRIM(O9))=IFERROR(INDEX(Key!$C$2:$C$263,MATCH($D9*100+3,Key!$G$2:$G$263,0)),"#"),1,0))</f>
        <v/>
      </c>
      <c r="AU9">
        <f>IF(OR($D9="",P9="",4&gt;$F9),0,IF(UPPER(TRIM(P9))=IFERROR(INDEX(Key!$C$2:$C$263,MATCH($D9*100+4,Key!$G$2:$G$263,0)),"#"),1,0))</f>
        <v/>
      </c>
      <c r="AV9">
        <f>IF(OR($D9="",Q9="",5&gt;$F9),0,IF(UPPER(TRIM(Q9))=IFERROR(INDEX(Key!$C$2:$C$263,MATCH($D9*100+5,Key!$G$2:$G$263,0)),"#"),1,0))</f>
        <v/>
      </c>
      <c r="AW9">
        <f>IF(OR($D9="",R9="",6&gt;$F9),0,IF(UPPER(TRIM(R9))=IFERROR(INDEX(Key!$C$2:$C$263,MATCH($D9*100+6,Key!$G$2:$G$263,0)),"#"),1,0))</f>
        <v/>
      </c>
      <c r="AX9">
        <f>IF(OR($D9="",S9="",7&gt;$F9),0,IF(UPPER(TRIM(S9))=IFERROR(INDEX(Key!$C$2:$C$263,MATCH($D9*100+7,Key!$G$2:$G$263,0)),"#"),1,0))</f>
        <v/>
      </c>
      <c r="AY9">
        <f>IF(OR($D9="",T9="",8&gt;$F9),0,IF(UPPER(TRIM(T9))=IFERROR(INDEX(Key!$C$2:$C$263,MATCH($D9*100+8,Key!$G$2:$G$263,0)),"#"),1,0))</f>
        <v/>
      </c>
      <c r="AZ9">
        <f>IF(OR($D9="",U9="",9&gt;$F9),0,IF(UPPER(TRIM(U9))=IFERROR(INDEX(Key!$C$2:$C$263,MATCH($D9*100+9,Key!$G$2:$G$263,0)),"#"),1,0))</f>
        <v/>
      </c>
      <c r="BA9">
        <f>IF(OR($D9="",V9="",10&gt;$F9),0,IF(UPPER(TRIM(V9))=IFERROR(INDEX(Key!$C$2:$C$263,MATCH($D9*100+10,Key!$G$2:$G$263,0)),"#"),1,0))</f>
        <v/>
      </c>
      <c r="BB9">
        <f>IF(OR($D9="",W9="",11&gt;$F9),0,IF(UPPER(TRIM(W9))=IFERROR(INDEX(Key!$C$2:$C$263,MATCH($D9*100+11,Key!$G$2:$G$263,0)),"#"),1,0))</f>
        <v/>
      </c>
      <c r="BC9">
        <f>IF(OR($D9="",X9="",12&gt;$F9),0,IF(UPPER(TRIM(X9))=IFERROR(INDEX(Key!$C$2:$C$263,MATCH($D9*100+12,Key!$G$2:$G$263,0)),"#"),1,0))</f>
        <v/>
      </c>
      <c r="BD9">
        <f>IF(OR($D9="",Y9="",13&gt;$F9),0,IF(UPPER(TRIM(Y9))=IFERROR(INDEX(Key!$C$2:$C$263,MATCH($D9*100+13,Key!$G$2:$G$263,0)),"#"),1,0))</f>
        <v/>
      </c>
      <c r="BE9">
        <f>IF(OR($D9="",Z9="",14&gt;$F9),0,IF(UPPER(TRIM(Z9))=IFERROR(INDEX(Key!$C$2:$C$263,MATCH($D9*100+14,Key!$G$2:$G$263,0)),"#"),1,0))</f>
        <v/>
      </c>
      <c r="BF9">
        <f>IF(OR($D9="",AA9="",15&gt;$F9),0,IF(UPPER(TRIM(AA9))=IFERROR(INDEX(Key!$C$2:$C$263,MATCH($D9*100+15,Key!$G$2:$G$263,0)),"#"),1,0))</f>
        <v/>
      </c>
      <c r="BG9">
        <f>IF(OR($D9="",AB9="",16&gt;$F9),0,IF(UPPER(TRIM(AB9))=IFERROR(INDEX(Key!$C$2:$C$263,MATCH($D9*100+16,Key!$G$2:$G$263,0)),"#"),1,0))</f>
        <v/>
      </c>
      <c r="BH9">
        <f>IF(OR($D9="",AC9="",17&gt;$F9),0,IF(UPPER(TRIM(AC9))=IFERROR(INDEX(Key!$C$2:$C$263,MATCH($D9*100+17,Key!$G$2:$G$263,0)),"#"),1,0))</f>
        <v/>
      </c>
      <c r="BI9">
        <f>IF(OR($D9="",AD9="",18&gt;$F9),0,IF(UPPER(TRIM(AD9))=IFERROR(INDEX(Key!$C$2:$C$263,MATCH($D9*100+18,Key!$G$2:$G$263,0)),"#"),1,0))</f>
        <v/>
      </c>
      <c r="BJ9">
        <f>IF(OR($D9="",AE9="",19&gt;$F9),0,IF(UPPER(TRIM(AE9))=IFERROR(INDEX(Key!$C$2:$C$263,MATCH($D9*100+19,Key!$G$2:$G$263,0)),"#"),1,0))</f>
        <v/>
      </c>
      <c r="BK9">
        <f>IF(OR($D9="",AF9="",20&gt;$F9),0,IF(UPPER(TRIM(AF9))=IFERROR(INDEX(Key!$C$2:$C$263,MATCH($D9*100+20,Key!$G$2:$G$263,0)),"#"),1,0))</f>
        <v/>
      </c>
      <c r="BL9">
        <f>IF(OR($D9="",AG9="",21&gt;$F9),0,IF(UPPER(TRIM(AG9))=IFERROR(INDEX(Key!$C$2:$C$263,MATCH($D9*100+21,Key!$G$2:$G$263,0)),"#"),1,0))</f>
        <v/>
      </c>
      <c r="BM9">
        <f>IF(OR($D9="",AH9="",22&gt;$F9),0,IF(UPPER(TRIM(AH9))=IFERROR(INDEX(Key!$C$2:$C$263,MATCH($D9*100+22,Key!$G$2:$G$263,0)),"#"),1,0))</f>
        <v/>
      </c>
      <c r="BN9">
        <f>IF(OR($D9="",AI9="",23&gt;$F9),0,IF(UPPER(TRIM(AI9))=IFERROR(INDEX(Key!$C$2:$C$263,MATCH($D9*100+23,Key!$G$2:$G$263,0)),"#"),1,0))</f>
        <v/>
      </c>
      <c r="BO9">
        <f>IF(OR($D9="",AJ9="",24&gt;$F9),0,IF(UPPER(TRIM(AJ9))=IFERROR(INDEX(Key!$C$2:$C$263,MATCH($D9*100+24,Key!$G$2:$G$263,0)),"#"),1,0))</f>
        <v/>
      </c>
      <c r="BP9">
        <f>IF(OR($D9="",AK9="",25&gt;$F9),0,IF(UPPER(TRIM(AK9))=IFERROR(INDEX(Key!$C$2:$C$263,MATCH($D9*100+25,Key!$G$2:$G$263,0)),"#"),1,0))</f>
        <v/>
      </c>
      <c r="BQ9">
        <f>IF(OR($D9="",AL9="",26&gt;$F9),0,IF(UPPER(TRIM(AL9))=IFERROR(INDEX(Key!$C$2:$C$263,MATCH($D9*100+26,Key!$G$2:$G$263,0)),"#"),1,0))</f>
        <v/>
      </c>
      <c r="BR9">
        <f>IF(OR($D9="",AM9="",27&gt;$F9),0,IF(UPPER(TRIM(AM9))=IFERROR(INDEX(Key!$C$2:$C$263,MATCH($D9*100+27,Key!$G$2:$G$263,0)),"#"),1,0))</f>
        <v/>
      </c>
      <c r="BS9">
        <f>IF(OR($D9="",AN9="",28&gt;$F9),0,IF(UPPER(TRIM(AN9))=IFERROR(INDEX(Key!$C$2:$C$263,MATCH($D9*100+28,Key!$G$2:$G$263,0)),"#"),1,0))</f>
        <v/>
      </c>
      <c r="BT9">
        <f>IF(OR($D9="",AO9="",29&gt;$F9),0,IF(UPPER(TRIM(AO9))=IFERROR(INDEX(Key!$C$2:$C$263,MATCH($D9*100+29,Key!$G$2:$G$263,0)),"#"),1,0))</f>
        <v/>
      </c>
      <c r="BU9">
        <f>IF(OR($D9="",AP9="",30&gt;$F9),0,IF(UPPER(TRIM(AP9))=IFERROR(INDEX(Key!$C$2:$C$263,MATCH($D9*100+30,Key!$G$2:$G$263,0)),"#"),1,0))</f>
        <v/>
      </c>
    </row>
    <row r="10">
      <c r="A10" s="6" t="n"/>
      <c r="B10" s="6" t="n"/>
      <c r="C10" s="6" t="n"/>
      <c r="D10" s="6" t="n"/>
      <c r="E10" s="7">
        <f>IF($D10="","",IFERROR(INDEX(Papers!$B$2:$B$12,MATCH($D10,Papers!$A$2:$A$12,0)),"?"))</f>
        <v/>
      </c>
      <c r="F10" s="7">
        <f>IF($D10="","",IFERROR(INDEX(Papers!$C$2:$C$12,MATCH($D10,Papers!$A$2:$A$12,0)),0))</f>
        <v/>
      </c>
      <c r="G10" s="7">
        <f>IF($D10="","",COUNTIF(M10:AP10,"?*"))</f>
        <v/>
      </c>
      <c r="H10" s="7">
        <f>IF($D10="","",SUM(AR10:BU10))</f>
        <v/>
      </c>
      <c r="I10" s="7">
        <f>IF($D10="","",G10-H10)</f>
        <v/>
      </c>
      <c r="J10" s="7">
        <f>IF($D10="","",F10-G10)</f>
        <v/>
      </c>
      <c r="K10" s="7">
        <f>IF($D10="","",H10)</f>
        <v/>
      </c>
      <c r="L10" s="7">
        <f>IF($D10="","",IF(F10=0,"",ROUND(H10/F10*100,1)))</f>
        <v/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R10">
        <f>IF(OR($D10="",M10="",1&gt;$F10),0,IF(UPPER(TRIM(M10))=IFERROR(INDEX(Key!$C$2:$C$263,MATCH($D10*100+1,Key!$G$2:$G$263,0)),"#"),1,0))</f>
        <v/>
      </c>
      <c r="AS10">
        <f>IF(OR($D10="",N10="",2&gt;$F10),0,IF(UPPER(TRIM(N10))=IFERROR(INDEX(Key!$C$2:$C$263,MATCH($D10*100+2,Key!$G$2:$G$263,0)),"#"),1,0))</f>
        <v/>
      </c>
      <c r="AT10">
        <f>IF(OR($D10="",O10="",3&gt;$F10),0,IF(UPPER(TRIM(O10))=IFERROR(INDEX(Key!$C$2:$C$263,MATCH($D10*100+3,Key!$G$2:$G$263,0)),"#"),1,0))</f>
        <v/>
      </c>
      <c r="AU10">
        <f>IF(OR($D10="",P10="",4&gt;$F10),0,IF(UPPER(TRIM(P10))=IFERROR(INDEX(Key!$C$2:$C$263,MATCH($D10*100+4,Key!$G$2:$G$263,0)),"#"),1,0))</f>
        <v/>
      </c>
      <c r="AV10">
        <f>IF(OR($D10="",Q10="",5&gt;$F10),0,IF(UPPER(TRIM(Q10))=IFERROR(INDEX(Key!$C$2:$C$263,MATCH($D10*100+5,Key!$G$2:$G$263,0)),"#"),1,0))</f>
        <v/>
      </c>
      <c r="AW10">
        <f>IF(OR($D10="",R10="",6&gt;$F10),0,IF(UPPER(TRIM(R10))=IFERROR(INDEX(Key!$C$2:$C$263,MATCH($D10*100+6,Key!$G$2:$G$263,0)),"#"),1,0))</f>
        <v/>
      </c>
      <c r="AX10">
        <f>IF(OR($D10="",S10="",7&gt;$F10),0,IF(UPPER(TRIM(S10))=IFERROR(INDEX(Key!$C$2:$C$263,MATCH($D10*100+7,Key!$G$2:$G$263,0)),"#"),1,0))</f>
        <v/>
      </c>
      <c r="AY10">
        <f>IF(OR($D10="",T10="",8&gt;$F10),0,IF(UPPER(TRIM(T10))=IFERROR(INDEX(Key!$C$2:$C$263,MATCH($D10*100+8,Key!$G$2:$G$263,0)),"#"),1,0))</f>
        <v/>
      </c>
      <c r="AZ10">
        <f>IF(OR($D10="",U10="",9&gt;$F10),0,IF(UPPER(TRIM(U10))=IFERROR(INDEX(Key!$C$2:$C$263,MATCH($D10*100+9,Key!$G$2:$G$263,0)),"#"),1,0))</f>
        <v/>
      </c>
      <c r="BA10">
        <f>IF(OR($D10="",V10="",10&gt;$F10),0,IF(UPPER(TRIM(V10))=IFERROR(INDEX(Key!$C$2:$C$263,MATCH($D10*100+10,Key!$G$2:$G$263,0)),"#"),1,0))</f>
        <v/>
      </c>
      <c r="BB10">
        <f>IF(OR($D10="",W10="",11&gt;$F10),0,IF(UPPER(TRIM(W10))=IFERROR(INDEX(Key!$C$2:$C$263,MATCH($D10*100+11,Key!$G$2:$G$263,0)),"#"),1,0))</f>
        <v/>
      </c>
      <c r="BC10">
        <f>IF(OR($D10="",X10="",12&gt;$F10),0,IF(UPPER(TRIM(X10))=IFERROR(INDEX(Key!$C$2:$C$263,MATCH($D10*100+12,Key!$G$2:$G$263,0)),"#"),1,0))</f>
        <v/>
      </c>
      <c r="BD10">
        <f>IF(OR($D10="",Y10="",13&gt;$F10),0,IF(UPPER(TRIM(Y10))=IFERROR(INDEX(Key!$C$2:$C$263,MATCH($D10*100+13,Key!$G$2:$G$263,0)),"#"),1,0))</f>
        <v/>
      </c>
      <c r="BE10">
        <f>IF(OR($D10="",Z10="",14&gt;$F10),0,IF(UPPER(TRIM(Z10))=IFERROR(INDEX(Key!$C$2:$C$263,MATCH($D10*100+14,Key!$G$2:$G$263,0)),"#"),1,0))</f>
        <v/>
      </c>
      <c r="BF10">
        <f>IF(OR($D10="",AA10="",15&gt;$F10),0,IF(UPPER(TRIM(AA10))=IFERROR(INDEX(Key!$C$2:$C$263,MATCH($D10*100+15,Key!$G$2:$G$263,0)),"#"),1,0))</f>
        <v/>
      </c>
      <c r="BG10">
        <f>IF(OR($D10="",AB10="",16&gt;$F10),0,IF(UPPER(TRIM(AB10))=IFERROR(INDEX(Key!$C$2:$C$263,MATCH($D10*100+16,Key!$G$2:$G$263,0)),"#"),1,0))</f>
        <v/>
      </c>
      <c r="BH10">
        <f>IF(OR($D10="",AC10="",17&gt;$F10),0,IF(UPPER(TRIM(AC10))=IFERROR(INDEX(Key!$C$2:$C$263,MATCH($D10*100+17,Key!$G$2:$G$263,0)),"#"),1,0))</f>
        <v/>
      </c>
      <c r="BI10">
        <f>IF(OR($D10="",AD10="",18&gt;$F10),0,IF(UPPER(TRIM(AD10))=IFERROR(INDEX(Key!$C$2:$C$263,MATCH($D10*100+18,Key!$G$2:$G$263,0)),"#"),1,0))</f>
        <v/>
      </c>
      <c r="BJ10">
        <f>IF(OR($D10="",AE10="",19&gt;$F10),0,IF(UPPER(TRIM(AE10))=IFERROR(INDEX(Key!$C$2:$C$263,MATCH($D10*100+19,Key!$G$2:$G$263,0)),"#"),1,0))</f>
        <v/>
      </c>
      <c r="BK10">
        <f>IF(OR($D10="",AF10="",20&gt;$F10),0,IF(UPPER(TRIM(AF10))=IFERROR(INDEX(Key!$C$2:$C$263,MATCH($D10*100+20,Key!$G$2:$G$263,0)),"#"),1,0))</f>
        <v/>
      </c>
      <c r="BL10">
        <f>IF(OR($D10="",AG10="",21&gt;$F10),0,IF(UPPER(TRIM(AG10))=IFERROR(INDEX(Key!$C$2:$C$263,MATCH($D10*100+21,Key!$G$2:$G$263,0)),"#"),1,0))</f>
        <v/>
      </c>
      <c r="BM10">
        <f>IF(OR($D10="",AH10="",22&gt;$F10),0,IF(UPPER(TRIM(AH10))=IFERROR(INDEX(Key!$C$2:$C$263,MATCH($D10*100+22,Key!$G$2:$G$263,0)),"#"),1,0))</f>
        <v/>
      </c>
      <c r="BN10">
        <f>IF(OR($D10="",AI10="",23&gt;$F10),0,IF(UPPER(TRIM(AI10))=IFERROR(INDEX(Key!$C$2:$C$263,MATCH($D10*100+23,Key!$G$2:$G$263,0)),"#"),1,0))</f>
        <v/>
      </c>
      <c r="BO10">
        <f>IF(OR($D10="",AJ10="",24&gt;$F10),0,IF(UPPER(TRIM(AJ10))=IFERROR(INDEX(Key!$C$2:$C$263,MATCH($D10*100+24,Key!$G$2:$G$263,0)),"#"),1,0))</f>
        <v/>
      </c>
      <c r="BP10">
        <f>IF(OR($D10="",AK10="",25&gt;$F10),0,IF(UPPER(TRIM(AK10))=IFERROR(INDEX(Key!$C$2:$C$263,MATCH($D10*100+25,Key!$G$2:$G$263,0)),"#"),1,0))</f>
        <v/>
      </c>
      <c r="BQ10">
        <f>IF(OR($D10="",AL10="",26&gt;$F10),0,IF(UPPER(TRIM(AL10))=IFERROR(INDEX(Key!$C$2:$C$263,MATCH($D10*100+26,Key!$G$2:$G$263,0)),"#"),1,0))</f>
        <v/>
      </c>
      <c r="BR10">
        <f>IF(OR($D10="",AM10="",27&gt;$F10),0,IF(UPPER(TRIM(AM10))=IFERROR(INDEX(Key!$C$2:$C$263,MATCH($D10*100+27,Key!$G$2:$G$263,0)),"#"),1,0))</f>
        <v/>
      </c>
      <c r="BS10">
        <f>IF(OR($D10="",AN10="",28&gt;$F10),0,IF(UPPER(TRIM(AN10))=IFERROR(INDEX(Key!$C$2:$C$263,MATCH($D10*100+28,Key!$G$2:$G$263,0)),"#"),1,0))</f>
        <v/>
      </c>
      <c r="BT10">
        <f>IF(OR($D10="",AO10="",29&gt;$F10),0,IF(UPPER(TRIM(AO10))=IFERROR(INDEX(Key!$C$2:$C$263,MATCH($D10*100+29,Key!$G$2:$G$263,0)),"#"),1,0))</f>
        <v/>
      </c>
      <c r="BU10">
        <f>IF(OR($D10="",AP10="",30&gt;$F10),0,IF(UPPER(TRIM(AP10))=IFERROR(INDEX(Key!$C$2:$C$263,MATCH($D10*100+30,Key!$G$2:$G$263,0)),"#"),1,0))</f>
        <v/>
      </c>
    </row>
    <row r="11">
      <c r="A11" s="6" t="n"/>
      <c r="B11" s="6" t="n"/>
      <c r="C11" s="6" t="n"/>
      <c r="D11" s="6" t="n"/>
      <c r="E11" s="7">
        <f>IF($D11="","",IFERROR(INDEX(Papers!$B$2:$B$12,MATCH($D11,Papers!$A$2:$A$12,0)),"?"))</f>
        <v/>
      </c>
      <c r="F11" s="7">
        <f>IF($D11="","",IFERROR(INDEX(Papers!$C$2:$C$12,MATCH($D11,Papers!$A$2:$A$12,0)),0))</f>
        <v/>
      </c>
      <c r="G11" s="7">
        <f>IF($D11="","",COUNTIF(M11:AP11,"?*"))</f>
        <v/>
      </c>
      <c r="H11" s="7">
        <f>IF($D11="","",SUM(AR11:BU11))</f>
        <v/>
      </c>
      <c r="I11" s="7">
        <f>IF($D11="","",G11-H11)</f>
        <v/>
      </c>
      <c r="J11" s="7">
        <f>IF($D11="","",F11-G11)</f>
        <v/>
      </c>
      <c r="K11" s="7">
        <f>IF($D11="","",H11)</f>
        <v/>
      </c>
      <c r="L11" s="7">
        <f>IF($D11="","",IF(F11=0,"",ROUND(H11/F11*100,1)))</f>
        <v/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R11">
        <f>IF(OR($D11="",M11="",1&gt;$F11),0,IF(UPPER(TRIM(M11))=IFERROR(INDEX(Key!$C$2:$C$263,MATCH($D11*100+1,Key!$G$2:$G$263,0)),"#"),1,0))</f>
        <v/>
      </c>
      <c r="AS11">
        <f>IF(OR($D11="",N11="",2&gt;$F11),0,IF(UPPER(TRIM(N11))=IFERROR(INDEX(Key!$C$2:$C$263,MATCH($D11*100+2,Key!$G$2:$G$263,0)),"#"),1,0))</f>
        <v/>
      </c>
      <c r="AT11">
        <f>IF(OR($D11="",O11="",3&gt;$F11),0,IF(UPPER(TRIM(O11))=IFERROR(INDEX(Key!$C$2:$C$263,MATCH($D11*100+3,Key!$G$2:$G$263,0)),"#"),1,0))</f>
        <v/>
      </c>
      <c r="AU11">
        <f>IF(OR($D11="",P11="",4&gt;$F11),0,IF(UPPER(TRIM(P11))=IFERROR(INDEX(Key!$C$2:$C$263,MATCH($D11*100+4,Key!$G$2:$G$263,0)),"#"),1,0))</f>
        <v/>
      </c>
      <c r="AV11">
        <f>IF(OR($D11="",Q11="",5&gt;$F11),0,IF(UPPER(TRIM(Q11))=IFERROR(INDEX(Key!$C$2:$C$263,MATCH($D11*100+5,Key!$G$2:$G$263,0)),"#"),1,0))</f>
        <v/>
      </c>
      <c r="AW11">
        <f>IF(OR($D11="",R11="",6&gt;$F11),0,IF(UPPER(TRIM(R11))=IFERROR(INDEX(Key!$C$2:$C$263,MATCH($D11*100+6,Key!$G$2:$G$263,0)),"#"),1,0))</f>
        <v/>
      </c>
      <c r="AX11">
        <f>IF(OR($D11="",S11="",7&gt;$F11),0,IF(UPPER(TRIM(S11))=IFERROR(INDEX(Key!$C$2:$C$263,MATCH($D11*100+7,Key!$G$2:$G$263,0)),"#"),1,0))</f>
        <v/>
      </c>
      <c r="AY11">
        <f>IF(OR($D11="",T11="",8&gt;$F11),0,IF(UPPER(TRIM(T11))=IFERROR(INDEX(Key!$C$2:$C$263,MATCH($D11*100+8,Key!$G$2:$G$263,0)),"#"),1,0))</f>
        <v/>
      </c>
      <c r="AZ11">
        <f>IF(OR($D11="",U11="",9&gt;$F11),0,IF(UPPER(TRIM(U11))=IFERROR(INDEX(Key!$C$2:$C$263,MATCH($D11*100+9,Key!$G$2:$G$263,0)),"#"),1,0))</f>
        <v/>
      </c>
      <c r="BA11">
        <f>IF(OR($D11="",V11="",10&gt;$F11),0,IF(UPPER(TRIM(V11))=IFERROR(INDEX(Key!$C$2:$C$263,MATCH($D11*100+10,Key!$G$2:$G$263,0)),"#"),1,0))</f>
        <v/>
      </c>
      <c r="BB11">
        <f>IF(OR($D11="",W11="",11&gt;$F11),0,IF(UPPER(TRIM(W11))=IFERROR(INDEX(Key!$C$2:$C$263,MATCH($D11*100+11,Key!$G$2:$G$263,0)),"#"),1,0))</f>
        <v/>
      </c>
      <c r="BC11">
        <f>IF(OR($D11="",X11="",12&gt;$F11),0,IF(UPPER(TRIM(X11))=IFERROR(INDEX(Key!$C$2:$C$263,MATCH($D11*100+12,Key!$G$2:$G$263,0)),"#"),1,0))</f>
        <v/>
      </c>
      <c r="BD11">
        <f>IF(OR($D11="",Y11="",13&gt;$F11),0,IF(UPPER(TRIM(Y11))=IFERROR(INDEX(Key!$C$2:$C$263,MATCH($D11*100+13,Key!$G$2:$G$263,0)),"#"),1,0))</f>
        <v/>
      </c>
      <c r="BE11">
        <f>IF(OR($D11="",Z11="",14&gt;$F11),0,IF(UPPER(TRIM(Z11))=IFERROR(INDEX(Key!$C$2:$C$263,MATCH($D11*100+14,Key!$G$2:$G$263,0)),"#"),1,0))</f>
        <v/>
      </c>
      <c r="BF11">
        <f>IF(OR($D11="",AA11="",15&gt;$F11),0,IF(UPPER(TRIM(AA11))=IFERROR(INDEX(Key!$C$2:$C$263,MATCH($D11*100+15,Key!$G$2:$G$263,0)),"#"),1,0))</f>
        <v/>
      </c>
      <c r="BG11">
        <f>IF(OR($D11="",AB11="",16&gt;$F11),0,IF(UPPER(TRIM(AB11))=IFERROR(INDEX(Key!$C$2:$C$263,MATCH($D11*100+16,Key!$G$2:$G$263,0)),"#"),1,0))</f>
        <v/>
      </c>
      <c r="BH11">
        <f>IF(OR($D11="",AC11="",17&gt;$F11),0,IF(UPPER(TRIM(AC11))=IFERROR(INDEX(Key!$C$2:$C$263,MATCH($D11*100+17,Key!$G$2:$G$263,0)),"#"),1,0))</f>
        <v/>
      </c>
      <c r="BI11">
        <f>IF(OR($D11="",AD11="",18&gt;$F11),0,IF(UPPER(TRIM(AD11))=IFERROR(INDEX(Key!$C$2:$C$263,MATCH($D11*100+18,Key!$G$2:$G$263,0)),"#"),1,0))</f>
        <v/>
      </c>
      <c r="BJ11">
        <f>IF(OR($D11="",AE11="",19&gt;$F11),0,IF(UPPER(TRIM(AE11))=IFERROR(INDEX(Key!$C$2:$C$263,MATCH($D11*100+19,Key!$G$2:$G$263,0)),"#"),1,0))</f>
        <v/>
      </c>
      <c r="BK11">
        <f>IF(OR($D11="",AF11="",20&gt;$F11),0,IF(UPPER(TRIM(AF11))=IFERROR(INDEX(Key!$C$2:$C$263,MATCH($D11*100+20,Key!$G$2:$G$263,0)),"#"),1,0))</f>
        <v/>
      </c>
      <c r="BL11">
        <f>IF(OR($D11="",AG11="",21&gt;$F11),0,IF(UPPER(TRIM(AG11))=IFERROR(INDEX(Key!$C$2:$C$263,MATCH($D11*100+21,Key!$G$2:$G$263,0)),"#"),1,0))</f>
        <v/>
      </c>
      <c r="BM11">
        <f>IF(OR($D11="",AH11="",22&gt;$F11),0,IF(UPPER(TRIM(AH11))=IFERROR(INDEX(Key!$C$2:$C$263,MATCH($D11*100+22,Key!$G$2:$G$263,0)),"#"),1,0))</f>
        <v/>
      </c>
      <c r="BN11">
        <f>IF(OR($D11="",AI11="",23&gt;$F11),0,IF(UPPER(TRIM(AI11))=IFERROR(INDEX(Key!$C$2:$C$263,MATCH($D11*100+23,Key!$G$2:$G$263,0)),"#"),1,0))</f>
        <v/>
      </c>
      <c r="BO11">
        <f>IF(OR($D11="",AJ11="",24&gt;$F11),0,IF(UPPER(TRIM(AJ11))=IFERROR(INDEX(Key!$C$2:$C$263,MATCH($D11*100+24,Key!$G$2:$G$263,0)),"#"),1,0))</f>
        <v/>
      </c>
      <c r="BP11">
        <f>IF(OR($D11="",AK11="",25&gt;$F11),0,IF(UPPER(TRIM(AK11))=IFERROR(INDEX(Key!$C$2:$C$263,MATCH($D11*100+25,Key!$G$2:$G$263,0)),"#"),1,0))</f>
        <v/>
      </c>
      <c r="BQ11">
        <f>IF(OR($D11="",AL11="",26&gt;$F11),0,IF(UPPER(TRIM(AL11))=IFERROR(INDEX(Key!$C$2:$C$263,MATCH($D11*100+26,Key!$G$2:$G$263,0)),"#"),1,0))</f>
        <v/>
      </c>
      <c r="BR11">
        <f>IF(OR($D11="",AM11="",27&gt;$F11),0,IF(UPPER(TRIM(AM11))=IFERROR(INDEX(Key!$C$2:$C$263,MATCH($D11*100+27,Key!$G$2:$G$263,0)),"#"),1,0))</f>
        <v/>
      </c>
      <c r="BS11">
        <f>IF(OR($D11="",AN11="",28&gt;$F11),0,IF(UPPER(TRIM(AN11))=IFERROR(INDEX(Key!$C$2:$C$263,MATCH($D11*100+28,Key!$G$2:$G$263,0)),"#"),1,0))</f>
        <v/>
      </c>
      <c r="BT11">
        <f>IF(OR($D11="",AO11="",29&gt;$F11),0,IF(UPPER(TRIM(AO11))=IFERROR(INDEX(Key!$C$2:$C$263,MATCH($D11*100+29,Key!$G$2:$G$263,0)),"#"),1,0))</f>
        <v/>
      </c>
      <c r="BU11">
        <f>IF(OR($D11="",AP11="",30&gt;$F11),0,IF(UPPER(TRIM(AP11))=IFERROR(INDEX(Key!$C$2:$C$263,MATCH($D11*100+30,Key!$G$2:$G$263,0)),"#"),1,0))</f>
        <v/>
      </c>
    </row>
    <row r="12">
      <c r="A12" s="6" t="n"/>
      <c r="B12" s="6" t="n"/>
      <c r="C12" s="6" t="n"/>
      <c r="D12" s="6" t="n"/>
      <c r="E12" s="7">
        <f>IF($D12="","",IFERROR(INDEX(Papers!$B$2:$B$12,MATCH($D12,Papers!$A$2:$A$12,0)),"?"))</f>
        <v/>
      </c>
      <c r="F12" s="7">
        <f>IF($D12="","",IFERROR(INDEX(Papers!$C$2:$C$12,MATCH($D12,Papers!$A$2:$A$12,0)),0))</f>
        <v/>
      </c>
      <c r="G12" s="7">
        <f>IF($D12="","",COUNTIF(M12:AP12,"?*"))</f>
        <v/>
      </c>
      <c r="H12" s="7">
        <f>IF($D12="","",SUM(AR12:BU12))</f>
        <v/>
      </c>
      <c r="I12" s="7">
        <f>IF($D12="","",G12-H12)</f>
        <v/>
      </c>
      <c r="J12" s="7">
        <f>IF($D12="","",F12-G12)</f>
        <v/>
      </c>
      <c r="K12" s="7">
        <f>IF($D12="","",H12)</f>
        <v/>
      </c>
      <c r="L12" s="7">
        <f>IF($D12="","",IF(F12=0,"",ROUND(H12/F12*100,1)))</f>
        <v/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R12">
        <f>IF(OR($D12="",M12="",1&gt;$F12),0,IF(UPPER(TRIM(M12))=IFERROR(INDEX(Key!$C$2:$C$263,MATCH($D12*100+1,Key!$G$2:$G$263,0)),"#"),1,0))</f>
        <v/>
      </c>
      <c r="AS12">
        <f>IF(OR($D12="",N12="",2&gt;$F12),0,IF(UPPER(TRIM(N12))=IFERROR(INDEX(Key!$C$2:$C$263,MATCH($D12*100+2,Key!$G$2:$G$263,0)),"#"),1,0))</f>
        <v/>
      </c>
      <c r="AT12">
        <f>IF(OR($D12="",O12="",3&gt;$F12),0,IF(UPPER(TRIM(O12))=IFERROR(INDEX(Key!$C$2:$C$263,MATCH($D12*100+3,Key!$G$2:$G$263,0)),"#"),1,0))</f>
        <v/>
      </c>
      <c r="AU12">
        <f>IF(OR($D12="",P12="",4&gt;$F12),0,IF(UPPER(TRIM(P12))=IFERROR(INDEX(Key!$C$2:$C$263,MATCH($D12*100+4,Key!$G$2:$G$263,0)),"#"),1,0))</f>
        <v/>
      </c>
      <c r="AV12">
        <f>IF(OR($D12="",Q12="",5&gt;$F12),0,IF(UPPER(TRIM(Q12))=IFERROR(INDEX(Key!$C$2:$C$263,MATCH($D12*100+5,Key!$G$2:$G$263,0)),"#"),1,0))</f>
        <v/>
      </c>
      <c r="AW12">
        <f>IF(OR($D12="",R12="",6&gt;$F12),0,IF(UPPER(TRIM(R12))=IFERROR(INDEX(Key!$C$2:$C$263,MATCH($D12*100+6,Key!$G$2:$G$263,0)),"#"),1,0))</f>
        <v/>
      </c>
      <c r="AX12">
        <f>IF(OR($D12="",S12="",7&gt;$F12),0,IF(UPPER(TRIM(S12))=IFERROR(INDEX(Key!$C$2:$C$263,MATCH($D12*100+7,Key!$G$2:$G$263,0)),"#"),1,0))</f>
        <v/>
      </c>
      <c r="AY12">
        <f>IF(OR($D12="",T12="",8&gt;$F12),0,IF(UPPER(TRIM(T12))=IFERROR(INDEX(Key!$C$2:$C$263,MATCH($D12*100+8,Key!$G$2:$G$263,0)),"#"),1,0))</f>
        <v/>
      </c>
      <c r="AZ12">
        <f>IF(OR($D12="",U12="",9&gt;$F12),0,IF(UPPER(TRIM(U12))=IFERROR(INDEX(Key!$C$2:$C$263,MATCH($D12*100+9,Key!$G$2:$G$263,0)),"#"),1,0))</f>
        <v/>
      </c>
      <c r="BA12">
        <f>IF(OR($D12="",V12="",10&gt;$F12),0,IF(UPPER(TRIM(V12))=IFERROR(INDEX(Key!$C$2:$C$263,MATCH($D12*100+10,Key!$G$2:$G$263,0)),"#"),1,0))</f>
        <v/>
      </c>
      <c r="BB12">
        <f>IF(OR($D12="",W12="",11&gt;$F12),0,IF(UPPER(TRIM(W12))=IFERROR(INDEX(Key!$C$2:$C$263,MATCH($D12*100+11,Key!$G$2:$G$263,0)),"#"),1,0))</f>
        <v/>
      </c>
      <c r="BC12">
        <f>IF(OR($D12="",X12="",12&gt;$F12),0,IF(UPPER(TRIM(X12))=IFERROR(INDEX(Key!$C$2:$C$263,MATCH($D12*100+12,Key!$G$2:$G$263,0)),"#"),1,0))</f>
        <v/>
      </c>
      <c r="BD12">
        <f>IF(OR($D12="",Y12="",13&gt;$F12),0,IF(UPPER(TRIM(Y12))=IFERROR(INDEX(Key!$C$2:$C$263,MATCH($D12*100+13,Key!$G$2:$G$263,0)),"#"),1,0))</f>
        <v/>
      </c>
      <c r="BE12">
        <f>IF(OR($D12="",Z12="",14&gt;$F12),0,IF(UPPER(TRIM(Z12))=IFERROR(INDEX(Key!$C$2:$C$263,MATCH($D12*100+14,Key!$G$2:$G$263,0)),"#"),1,0))</f>
        <v/>
      </c>
      <c r="BF12">
        <f>IF(OR($D12="",AA12="",15&gt;$F12),0,IF(UPPER(TRIM(AA12))=IFERROR(INDEX(Key!$C$2:$C$263,MATCH($D12*100+15,Key!$G$2:$G$263,0)),"#"),1,0))</f>
        <v/>
      </c>
      <c r="BG12">
        <f>IF(OR($D12="",AB12="",16&gt;$F12),0,IF(UPPER(TRIM(AB12))=IFERROR(INDEX(Key!$C$2:$C$263,MATCH($D12*100+16,Key!$G$2:$G$263,0)),"#"),1,0))</f>
        <v/>
      </c>
      <c r="BH12">
        <f>IF(OR($D12="",AC12="",17&gt;$F12),0,IF(UPPER(TRIM(AC12))=IFERROR(INDEX(Key!$C$2:$C$263,MATCH($D12*100+17,Key!$G$2:$G$263,0)),"#"),1,0))</f>
        <v/>
      </c>
      <c r="BI12">
        <f>IF(OR($D12="",AD12="",18&gt;$F12),0,IF(UPPER(TRIM(AD12))=IFERROR(INDEX(Key!$C$2:$C$263,MATCH($D12*100+18,Key!$G$2:$G$263,0)),"#"),1,0))</f>
        <v/>
      </c>
      <c r="BJ12">
        <f>IF(OR($D12="",AE12="",19&gt;$F12),0,IF(UPPER(TRIM(AE12))=IFERROR(INDEX(Key!$C$2:$C$263,MATCH($D12*100+19,Key!$G$2:$G$263,0)),"#"),1,0))</f>
        <v/>
      </c>
      <c r="BK12">
        <f>IF(OR($D12="",AF12="",20&gt;$F12),0,IF(UPPER(TRIM(AF12))=IFERROR(INDEX(Key!$C$2:$C$263,MATCH($D12*100+20,Key!$G$2:$G$263,0)),"#"),1,0))</f>
        <v/>
      </c>
      <c r="BL12">
        <f>IF(OR($D12="",AG12="",21&gt;$F12),0,IF(UPPER(TRIM(AG12))=IFERROR(INDEX(Key!$C$2:$C$263,MATCH($D12*100+21,Key!$G$2:$G$263,0)),"#"),1,0))</f>
        <v/>
      </c>
      <c r="BM12">
        <f>IF(OR($D12="",AH12="",22&gt;$F12),0,IF(UPPER(TRIM(AH12))=IFERROR(INDEX(Key!$C$2:$C$263,MATCH($D12*100+22,Key!$G$2:$G$263,0)),"#"),1,0))</f>
        <v/>
      </c>
      <c r="BN12">
        <f>IF(OR($D12="",AI12="",23&gt;$F12),0,IF(UPPER(TRIM(AI12))=IFERROR(INDEX(Key!$C$2:$C$263,MATCH($D12*100+23,Key!$G$2:$G$263,0)),"#"),1,0))</f>
        <v/>
      </c>
      <c r="BO12">
        <f>IF(OR($D12="",AJ12="",24&gt;$F12),0,IF(UPPER(TRIM(AJ12))=IFERROR(INDEX(Key!$C$2:$C$263,MATCH($D12*100+24,Key!$G$2:$G$263,0)),"#"),1,0))</f>
        <v/>
      </c>
      <c r="BP12">
        <f>IF(OR($D12="",AK12="",25&gt;$F12),0,IF(UPPER(TRIM(AK12))=IFERROR(INDEX(Key!$C$2:$C$263,MATCH($D12*100+25,Key!$G$2:$G$263,0)),"#"),1,0))</f>
        <v/>
      </c>
      <c r="BQ12">
        <f>IF(OR($D12="",AL12="",26&gt;$F12),0,IF(UPPER(TRIM(AL12))=IFERROR(INDEX(Key!$C$2:$C$263,MATCH($D12*100+26,Key!$G$2:$G$263,0)),"#"),1,0))</f>
        <v/>
      </c>
      <c r="BR12">
        <f>IF(OR($D12="",AM12="",27&gt;$F12),0,IF(UPPER(TRIM(AM12))=IFERROR(INDEX(Key!$C$2:$C$263,MATCH($D12*100+27,Key!$G$2:$G$263,0)),"#"),1,0))</f>
        <v/>
      </c>
      <c r="BS12">
        <f>IF(OR($D12="",AN12="",28&gt;$F12),0,IF(UPPER(TRIM(AN12))=IFERROR(INDEX(Key!$C$2:$C$263,MATCH($D12*100+28,Key!$G$2:$G$263,0)),"#"),1,0))</f>
        <v/>
      </c>
      <c r="BT12">
        <f>IF(OR($D12="",AO12="",29&gt;$F12),0,IF(UPPER(TRIM(AO12))=IFERROR(INDEX(Key!$C$2:$C$263,MATCH($D12*100+29,Key!$G$2:$G$263,0)),"#"),1,0))</f>
        <v/>
      </c>
      <c r="BU12">
        <f>IF(OR($D12="",AP12="",30&gt;$F12),0,IF(UPPER(TRIM(AP12))=IFERROR(INDEX(Key!$C$2:$C$263,MATCH($D12*100+30,Key!$G$2:$G$263,0)),"#"),1,0))</f>
        <v/>
      </c>
    </row>
    <row r="13">
      <c r="A13" s="6" t="n"/>
      <c r="B13" s="6" t="n"/>
      <c r="C13" s="6" t="n"/>
      <c r="D13" s="6" t="n"/>
      <c r="E13" s="7">
        <f>IF($D13="","",IFERROR(INDEX(Papers!$B$2:$B$12,MATCH($D13,Papers!$A$2:$A$12,0)),"?"))</f>
        <v/>
      </c>
      <c r="F13" s="7">
        <f>IF($D13="","",IFERROR(INDEX(Papers!$C$2:$C$12,MATCH($D13,Papers!$A$2:$A$12,0)),0))</f>
        <v/>
      </c>
      <c r="G13" s="7">
        <f>IF($D13="","",COUNTIF(M13:AP13,"?*"))</f>
        <v/>
      </c>
      <c r="H13" s="7">
        <f>IF($D13="","",SUM(AR13:BU13))</f>
        <v/>
      </c>
      <c r="I13" s="7">
        <f>IF($D13="","",G13-H13)</f>
        <v/>
      </c>
      <c r="J13" s="7">
        <f>IF($D13="","",F13-G13)</f>
        <v/>
      </c>
      <c r="K13" s="7">
        <f>IF($D13="","",H13)</f>
        <v/>
      </c>
      <c r="L13" s="7">
        <f>IF($D13="","",IF(F13=0,"",ROUND(H13/F13*100,1)))</f>
        <v/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R13">
        <f>IF(OR($D13="",M13="",1&gt;$F13),0,IF(UPPER(TRIM(M13))=IFERROR(INDEX(Key!$C$2:$C$263,MATCH($D13*100+1,Key!$G$2:$G$263,0)),"#"),1,0))</f>
        <v/>
      </c>
      <c r="AS13">
        <f>IF(OR($D13="",N13="",2&gt;$F13),0,IF(UPPER(TRIM(N13))=IFERROR(INDEX(Key!$C$2:$C$263,MATCH($D13*100+2,Key!$G$2:$G$263,0)),"#"),1,0))</f>
        <v/>
      </c>
      <c r="AT13">
        <f>IF(OR($D13="",O13="",3&gt;$F13),0,IF(UPPER(TRIM(O13))=IFERROR(INDEX(Key!$C$2:$C$263,MATCH($D13*100+3,Key!$G$2:$G$263,0)),"#"),1,0))</f>
        <v/>
      </c>
      <c r="AU13">
        <f>IF(OR($D13="",P13="",4&gt;$F13),0,IF(UPPER(TRIM(P13))=IFERROR(INDEX(Key!$C$2:$C$263,MATCH($D13*100+4,Key!$G$2:$G$263,0)),"#"),1,0))</f>
        <v/>
      </c>
      <c r="AV13">
        <f>IF(OR($D13="",Q13="",5&gt;$F13),0,IF(UPPER(TRIM(Q13))=IFERROR(INDEX(Key!$C$2:$C$263,MATCH($D13*100+5,Key!$G$2:$G$263,0)),"#"),1,0))</f>
        <v/>
      </c>
      <c r="AW13">
        <f>IF(OR($D13="",R13="",6&gt;$F13),0,IF(UPPER(TRIM(R13))=IFERROR(INDEX(Key!$C$2:$C$263,MATCH($D13*100+6,Key!$G$2:$G$263,0)),"#"),1,0))</f>
        <v/>
      </c>
      <c r="AX13">
        <f>IF(OR($D13="",S13="",7&gt;$F13),0,IF(UPPER(TRIM(S13))=IFERROR(INDEX(Key!$C$2:$C$263,MATCH($D13*100+7,Key!$G$2:$G$263,0)),"#"),1,0))</f>
        <v/>
      </c>
      <c r="AY13">
        <f>IF(OR($D13="",T13="",8&gt;$F13),0,IF(UPPER(TRIM(T13))=IFERROR(INDEX(Key!$C$2:$C$263,MATCH($D13*100+8,Key!$G$2:$G$263,0)),"#"),1,0))</f>
        <v/>
      </c>
      <c r="AZ13">
        <f>IF(OR($D13="",U13="",9&gt;$F13),0,IF(UPPER(TRIM(U13))=IFERROR(INDEX(Key!$C$2:$C$263,MATCH($D13*100+9,Key!$G$2:$G$263,0)),"#"),1,0))</f>
        <v/>
      </c>
      <c r="BA13">
        <f>IF(OR($D13="",V13="",10&gt;$F13),0,IF(UPPER(TRIM(V13))=IFERROR(INDEX(Key!$C$2:$C$263,MATCH($D13*100+10,Key!$G$2:$G$263,0)),"#"),1,0))</f>
        <v/>
      </c>
      <c r="BB13">
        <f>IF(OR($D13="",W13="",11&gt;$F13),0,IF(UPPER(TRIM(W13))=IFERROR(INDEX(Key!$C$2:$C$263,MATCH($D13*100+11,Key!$G$2:$G$263,0)),"#"),1,0))</f>
        <v/>
      </c>
      <c r="BC13">
        <f>IF(OR($D13="",X13="",12&gt;$F13),0,IF(UPPER(TRIM(X13))=IFERROR(INDEX(Key!$C$2:$C$263,MATCH($D13*100+12,Key!$G$2:$G$263,0)),"#"),1,0))</f>
        <v/>
      </c>
      <c r="BD13">
        <f>IF(OR($D13="",Y13="",13&gt;$F13),0,IF(UPPER(TRIM(Y13))=IFERROR(INDEX(Key!$C$2:$C$263,MATCH($D13*100+13,Key!$G$2:$G$263,0)),"#"),1,0))</f>
        <v/>
      </c>
      <c r="BE13">
        <f>IF(OR($D13="",Z13="",14&gt;$F13),0,IF(UPPER(TRIM(Z13))=IFERROR(INDEX(Key!$C$2:$C$263,MATCH($D13*100+14,Key!$G$2:$G$263,0)),"#"),1,0))</f>
        <v/>
      </c>
      <c r="BF13">
        <f>IF(OR($D13="",AA13="",15&gt;$F13),0,IF(UPPER(TRIM(AA13))=IFERROR(INDEX(Key!$C$2:$C$263,MATCH($D13*100+15,Key!$G$2:$G$263,0)),"#"),1,0))</f>
        <v/>
      </c>
      <c r="BG13">
        <f>IF(OR($D13="",AB13="",16&gt;$F13),0,IF(UPPER(TRIM(AB13))=IFERROR(INDEX(Key!$C$2:$C$263,MATCH($D13*100+16,Key!$G$2:$G$263,0)),"#"),1,0))</f>
        <v/>
      </c>
      <c r="BH13">
        <f>IF(OR($D13="",AC13="",17&gt;$F13),0,IF(UPPER(TRIM(AC13))=IFERROR(INDEX(Key!$C$2:$C$263,MATCH($D13*100+17,Key!$G$2:$G$263,0)),"#"),1,0))</f>
        <v/>
      </c>
      <c r="BI13">
        <f>IF(OR($D13="",AD13="",18&gt;$F13),0,IF(UPPER(TRIM(AD13))=IFERROR(INDEX(Key!$C$2:$C$263,MATCH($D13*100+18,Key!$G$2:$G$263,0)),"#"),1,0))</f>
        <v/>
      </c>
      <c r="BJ13">
        <f>IF(OR($D13="",AE13="",19&gt;$F13),0,IF(UPPER(TRIM(AE13))=IFERROR(INDEX(Key!$C$2:$C$263,MATCH($D13*100+19,Key!$G$2:$G$263,0)),"#"),1,0))</f>
        <v/>
      </c>
      <c r="BK13">
        <f>IF(OR($D13="",AF13="",20&gt;$F13),0,IF(UPPER(TRIM(AF13))=IFERROR(INDEX(Key!$C$2:$C$263,MATCH($D13*100+20,Key!$G$2:$G$263,0)),"#"),1,0))</f>
        <v/>
      </c>
      <c r="BL13">
        <f>IF(OR($D13="",AG13="",21&gt;$F13),0,IF(UPPER(TRIM(AG13))=IFERROR(INDEX(Key!$C$2:$C$263,MATCH($D13*100+21,Key!$G$2:$G$263,0)),"#"),1,0))</f>
        <v/>
      </c>
      <c r="BM13">
        <f>IF(OR($D13="",AH13="",22&gt;$F13),0,IF(UPPER(TRIM(AH13))=IFERROR(INDEX(Key!$C$2:$C$263,MATCH($D13*100+22,Key!$G$2:$G$263,0)),"#"),1,0))</f>
        <v/>
      </c>
      <c r="BN13">
        <f>IF(OR($D13="",AI13="",23&gt;$F13),0,IF(UPPER(TRIM(AI13))=IFERROR(INDEX(Key!$C$2:$C$263,MATCH($D13*100+23,Key!$G$2:$G$263,0)),"#"),1,0))</f>
        <v/>
      </c>
      <c r="BO13">
        <f>IF(OR($D13="",AJ13="",24&gt;$F13),0,IF(UPPER(TRIM(AJ13))=IFERROR(INDEX(Key!$C$2:$C$263,MATCH($D13*100+24,Key!$G$2:$G$263,0)),"#"),1,0))</f>
        <v/>
      </c>
      <c r="BP13">
        <f>IF(OR($D13="",AK13="",25&gt;$F13),0,IF(UPPER(TRIM(AK13))=IFERROR(INDEX(Key!$C$2:$C$263,MATCH($D13*100+25,Key!$G$2:$G$263,0)),"#"),1,0))</f>
        <v/>
      </c>
      <c r="BQ13">
        <f>IF(OR($D13="",AL13="",26&gt;$F13),0,IF(UPPER(TRIM(AL13))=IFERROR(INDEX(Key!$C$2:$C$263,MATCH($D13*100+26,Key!$G$2:$G$263,0)),"#"),1,0))</f>
        <v/>
      </c>
      <c r="BR13">
        <f>IF(OR($D13="",AM13="",27&gt;$F13),0,IF(UPPER(TRIM(AM13))=IFERROR(INDEX(Key!$C$2:$C$263,MATCH($D13*100+27,Key!$G$2:$G$263,0)),"#"),1,0))</f>
        <v/>
      </c>
      <c r="BS13">
        <f>IF(OR($D13="",AN13="",28&gt;$F13),0,IF(UPPER(TRIM(AN13))=IFERROR(INDEX(Key!$C$2:$C$263,MATCH($D13*100+28,Key!$G$2:$G$263,0)),"#"),1,0))</f>
        <v/>
      </c>
      <c r="BT13">
        <f>IF(OR($D13="",AO13="",29&gt;$F13),0,IF(UPPER(TRIM(AO13))=IFERROR(INDEX(Key!$C$2:$C$263,MATCH($D13*100+29,Key!$G$2:$G$263,0)),"#"),1,0))</f>
        <v/>
      </c>
      <c r="BU13">
        <f>IF(OR($D13="",AP13="",30&gt;$F13),0,IF(UPPER(TRIM(AP13))=IFERROR(INDEX(Key!$C$2:$C$263,MATCH($D13*100+30,Key!$G$2:$G$263,0)),"#"),1,0))</f>
        <v/>
      </c>
    </row>
    <row r="14">
      <c r="A14" s="6" t="n"/>
      <c r="B14" s="6" t="n"/>
      <c r="C14" s="6" t="n"/>
      <c r="D14" s="6" t="n"/>
      <c r="E14" s="7">
        <f>IF($D14="","",IFERROR(INDEX(Papers!$B$2:$B$12,MATCH($D14,Papers!$A$2:$A$12,0)),"?"))</f>
        <v/>
      </c>
      <c r="F14" s="7">
        <f>IF($D14="","",IFERROR(INDEX(Papers!$C$2:$C$12,MATCH($D14,Papers!$A$2:$A$12,0)),0))</f>
        <v/>
      </c>
      <c r="G14" s="7">
        <f>IF($D14="","",COUNTIF(M14:AP14,"?*"))</f>
        <v/>
      </c>
      <c r="H14" s="7">
        <f>IF($D14="","",SUM(AR14:BU14))</f>
        <v/>
      </c>
      <c r="I14" s="7">
        <f>IF($D14="","",G14-H14)</f>
        <v/>
      </c>
      <c r="J14" s="7">
        <f>IF($D14="","",F14-G14)</f>
        <v/>
      </c>
      <c r="K14" s="7">
        <f>IF($D14="","",H14)</f>
        <v/>
      </c>
      <c r="L14" s="7">
        <f>IF($D14="","",IF(F14=0,"",ROUND(H14/F14*100,1)))</f>
        <v/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R14">
        <f>IF(OR($D14="",M14="",1&gt;$F14),0,IF(UPPER(TRIM(M14))=IFERROR(INDEX(Key!$C$2:$C$263,MATCH($D14*100+1,Key!$G$2:$G$263,0)),"#"),1,0))</f>
        <v/>
      </c>
      <c r="AS14">
        <f>IF(OR($D14="",N14="",2&gt;$F14),0,IF(UPPER(TRIM(N14))=IFERROR(INDEX(Key!$C$2:$C$263,MATCH($D14*100+2,Key!$G$2:$G$263,0)),"#"),1,0))</f>
        <v/>
      </c>
      <c r="AT14">
        <f>IF(OR($D14="",O14="",3&gt;$F14),0,IF(UPPER(TRIM(O14))=IFERROR(INDEX(Key!$C$2:$C$263,MATCH($D14*100+3,Key!$G$2:$G$263,0)),"#"),1,0))</f>
        <v/>
      </c>
      <c r="AU14">
        <f>IF(OR($D14="",P14="",4&gt;$F14),0,IF(UPPER(TRIM(P14))=IFERROR(INDEX(Key!$C$2:$C$263,MATCH($D14*100+4,Key!$G$2:$G$263,0)),"#"),1,0))</f>
        <v/>
      </c>
      <c r="AV14">
        <f>IF(OR($D14="",Q14="",5&gt;$F14),0,IF(UPPER(TRIM(Q14))=IFERROR(INDEX(Key!$C$2:$C$263,MATCH($D14*100+5,Key!$G$2:$G$263,0)),"#"),1,0))</f>
        <v/>
      </c>
      <c r="AW14">
        <f>IF(OR($D14="",R14="",6&gt;$F14),0,IF(UPPER(TRIM(R14))=IFERROR(INDEX(Key!$C$2:$C$263,MATCH($D14*100+6,Key!$G$2:$G$263,0)),"#"),1,0))</f>
        <v/>
      </c>
      <c r="AX14">
        <f>IF(OR($D14="",S14="",7&gt;$F14),0,IF(UPPER(TRIM(S14))=IFERROR(INDEX(Key!$C$2:$C$263,MATCH($D14*100+7,Key!$G$2:$G$263,0)),"#"),1,0))</f>
        <v/>
      </c>
      <c r="AY14">
        <f>IF(OR($D14="",T14="",8&gt;$F14),0,IF(UPPER(TRIM(T14))=IFERROR(INDEX(Key!$C$2:$C$263,MATCH($D14*100+8,Key!$G$2:$G$263,0)),"#"),1,0))</f>
        <v/>
      </c>
      <c r="AZ14">
        <f>IF(OR($D14="",U14="",9&gt;$F14),0,IF(UPPER(TRIM(U14))=IFERROR(INDEX(Key!$C$2:$C$263,MATCH($D14*100+9,Key!$G$2:$G$263,0)),"#"),1,0))</f>
        <v/>
      </c>
      <c r="BA14">
        <f>IF(OR($D14="",V14="",10&gt;$F14),0,IF(UPPER(TRIM(V14))=IFERROR(INDEX(Key!$C$2:$C$263,MATCH($D14*100+10,Key!$G$2:$G$263,0)),"#"),1,0))</f>
        <v/>
      </c>
      <c r="BB14">
        <f>IF(OR($D14="",W14="",11&gt;$F14),0,IF(UPPER(TRIM(W14))=IFERROR(INDEX(Key!$C$2:$C$263,MATCH($D14*100+11,Key!$G$2:$G$263,0)),"#"),1,0))</f>
        <v/>
      </c>
      <c r="BC14">
        <f>IF(OR($D14="",X14="",12&gt;$F14),0,IF(UPPER(TRIM(X14))=IFERROR(INDEX(Key!$C$2:$C$263,MATCH($D14*100+12,Key!$G$2:$G$263,0)),"#"),1,0))</f>
        <v/>
      </c>
      <c r="BD14">
        <f>IF(OR($D14="",Y14="",13&gt;$F14),0,IF(UPPER(TRIM(Y14))=IFERROR(INDEX(Key!$C$2:$C$263,MATCH($D14*100+13,Key!$G$2:$G$263,0)),"#"),1,0))</f>
        <v/>
      </c>
      <c r="BE14">
        <f>IF(OR($D14="",Z14="",14&gt;$F14),0,IF(UPPER(TRIM(Z14))=IFERROR(INDEX(Key!$C$2:$C$263,MATCH($D14*100+14,Key!$G$2:$G$263,0)),"#"),1,0))</f>
        <v/>
      </c>
      <c r="BF14">
        <f>IF(OR($D14="",AA14="",15&gt;$F14),0,IF(UPPER(TRIM(AA14))=IFERROR(INDEX(Key!$C$2:$C$263,MATCH($D14*100+15,Key!$G$2:$G$263,0)),"#"),1,0))</f>
        <v/>
      </c>
      <c r="BG14">
        <f>IF(OR($D14="",AB14="",16&gt;$F14),0,IF(UPPER(TRIM(AB14))=IFERROR(INDEX(Key!$C$2:$C$263,MATCH($D14*100+16,Key!$G$2:$G$263,0)),"#"),1,0))</f>
        <v/>
      </c>
      <c r="BH14">
        <f>IF(OR($D14="",AC14="",17&gt;$F14),0,IF(UPPER(TRIM(AC14))=IFERROR(INDEX(Key!$C$2:$C$263,MATCH($D14*100+17,Key!$G$2:$G$263,0)),"#"),1,0))</f>
        <v/>
      </c>
      <c r="BI14">
        <f>IF(OR($D14="",AD14="",18&gt;$F14),0,IF(UPPER(TRIM(AD14))=IFERROR(INDEX(Key!$C$2:$C$263,MATCH($D14*100+18,Key!$G$2:$G$263,0)),"#"),1,0))</f>
        <v/>
      </c>
      <c r="BJ14">
        <f>IF(OR($D14="",AE14="",19&gt;$F14),0,IF(UPPER(TRIM(AE14))=IFERROR(INDEX(Key!$C$2:$C$263,MATCH($D14*100+19,Key!$G$2:$G$263,0)),"#"),1,0))</f>
        <v/>
      </c>
      <c r="BK14">
        <f>IF(OR($D14="",AF14="",20&gt;$F14),0,IF(UPPER(TRIM(AF14))=IFERROR(INDEX(Key!$C$2:$C$263,MATCH($D14*100+20,Key!$G$2:$G$263,0)),"#"),1,0))</f>
        <v/>
      </c>
      <c r="BL14">
        <f>IF(OR($D14="",AG14="",21&gt;$F14),0,IF(UPPER(TRIM(AG14))=IFERROR(INDEX(Key!$C$2:$C$263,MATCH($D14*100+21,Key!$G$2:$G$263,0)),"#"),1,0))</f>
        <v/>
      </c>
      <c r="BM14">
        <f>IF(OR($D14="",AH14="",22&gt;$F14),0,IF(UPPER(TRIM(AH14))=IFERROR(INDEX(Key!$C$2:$C$263,MATCH($D14*100+22,Key!$G$2:$G$263,0)),"#"),1,0))</f>
        <v/>
      </c>
      <c r="BN14">
        <f>IF(OR($D14="",AI14="",23&gt;$F14),0,IF(UPPER(TRIM(AI14))=IFERROR(INDEX(Key!$C$2:$C$263,MATCH($D14*100+23,Key!$G$2:$G$263,0)),"#"),1,0))</f>
        <v/>
      </c>
      <c r="BO14">
        <f>IF(OR($D14="",AJ14="",24&gt;$F14),0,IF(UPPER(TRIM(AJ14))=IFERROR(INDEX(Key!$C$2:$C$263,MATCH($D14*100+24,Key!$G$2:$G$263,0)),"#"),1,0))</f>
        <v/>
      </c>
      <c r="BP14">
        <f>IF(OR($D14="",AK14="",25&gt;$F14),0,IF(UPPER(TRIM(AK14))=IFERROR(INDEX(Key!$C$2:$C$263,MATCH($D14*100+25,Key!$G$2:$G$263,0)),"#"),1,0))</f>
        <v/>
      </c>
      <c r="BQ14">
        <f>IF(OR($D14="",AL14="",26&gt;$F14),0,IF(UPPER(TRIM(AL14))=IFERROR(INDEX(Key!$C$2:$C$263,MATCH($D14*100+26,Key!$G$2:$G$263,0)),"#"),1,0))</f>
        <v/>
      </c>
      <c r="BR14">
        <f>IF(OR($D14="",AM14="",27&gt;$F14),0,IF(UPPER(TRIM(AM14))=IFERROR(INDEX(Key!$C$2:$C$263,MATCH($D14*100+27,Key!$G$2:$G$263,0)),"#"),1,0))</f>
        <v/>
      </c>
      <c r="BS14">
        <f>IF(OR($D14="",AN14="",28&gt;$F14),0,IF(UPPER(TRIM(AN14))=IFERROR(INDEX(Key!$C$2:$C$263,MATCH($D14*100+28,Key!$G$2:$G$263,0)),"#"),1,0))</f>
        <v/>
      </c>
      <c r="BT14">
        <f>IF(OR($D14="",AO14="",29&gt;$F14),0,IF(UPPER(TRIM(AO14))=IFERROR(INDEX(Key!$C$2:$C$263,MATCH($D14*100+29,Key!$G$2:$G$263,0)),"#"),1,0))</f>
        <v/>
      </c>
      <c r="BU14">
        <f>IF(OR($D14="",AP14="",30&gt;$F14),0,IF(UPPER(TRIM(AP14))=IFERROR(INDEX(Key!$C$2:$C$263,MATCH($D14*100+30,Key!$G$2:$G$263,0)),"#"),1,0))</f>
        <v/>
      </c>
    </row>
    <row r="15">
      <c r="A15" s="6" t="n"/>
      <c r="B15" s="6" t="n"/>
      <c r="C15" s="6" t="n"/>
      <c r="D15" s="6" t="n"/>
      <c r="E15" s="7">
        <f>IF($D15="","",IFERROR(INDEX(Papers!$B$2:$B$12,MATCH($D15,Papers!$A$2:$A$12,0)),"?"))</f>
        <v/>
      </c>
      <c r="F15" s="7">
        <f>IF($D15="","",IFERROR(INDEX(Papers!$C$2:$C$12,MATCH($D15,Papers!$A$2:$A$12,0)),0))</f>
        <v/>
      </c>
      <c r="G15" s="7">
        <f>IF($D15="","",COUNTIF(M15:AP15,"?*"))</f>
        <v/>
      </c>
      <c r="H15" s="7">
        <f>IF($D15="","",SUM(AR15:BU15))</f>
        <v/>
      </c>
      <c r="I15" s="7">
        <f>IF($D15="","",G15-H15)</f>
        <v/>
      </c>
      <c r="J15" s="7">
        <f>IF($D15="","",F15-G15)</f>
        <v/>
      </c>
      <c r="K15" s="7">
        <f>IF($D15="","",H15)</f>
        <v/>
      </c>
      <c r="L15" s="7">
        <f>IF($D15="","",IF(F15=0,"",ROUND(H15/F15*100,1)))</f>
        <v/>
      </c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R15">
        <f>IF(OR($D15="",M15="",1&gt;$F15),0,IF(UPPER(TRIM(M15))=IFERROR(INDEX(Key!$C$2:$C$263,MATCH($D15*100+1,Key!$G$2:$G$263,0)),"#"),1,0))</f>
        <v/>
      </c>
      <c r="AS15">
        <f>IF(OR($D15="",N15="",2&gt;$F15),0,IF(UPPER(TRIM(N15))=IFERROR(INDEX(Key!$C$2:$C$263,MATCH($D15*100+2,Key!$G$2:$G$263,0)),"#"),1,0))</f>
        <v/>
      </c>
      <c r="AT15">
        <f>IF(OR($D15="",O15="",3&gt;$F15),0,IF(UPPER(TRIM(O15))=IFERROR(INDEX(Key!$C$2:$C$263,MATCH($D15*100+3,Key!$G$2:$G$263,0)),"#"),1,0))</f>
        <v/>
      </c>
      <c r="AU15">
        <f>IF(OR($D15="",P15="",4&gt;$F15),0,IF(UPPER(TRIM(P15))=IFERROR(INDEX(Key!$C$2:$C$263,MATCH($D15*100+4,Key!$G$2:$G$263,0)),"#"),1,0))</f>
        <v/>
      </c>
      <c r="AV15">
        <f>IF(OR($D15="",Q15="",5&gt;$F15),0,IF(UPPER(TRIM(Q15))=IFERROR(INDEX(Key!$C$2:$C$263,MATCH($D15*100+5,Key!$G$2:$G$263,0)),"#"),1,0))</f>
        <v/>
      </c>
      <c r="AW15">
        <f>IF(OR($D15="",R15="",6&gt;$F15),0,IF(UPPER(TRIM(R15))=IFERROR(INDEX(Key!$C$2:$C$263,MATCH($D15*100+6,Key!$G$2:$G$263,0)),"#"),1,0))</f>
        <v/>
      </c>
      <c r="AX15">
        <f>IF(OR($D15="",S15="",7&gt;$F15),0,IF(UPPER(TRIM(S15))=IFERROR(INDEX(Key!$C$2:$C$263,MATCH($D15*100+7,Key!$G$2:$G$263,0)),"#"),1,0))</f>
        <v/>
      </c>
      <c r="AY15">
        <f>IF(OR($D15="",T15="",8&gt;$F15),0,IF(UPPER(TRIM(T15))=IFERROR(INDEX(Key!$C$2:$C$263,MATCH($D15*100+8,Key!$G$2:$G$263,0)),"#"),1,0))</f>
        <v/>
      </c>
      <c r="AZ15">
        <f>IF(OR($D15="",U15="",9&gt;$F15),0,IF(UPPER(TRIM(U15))=IFERROR(INDEX(Key!$C$2:$C$263,MATCH($D15*100+9,Key!$G$2:$G$263,0)),"#"),1,0))</f>
        <v/>
      </c>
      <c r="BA15">
        <f>IF(OR($D15="",V15="",10&gt;$F15),0,IF(UPPER(TRIM(V15))=IFERROR(INDEX(Key!$C$2:$C$263,MATCH($D15*100+10,Key!$G$2:$G$263,0)),"#"),1,0))</f>
        <v/>
      </c>
      <c r="BB15">
        <f>IF(OR($D15="",W15="",11&gt;$F15),0,IF(UPPER(TRIM(W15))=IFERROR(INDEX(Key!$C$2:$C$263,MATCH($D15*100+11,Key!$G$2:$G$263,0)),"#"),1,0))</f>
        <v/>
      </c>
      <c r="BC15">
        <f>IF(OR($D15="",X15="",12&gt;$F15),0,IF(UPPER(TRIM(X15))=IFERROR(INDEX(Key!$C$2:$C$263,MATCH($D15*100+12,Key!$G$2:$G$263,0)),"#"),1,0))</f>
        <v/>
      </c>
      <c r="BD15">
        <f>IF(OR($D15="",Y15="",13&gt;$F15),0,IF(UPPER(TRIM(Y15))=IFERROR(INDEX(Key!$C$2:$C$263,MATCH($D15*100+13,Key!$G$2:$G$263,0)),"#"),1,0))</f>
        <v/>
      </c>
      <c r="BE15">
        <f>IF(OR($D15="",Z15="",14&gt;$F15),0,IF(UPPER(TRIM(Z15))=IFERROR(INDEX(Key!$C$2:$C$263,MATCH($D15*100+14,Key!$G$2:$G$263,0)),"#"),1,0))</f>
        <v/>
      </c>
      <c r="BF15">
        <f>IF(OR($D15="",AA15="",15&gt;$F15),0,IF(UPPER(TRIM(AA15))=IFERROR(INDEX(Key!$C$2:$C$263,MATCH($D15*100+15,Key!$G$2:$G$263,0)),"#"),1,0))</f>
        <v/>
      </c>
      <c r="BG15">
        <f>IF(OR($D15="",AB15="",16&gt;$F15),0,IF(UPPER(TRIM(AB15))=IFERROR(INDEX(Key!$C$2:$C$263,MATCH($D15*100+16,Key!$G$2:$G$263,0)),"#"),1,0))</f>
        <v/>
      </c>
      <c r="BH15">
        <f>IF(OR($D15="",AC15="",17&gt;$F15),0,IF(UPPER(TRIM(AC15))=IFERROR(INDEX(Key!$C$2:$C$263,MATCH($D15*100+17,Key!$G$2:$G$263,0)),"#"),1,0))</f>
        <v/>
      </c>
      <c r="BI15">
        <f>IF(OR($D15="",AD15="",18&gt;$F15),0,IF(UPPER(TRIM(AD15))=IFERROR(INDEX(Key!$C$2:$C$263,MATCH($D15*100+18,Key!$G$2:$G$263,0)),"#"),1,0))</f>
        <v/>
      </c>
      <c r="BJ15">
        <f>IF(OR($D15="",AE15="",19&gt;$F15),0,IF(UPPER(TRIM(AE15))=IFERROR(INDEX(Key!$C$2:$C$263,MATCH($D15*100+19,Key!$G$2:$G$263,0)),"#"),1,0))</f>
        <v/>
      </c>
      <c r="BK15">
        <f>IF(OR($D15="",AF15="",20&gt;$F15),0,IF(UPPER(TRIM(AF15))=IFERROR(INDEX(Key!$C$2:$C$263,MATCH($D15*100+20,Key!$G$2:$G$263,0)),"#"),1,0))</f>
        <v/>
      </c>
      <c r="BL15">
        <f>IF(OR($D15="",AG15="",21&gt;$F15),0,IF(UPPER(TRIM(AG15))=IFERROR(INDEX(Key!$C$2:$C$263,MATCH($D15*100+21,Key!$G$2:$G$263,0)),"#"),1,0))</f>
        <v/>
      </c>
      <c r="BM15">
        <f>IF(OR($D15="",AH15="",22&gt;$F15),0,IF(UPPER(TRIM(AH15))=IFERROR(INDEX(Key!$C$2:$C$263,MATCH($D15*100+22,Key!$G$2:$G$263,0)),"#"),1,0))</f>
        <v/>
      </c>
      <c r="BN15">
        <f>IF(OR($D15="",AI15="",23&gt;$F15),0,IF(UPPER(TRIM(AI15))=IFERROR(INDEX(Key!$C$2:$C$263,MATCH($D15*100+23,Key!$G$2:$G$263,0)),"#"),1,0))</f>
        <v/>
      </c>
      <c r="BO15">
        <f>IF(OR($D15="",AJ15="",24&gt;$F15),0,IF(UPPER(TRIM(AJ15))=IFERROR(INDEX(Key!$C$2:$C$263,MATCH($D15*100+24,Key!$G$2:$G$263,0)),"#"),1,0))</f>
        <v/>
      </c>
      <c r="BP15">
        <f>IF(OR($D15="",AK15="",25&gt;$F15),0,IF(UPPER(TRIM(AK15))=IFERROR(INDEX(Key!$C$2:$C$263,MATCH($D15*100+25,Key!$G$2:$G$263,0)),"#"),1,0))</f>
        <v/>
      </c>
      <c r="BQ15">
        <f>IF(OR($D15="",AL15="",26&gt;$F15),0,IF(UPPER(TRIM(AL15))=IFERROR(INDEX(Key!$C$2:$C$263,MATCH($D15*100+26,Key!$G$2:$G$263,0)),"#"),1,0))</f>
        <v/>
      </c>
      <c r="BR15">
        <f>IF(OR($D15="",AM15="",27&gt;$F15),0,IF(UPPER(TRIM(AM15))=IFERROR(INDEX(Key!$C$2:$C$263,MATCH($D15*100+27,Key!$G$2:$G$263,0)),"#"),1,0))</f>
        <v/>
      </c>
      <c r="BS15">
        <f>IF(OR($D15="",AN15="",28&gt;$F15),0,IF(UPPER(TRIM(AN15))=IFERROR(INDEX(Key!$C$2:$C$263,MATCH($D15*100+28,Key!$G$2:$G$263,0)),"#"),1,0))</f>
        <v/>
      </c>
      <c r="BT15">
        <f>IF(OR($D15="",AO15="",29&gt;$F15),0,IF(UPPER(TRIM(AO15))=IFERROR(INDEX(Key!$C$2:$C$263,MATCH($D15*100+29,Key!$G$2:$G$263,0)),"#"),1,0))</f>
        <v/>
      </c>
      <c r="BU15">
        <f>IF(OR($D15="",AP15="",30&gt;$F15),0,IF(UPPER(TRIM(AP15))=IFERROR(INDEX(Key!$C$2:$C$263,MATCH($D15*100+30,Key!$G$2:$G$263,0)),"#"),1,0))</f>
        <v/>
      </c>
    </row>
    <row r="16">
      <c r="A16" s="6" t="n"/>
      <c r="B16" s="6" t="n"/>
      <c r="C16" s="6" t="n"/>
      <c r="D16" s="6" t="n"/>
      <c r="E16" s="7">
        <f>IF($D16="","",IFERROR(INDEX(Papers!$B$2:$B$12,MATCH($D16,Papers!$A$2:$A$12,0)),"?"))</f>
        <v/>
      </c>
      <c r="F16" s="7">
        <f>IF($D16="","",IFERROR(INDEX(Papers!$C$2:$C$12,MATCH($D16,Papers!$A$2:$A$12,0)),0))</f>
        <v/>
      </c>
      <c r="G16" s="7">
        <f>IF($D16="","",COUNTIF(M16:AP16,"?*"))</f>
        <v/>
      </c>
      <c r="H16" s="7">
        <f>IF($D16="","",SUM(AR16:BU16))</f>
        <v/>
      </c>
      <c r="I16" s="7">
        <f>IF($D16="","",G16-H16)</f>
        <v/>
      </c>
      <c r="J16" s="7">
        <f>IF($D16="","",F16-G16)</f>
        <v/>
      </c>
      <c r="K16" s="7">
        <f>IF($D16="","",H16)</f>
        <v/>
      </c>
      <c r="L16" s="7">
        <f>IF($D16="","",IF(F16=0,"",ROUND(H16/F16*100,1)))</f>
        <v/>
      </c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R16">
        <f>IF(OR($D16="",M16="",1&gt;$F16),0,IF(UPPER(TRIM(M16))=IFERROR(INDEX(Key!$C$2:$C$263,MATCH($D16*100+1,Key!$G$2:$G$263,0)),"#"),1,0))</f>
        <v/>
      </c>
      <c r="AS16">
        <f>IF(OR($D16="",N16="",2&gt;$F16),0,IF(UPPER(TRIM(N16))=IFERROR(INDEX(Key!$C$2:$C$263,MATCH($D16*100+2,Key!$G$2:$G$263,0)),"#"),1,0))</f>
        <v/>
      </c>
      <c r="AT16">
        <f>IF(OR($D16="",O16="",3&gt;$F16),0,IF(UPPER(TRIM(O16))=IFERROR(INDEX(Key!$C$2:$C$263,MATCH($D16*100+3,Key!$G$2:$G$263,0)),"#"),1,0))</f>
        <v/>
      </c>
      <c r="AU16">
        <f>IF(OR($D16="",P16="",4&gt;$F16),0,IF(UPPER(TRIM(P16))=IFERROR(INDEX(Key!$C$2:$C$263,MATCH($D16*100+4,Key!$G$2:$G$263,0)),"#"),1,0))</f>
        <v/>
      </c>
      <c r="AV16">
        <f>IF(OR($D16="",Q16="",5&gt;$F16),0,IF(UPPER(TRIM(Q16))=IFERROR(INDEX(Key!$C$2:$C$263,MATCH($D16*100+5,Key!$G$2:$G$263,0)),"#"),1,0))</f>
        <v/>
      </c>
      <c r="AW16">
        <f>IF(OR($D16="",R16="",6&gt;$F16),0,IF(UPPER(TRIM(R16))=IFERROR(INDEX(Key!$C$2:$C$263,MATCH($D16*100+6,Key!$G$2:$G$263,0)),"#"),1,0))</f>
        <v/>
      </c>
      <c r="AX16">
        <f>IF(OR($D16="",S16="",7&gt;$F16),0,IF(UPPER(TRIM(S16))=IFERROR(INDEX(Key!$C$2:$C$263,MATCH($D16*100+7,Key!$G$2:$G$263,0)),"#"),1,0))</f>
        <v/>
      </c>
      <c r="AY16">
        <f>IF(OR($D16="",T16="",8&gt;$F16),0,IF(UPPER(TRIM(T16))=IFERROR(INDEX(Key!$C$2:$C$263,MATCH($D16*100+8,Key!$G$2:$G$263,0)),"#"),1,0))</f>
        <v/>
      </c>
      <c r="AZ16">
        <f>IF(OR($D16="",U16="",9&gt;$F16),0,IF(UPPER(TRIM(U16))=IFERROR(INDEX(Key!$C$2:$C$263,MATCH($D16*100+9,Key!$G$2:$G$263,0)),"#"),1,0))</f>
        <v/>
      </c>
      <c r="BA16">
        <f>IF(OR($D16="",V16="",10&gt;$F16),0,IF(UPPER(TRIM(V16))=IFERROR(INDEX(Key!$C$2:$C$263,MATCH($D16*100+10,Key!$G$2:$G$263,0)),"#"),1,0))</f>
        <v/>
      </c>
      <c r="BB16">
        <f>IF(OR($D16="",W16="",11&gt;$F16),0,IF(UPPER(TRIM(W16))=IFERROR(INDEX(Key!$C$2:$C$263,MATCH($D16*100+11,Key!$G$2:$G$263,0)),"#"),1,0))</f>
        <v/>
      </c>
      <c r="BC16">
        <f>IF(OR($D16="",X16="",12&gt;$F16),0,IF(UPPER(TRIM(X16))=IFERROR(INDEX(Key!$C$2:$C$263,MATCH($D16*100+12,Key!$G$2:$G$263,0)),"#"),1,0))</f>
        <v/>
      </c>
      <c r="BD16">
        <f>IF(OR($D16="",Y16="",13&gt;$F16),0,IF(UPPER(TRIM(Y16))=IFERROR(INDEX(Key!$C$2:$C$263,MATCH($D16*100+13,Key!$G$2:$G$263,0)),"#"),1,0))</f>
        <v/>
      </c>
      <c r="BE16">
        <f>IF(OR($D16="",Z16="",14&gt;$F16),0,IF(UPPER(TRIM(Z16))=IFERROR(INDEX(Key!$C$2:$C$263,MATCH($D16*100+14,Key!$G$2:$G$263,0)),"#"),1,0))</f>
        <v/>
      </c>
      <c r="BF16">
        <f>IF(OR($D16="",AA16="",15&gt;$F16),0,IF(UPPER(TRIM(AA16))=IFERROR(INDEX(Key!$C$2:$C$263,MATCH($D16*100+15,Key!$G$2:$G$263,0)),"#"),1,0))</f>
        <v/>
      </c>
      <c r="BG16">
        <f>IF(OR($D16="",AB16="",16&gt;$F16),0,IF(UPPER(TRIM(AB16))=IFERROR(INDEX(Key!$C$2:$C$263,MATCH($D16*100+16,Key!$G$2:$G$263,0)),"#"),1,0))</f>
        <v/>
      </c>
      <c r="BH16">
        <f>IF(OR($D16="",AC16="",17&gt;$F16),0,IF(UPPER(TRIM(AC16))=IFERROR(INDEX(Key!$C$2:$C$263,MATCH($D16*100+17,Key!$G$2:$G$263,0)),"#"),1,0))</f>
        <v/>
      </c>
      <c r="BI16">
        <f>IF(OR($D16="",AD16="",18&gt;$F16),0,IF(UPPER(TRIM(AD16))=IFERROR(INDEX(Key!$C$2:$C$263,MATCH($D16*100+18,Key!$G$2:$G$263,0)),"#"),1,0))</f>
        <v/>
      </c>
      <c r="BJ16">
        <f>IF(OR($D16="",AE16="",19&gt;$F16),0,IF(UPPER(TRIM(AE16))=IFERROR(INDEX(Key!$C$2:$C$263,MATCH($D16*100+19,Key!$G$2:$G$263,0)),"#"),1,0))</f>
        <v/>
      </c>
      <c r="BK16">
        <f>IF(OR($D16="",AF16="",20&gt;$F16),0,IF(UPPER(TRIM(AF16))=IFERROR(INDEX(Key!$C$2:$C$263,MATCH($D16*100+20,Key!$G$2:$G$263,0)),"#"),1,0))</f>
        <v/>
      </c>
      <c r="BL16">
        <f>IF(OR($D16="",AG16="",21&gt;$F16),0,IF(UPPER(TRIM(AG16))=IFERROR(INDEX(Key!$C$2:$C$263,MATCH($D16*100+21,Key!$G$2:$G$263,0)),"#"),1,0))</f>
        <v/>
      </c>
      <c r="BM16">
        <f>IF(OR($D16="",AH16="",22&gt;$F16),0,IF(UPPER(TRIM(AH16))=IFERROR(INDEX(Key!$C$2:$C$263,MATCH($D16*100+22,Key!$G$2:$G$263,0)),"#"),1,0))</f>
        <v/>
      </c>
      <c r="BN16">
        <f>IF(OR($D16="",AI16="",23&gt;$F16),0,IF(UPPER(TRIM(AI16))=IFERROR(INDEX(Key!$C$2:$C$263,MATCH($D16*100+23,Key!$G$2:$G$263,0)),"#"),1,0))</f>
        <v/>
      </c>
      <c r="BO16">
        <f>IF(OR($D16="",AJ16="",24&gt;$F16),0,IF(UPPER(TRIM(AJ16))=IFERROR(INDEX(Key!$C$2:$C$263,MATCH($D16*100+24,Key!$G$2:$G$263,0)),"#"),1,0))</f>
        <v/>
      </c>
      <c r="BP16">
        <f>IF(OR($D16="",AK16="",25&gt;$F16),0,IF(UPPER(TRIM(AK16))=IFERROR(INDEX(Key!$C$2:$C$263,MATCH($D16*100+25,Key!$G$2:$G$263,0)),"#"),1,0))</f>
        <v/>
      </c>
      <c r="BQ16">
        <f>IF(OR($D16="",AL16="",26&gt;$F16),0,IF(UPPER(TRIM(AL16))=IFERROR(INDEX(Key!$C$2:$C$263,MATCH($D16*100+26,Key!$G$2:$G$263,0)),"#"),1,0))</f>
        <v/>
      </c>
      <c r="BR16">
        <f>IF(OR($D16="",AM16="",27&gt;$F16),0,IF(UPPER(TRIM(AM16))=IFERROR(INDEX(Key!$C$2:$C$263,MATCH($D16*100+27,Key!$G$2:$G$263,0)),"#"),1,0))</f>
        <v/>
      </c>
      <c r="BS16">
        <f>IF(OR($D16="",AN16="",28&gt;$F16),0,IF(UPPER(TRIM(AN16))=IFERROR(INDEX(Key!$C$2:$C$263,MATCH($D16*100+28,Key!$G$2:$G$263,0)),"#"),1,0))</f>
        <v/>
      </c>
      <c r="BT16">
        <f>IF(OR($D16="",AO16="",29&gt;$F16),0,IF(UPPER(TRIM(AO16))=IFERROR(INDEX(Key!$C$2:$C$263,MATCH($D16*100+29,Key!$G$2:$G$263,0)),"#"),1,0))</f>
        <v/>
      </c>
      <c r="BU16">
        <f>IF(OR($D16="",AP16="",30&gt;$F16),0,IF(UPPER(TRIM(AP16))=IFERROR(INDEX(Key!$C$2:$C$263,MATCH($D16*100+30,Key!$G$2:$G$263,0)),"#"),1,0))</f>
        <v/>
      </c>
    </row>
    <row r="17">
      <c r="A17" s="6" t="n"/>
      <c r="B17" s="6" t="n"/>
      <c r="C17" s="6" t="n"/>
      <c r="D17" s="6" t="n"/>
      <c r="E17" s="7">
        <f>IF($D17="","",IFERROR(INDEX(Papers!$B$2:$B$12,MATCH($D17,Papers!$A$2:$A$12,0)),"?"))</f>
        <v/>
      </c>
      <c r="F17" s="7">
        <f>IF($D17="","",IFERROR(INDEX(Papers!$C$2:$C$12,MATCH($D17,Papers!$A$2:$A$12,0)),0))</f>
        <v/>
      </c>
      <c r="G17" s="7">
        <f>IF($D17="","",COUNTIF(M17:AP17,"?*"))</f>
        <v/>
      </c>
      <c r="H17" s="7">
        <f>IF($D17="","",SUM(AR17:BU17))</f>
        <v/>
      </c>
      <c r="I17" s="7">
        <f>IF($D17="","",G17-H17)</f>
        <v/>
      </c>
      <c r="J17" s="7">
        <f>IF($D17="","",F17-G17)</f>
        <v/>
      </c>
      <c r="K17" s="7">
        <f>IF($D17="","",H17)</f>
        <v/>
      </c>
      <c r="L17" s="7">
        <f>IF($D17="","",IF(F17=0,"",ROUND(H17/F17*100,1)))</f>
        <v/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R17">
        <f>IF(OR($D17="",M17="",1&gt;$F17),0,IF(UPPER(TRIM(M17))=IFERROR(INDEX(Key!$C$2:$C$263,MATCH($D17*100+1,Key!$G$2:$G$263,0)),"#"),1,0))</f>
        <v/>
      </c>
      <c r="AS17">
        <f>IF(OR($D17="",N17="",2&gt;$F17),0,IF(UPPER(TRIM(N17))=IFERROR(INDEX(Key!$C$2:$C$263,MATCH($D17*100+2,Key!$G$2:$G$263,0)),"#"),1,0))</f>
        <v/>
      </c>
      <c r="AT17">
        <f>IF(OR($D17="",O17="",3&gt;$F17),0,IF(UPPER(TRIM(O17))=IFERROR(INDEX(Key!$C$2:$C$263,MATCH($D17*100+3,Key!$G$2:$G$263,0)),"#"),1,0))</f>
        <v/>
      </c>
      <c r="AU17">
        <f>IF(OR($D17="",P17="",4&gt;$F17),0,IF(UPPER(TRIM(P17))=IFERROR(INDEX(Key!$C$2:$C$263,MATCH($D17*100+4,Key!$G$2:$G$263,0)),"#"),1,0))</f>
        <v/>
      </c>
      <c r="AV17">
        <f>IF(OR($D17="",Q17="",5&gt;$F17),0,IF(UPPER(TRIM(Q17))=IFERROR(INDEX(Key!$C$2:$C$263,MATCH($D17*100+5,Key!$G$2:$G$263,0)),"#"),1,0))</f>
        <v/>
      </c>
      <c r="AW17">
        <f>IF(OR($D17="",R17="",6&gt;$F17),0,IF(UPPER(TRIM(R17))=IFERROR(INDEX(Key!$C$2:$C$263,MATCH($D17*100+6,Key!$G$2:$G$263,0)),"#"),1,0))</f>
        <v/>
      </c>
      <c r="AX17">
        <f>IF(OR($D17="",S17="",7&gt;$F17),0,IF(UPPER(TRIM(S17))=IFERROR(INDEX(Key!$C$2:$C$263,MATCH($D17*100+7,Key!$G$2:$G$263,0)),"#"),1,0))</f>
        <v/>
      </c>
      <c r="AY17">
        <f>IF(OR($D17="",T17="",8&gt;$F17),0,IF(UPPER(TRIM(T17))=IFERROR(INDEX(Key!$C$2:$C$263,MATCH($D17*100+8,Key!$G$2:$G$263,0)),"#"),1,0))</f>
        <v/>
      </c>
      <c r="AZ17">
        <f>IF(OR($D17="",U17="",9&gt;$F17),0,IF(UPPER(TRIM(U17))=IFERROR(INDEX(Key!$C$2:$C$263,MATCH($D17*100+9,Key!$G$2:$G$263,0)),"#"),1,0))</f>
        <v/>
      </c>
      <c r="BA17">
        <f>IF(OR($D17="",V17="",10&gt;$F17),0,IF(UPPER(TRIM(V17))=IFERROR(INDEX(Key!$C$2:$C$263,MATCH($D17*100+10,Key!$G$2:$G$263,0)),"#"),1,0))</f>
        <v/>
      </c>
      <c r="BB17">
        <f>IF(OR($D17="",W17="",11&gt;$F17),0,IF(UPPER(TRIM(W17))=IFERROR(INDEX(Key!$C$2:$C$263,MATCH($D17*100+11,Key!$G$2:$G$263,0)),"#"),1,0))</f>
        <v/>
      </c>
      <c r="BC17">
        <f>IF(OR($D17="",X17="",12&gt;$F17),0,IF(UPPER(TRIM(X17))=IFERROR(INDEX(Key!$C$2:$C$263,MATCH($D17*100+12,Key!$G$2:$G$263,0)),"#"),1,0))</f>
        <v/>
      </c>
      <c r="BD17">
        <f>IF(OR($D17="",Y17="",13&gt;$F17),0,IF(UPPER(TRIM(Y17))=IFERROR(INDEX(Key!$C$2:$C$263,MATCH($D17*100+13,Key!$G$2:$G$263,0)),"#"),1,0))</f>
        <v/>
      </c>
      <c r="BE17">
        <f>IF(OR($D17="",Z17="",14&gt;$F17),0,IF(UPPER(TRIM(Z17))=IFERROR(INDEX(Key!$C$2:$C$263,MATCH($D17*100+14,Key!$G$2:$G$263,0)),"#"),1,0))</f>
        <v/>
      </c>
      <c r="BF17">
        <f>IF(OR($D17="",AA17="",15&gt;$F17),0,IF(UPPER(TRIM(AA17))=IFERROR(INDEX(Key!$C$2:$C$263,MATCH($D17*100+15,Key!$G$2:$G$263,0)),"#"),1,0))</f>
        <v/>
      </c>
      <c r="BG17">
        <f>IF(OR($D17="",AB17="",16&gt;$F17),0,IF(UPPER(TRIM(AB17))=IFERROR(INDEX(Key!$C$2:$C$263,MATCH($D17*100+16,Key!$G$2:$G$263,0)),"#"),1,0))</f>
        <v/>
      </c>
      <c r="BH17">
        <f>IF(OR($D17="",AC17="",17&gt;$F17),0,IF(UPPER(TRIM(AC17))=IFERROR(INDEX(Key!$C$2:$C$263,MATCH($D17*100+17,Key!$G$2:$G$263,0)),"#"),1,0))</f>
        <v/>
      </c>
      <c r="BI17">
        <f>IF(OR($D17="",AD17="",18&gt;$F17),0,IF(UPPER(TRIM(AD17))=IFERROR(INDEX(Key!$C$2:$C$263,MATCH($D17*100+18,Key!$G$2:$G$263,0)),"#"),1,0))</f>
        <v/>
      </c>
      <c r="BJ17">
        <f>IF(OR($D17="",AE17="",19&gt;$F17),0,IF(UPPER(TRIM(AE17))=IFERROR(INDEX(Key!$C$2:$C$263,MATCH($D17*100+19,Key!$G$2:$G$263,0)),"#"),1,0))</f>
        <v/>
      </c>
      <c r="BK17">
        <f>IF(OR($D17="",AF17="",20&gt;$F17),0,IF(UPPER(TRIM(AF17))=IFERROR(INDEX(Key!$C$2:$C$263,MATCH($D17*100+20,Key!$G$2:$G$263,0)),"#"),1,0))</f>
        <v/>
      </c>
      <c r="BL17">
        <f>IF(OR($D17="",AG17="",21&gt;$F17),0,IF(UPPER(TRIM(AG17))=IFERROR(INDEX(Key!$C$2:$C$263,MATCH($D17*100+21,Key!$G$2:$G$263,0)),"#"),1,0))</f>
        <v/>
      </c>
      <c r="BM17">
        <f>IF(OR($D17="",AH17="",22&gt;$F17),0,IF(UPPER(TRIM(AH17))=IFERROR(INDEX(Key!$C$2:$C$263,MATCH($D17*100+22,Key!$G$2:$G$263,0)),"#"),1,0))</f>
        <v/>
      </c>
      <c r="BN17">
        <f>IF(OR($D17="",AI17="",23&gt;$F17),0,IF(UPPER(TRIM(AI17))=IFERROR(INDEX(Key!$C$2:$C$263,MATCH($D17*100+23,Key!$G$2:$G$263,0)),"#"),1,0))</f>
        <v/>
      </c>
      <c r="BO17">
        <f>IF(OR($D17="",AJ17="",24&gt;$F17),0,IF(UPPER(TRIM(AJ17))=IFERROR(INDEX(Key!$C$2:$C$263,MATCH($D17*100+24,Key!$G$2:$G$263,0)),"#"),1,0))</f>
        <v/>
      </c>
      <c r="BP17">
        <f>IF(OR($D17="",AK17="",25&gt;$F17),0,IF(UPPER(TRIM(AK17))=IFERROR(INDEX(Key!$C$2:$C$263,MATCH($D17*100+25,Key!$G$2:$G$263,0)),"#"),1,0))</f>
        <v/>
      </c>
      <c r="BQ17">
        <f>IF(OR($D17="",AL17="",26&gt;$F17),0,IF(UPPER(TRIM(AL17))=IFERROR(INDEX(Key!$C$2:$C$263,MATCH($D17*100+26,Key!$G$2:$G$263,0)),"#"),1,0))</f>
        <v/>
      </c>
      <c r="BR17">
        <f>IF(OR($D17="",AM17="",27&gt;$F17),0,IF(UPPER(TRIM(AM17))=IFERROR(INDEX(Key!$C$2:$C$263,MATCH($D17*100+27,Key!$G$2:$G$263,0)),"#"),1,0))</f>
        <v/>
      </c>
      <c r="BS17">
        <f>IF(OR($D17="",AN17="",28&gt;$F17),0,IF(UPPER(TRIM(AN17))=IFERROR(INDEX(Key!$C$2:$C$263,MATCH($D17*100+28,Key!$G$2:$G$263,0)),"#"),1,0))</f>
        <v/>
      </c>
      <c r="BT17">
        <f>IF(OR($D17="",AO17="",29&gt;$F17),0,IF(UPPER(TRIM(AO17))=IFERROR(INDEX(Key!$C$2:$C$263,MATCH($D17*100+29,Key!$G$2:$G$263,0)),"#"),1,0))</f>
        <v/>
      </c>
      <c r="BU17">
        <f>IF(OR($D17="",AP17="",30&gt;$F17),0,IF(UPPER(TRIM(AP17))=IFERROR(INDEX(Key!$C$2:$C$263,MATCH($D17*100+30,Key!$G$2:$G$263,0)),"#"),1,0))</f>
        <v/>
      </c>
    </row>
    <row r="18">
      <c r="A18" s="6" t="n"/>
      <c r="B18" s="6" t="n"/>
      <c r="C18" s="6" t="n"/>
      <c r="D18" s="6" t="n"/>
      <c r="E18" s="7">
        <f>IF($D18="","",IFERROR(INDEX(Papers!$B$2:$B$12,MATCH($D18,Papers!$A$2:$A$12,0)),"?"))</f>
        <v/>
      </c>
      <c r="F18" s="7">
        <f>IF($D18="","",IFERROR(INDEX(Papers!$C$2:$C$12,MATCH($D18,Papers!$A$2:$A$12,0)),0))</f>
        <v/>
      </c>
      <c r="G18" s="7">
        <f>IF($D18="","",COUNTIF(M18:AP18,"?*"))</f>
        <v/>
      </c>
      <c r="H18" s="7">
        <f>IF($D18="","",SUM(AR18:BU18))</f>
        <v/>
      </c>
      <c r="I18" s="7">
        <f>IF($D18="","",G18-H18)</f>
        <v/>
      </c>
      <c r="J18" s="7">
        <f>IF($D18="","",F18-G18)</f>
        <v/>
      </c>
      <c r="K18" s="7">
        <f>IF($D18="","",H18)</f>
        <v/>
      </c>
      <c r="L18" s="7">
        <f>IF($D18="","",IF(F18=0,"",ROUND(H18/F18*100,1)))</f>
        <v/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R18">
        <f>IF(OR($D18="",M18="",1&gt;$F18),0,IF(UPPER(TRIM(M18))=IFERROR(INDEX(Key!$C$2:$C$263,MATCH($D18*100+1,Key!$G$2:$G$263,0)),"#"),1,0))</f>
        <v/>
      </c>
      <c r="AS18">
        <f>IF(OR($D18="",N18="",2&gt;$F18),0,IF(UPPER(TRIM(N18))=IFERROR(INDEX(Key!$C$2:$C$263,MATCH($D18*100+2,Key!$G$2:$G$263,0)),"#"),1,0))</f>
        <v/>
      </c>
      <c r="AT18">
        <f>IF(OR($D18="",O18="",3&gt;$F18),0,IF(UPPER(TRIM(O18))=IFERROR(INDEX(Key!$C$2:$C$263,MATCH($D18*100+3,Key!$G$2:$G$263,0)),"#"),1,0))</f>
        <v/>
      </c>
      <c r="AU18">
        <f>IF(OR($D18="",P18="",4&gt;$F18),0,IF(UPPER(TRIM(P18))=IFERROR(INDEX(Key!$C$2:$C$263,MATCH($D18*100+4,Key!$G$2:$G$263,0)),"#"),1,0))</f>
        <v/>
      </c>
      <c r="AV18">
        <f>IF(OR($D18="",Q18="",5&gt;$F18),0,IF(UPPER(TRIM(Q18))=IFERROR(INDEX(Key!$C$2:$C$263,MATCH($D18*100+5,Key!$G$2:$G$263,0)),"#"),1,0))</f>
        <v/>
      </c>
      <c r="AW18">
        <f>IF(OR($D18="",R18="",6&gt;$F18),0,IF(UPPER(TRIM(R18))=IFERROR(INDEX(Key!$C$2:$C$263,MATCH($D18*100+6,Key!$G$2:$G$263,0)),"#"),1,0))</f>
        <v/>
      </c>
      <c r="AX18">
        <f>IF(OR($D18="",S18="",7&gt;$F18),0,IF(UPPER(TRIM(S18))=IFERROR(INDEX(Key!$C$2:$C$263,MATCH($D18*100+7,Key!$G$2:$G$263,0)),"#"),1,0))</f>
        <v/>
      </c>
      <c r="AY18">
        <f>IF(OR($D18="",T18="",8&gt;$F18),0,IF(UPPER(TRIM(T18))=IFERROR(INDEX(Key!$C$2:$C$263,MATCH($D18*100+8,Key!$G$2:$G$263,0)),"#"),1,0))</f>
        <v/>
      </c>
      <c r="AZ18">
        <f>IF(OR($D18="",U18="",9&gt;$F18),0,IF(UPPER(TRIM(U18))=IFERROR(INDEX(Key!$C$2:$C$263,MATCH($D18*100+9,Key!$G$2:$G$263,0)),"#"),1,0))</f>
        <v/>
      </c>
      <c r="BA18">
        <f>IF(OR($D18="",V18="",10&gt;$F18),0,IF(UPPER(TRIM(V18))=IFERROR(INDEX(Key!$C$2:$C$263,MATCH($D18*100+10,Key!$G$2:$G$263,0)),"#"),1,0))</f>
        <v/>
      </c>
      <c r="BB18">
        <f>IF(OR($D18="",W18="",11&gt;$F18),0,IF(UPPER(TRIM(W18))=IFERROR(INDEX(Key!$C$2:$C$263,MATCH($D18*100+11,Key!$G$2:$G$263,0)),"#"),1,0))</f>
        <v/>
      </c>
      <c r="BC18">
        <f>IF(OR($D18="",X18="",12&gt;$F18),0,IF(UPPER(TRIM(X18))=IFERROR(INDEX(Key!$C$2:$C$263,MATCH($D18*100+12,Key!$G$2:$G$263,0)),"#"),1,0))</f>
        <v/>
      </c>
      <c r="BD18">
        <f>IF(OR($D18="",Y18="",13&gt;$F18),0,IF(UPPER(TRIM(Y18))=IFERROR(INDEX(Key!$C$2:$C$263,MATCH($D18*100+13,Key!$G$2:$G$263,0)),"#"),1,0))</f>
        <v/>
      </c>
      <c r="BE18">
        <f>IF(OR($D18="",Z18="",14&gt;$F18),0,IF(UPPER(TRIM(Z18))=IFERROR(INDEX(Key!$C$2:$C$263,MATCH($D18*100+14,Key!$G$2:$G$263,0)),"#"),1,0))</f>
        <v/>
      </c>
      <c r="BF18">
        <f>IF(OR($D18="",AA18="",15&gt;$F18),0,IF(UPPER(TRIM(AA18))=IFERROR(INDEX(Key!$C$2:$C$263,MATCH($D18*100+15,Key!$G$2:$G$263,0)),"#"),1,0))</f>
        <v/>
      </c>
      <c r="BG18">
        <f>IF(OR($D18="",AB18="",16&gt;$F18),0,IF(UPPER(TRIM(AB18))=IFERROR(INDEX(Key!$C$2:$C$263,MATCH($D18*100+16,Key!$G$2:$G$263,0)),"#"),1,0))</f>
        <v/>
      </c>
      <c r="BH18">
        <f>IF(OR($D18="",AC18="",17&gt;$F18),0,IF(UPPER(TRIM(AC18))=IFERROR(INDEX(Key!$C$2:$C$263,MATCH($D18*100+17,Key!$G$2:$G$263,0)),"#"),1,0))</f>
        <v/>
      </c>
      <c r="BI18">
        <f>IF(OR($D18="",AD18="",18&gt;$F18),0,IF(UPPER(TRIM(AD18))=IFERROR(INDEX(Key!$C$2:$C$263,MATCH($D18*100+18,Key!$G$2:$G$263,0)),"#"),1,0))</f>
        <v/>
      </c>
      <c r="BJ18">
        <f>IF(OR($D18="",AE18="",19&gt;$F18),0,IF(UPPER(TRIM(AE18))=IFERROR(INDEX(Key!$C$2:$C$263,MATCH($D18*100+19,Key!$G$2:$G$263,0)),"#"),1,0))</f>
        <v/>
      </c>
      <c r="BK18">
        <f>IF(OR($D18="",AF18="",20&gt;$F18),0,IF(UPPER(TRIM(AF18))=IFERROR(INDEX(Key!$C$2:$C$263,MATCH($D18*100+20,Key!$G$2:$G$263,0)),"#"),1,0))</f>
        <v/>
      </c>
      <c r="BL18">
        <f>IF(OR($D18="",AG18="",21&gt;$F18),0,IF(UPPER(TRIM(AG18))=IFERROR(INDEX(Key!$C$2:$C$263,MATCH($D18*100+21,Key!$G$2:$G$263,0)),"#"),1,0))</f>
        <v/>
      </c>
      <c r="BM18">
        <f>IF(OR($D18="",AH18="",22&gt;$F18),0,IF(UPPER(TRIM(AH18))=IFERROR(INDEX(Key!$C$2:$C$263,MATCH($D18*100+22,Key!$G$2:$G$263,0)),"#"),1,0))</f>
        <v/>
      </c>
      <c r="BN18">
        <f>IF(OR($D18="",AI18="",23&gt;$F18),0,IF(UPPER(TRIM(AI18))=IFERROR(INDEX(Key!$C$2:$C$263,MATCH($D18*100+23,Key!$G$2:$G$263,0)),"#"),1,0))</f>
        <v/>
      </c>
      <c r="BO18">
        <f>IF(OR($D18="",AJ18="",24&gt;$F18),0,IF(UPPER(TRIM(AJ18))=IFERROR(INDEX(Key!$C$2:$C$263,MATCH($D18*100+24,Key!$G$2:$G$263,0)),"#"),1,0))</f>
        <v/>
      </c>
      <c r="BP18">
        <f>IF(OR($D18="",AK18="",25&gt;$F18),0,IF(UPPER(TRIM(AK18))=IFERROR(INDEX(Key!$C$2:$C$263,MATCH($D18*100+25,Key!$G$2:$G$263,0)),"#"),1,0))</f>
        <v/>
      </c>
      <c r="BQ18">
        <f>IF(OR($D18="",AL18="",26&gt;$F18),0,IF(UPPER(TRIM(AL18))=IFERROR(INDEX(Key!$C$2:$C$263,MATCH($D18*100+26,Key!$G$2:$G$263,0)),"#"),1,0))</f>
        <v/>
      </c>
      <c r="BR18">
        <f>IF(OR($D18="",AM18="",27&gt;$F18),0,IF(UPPER(TRIM(AM18))=IFERROR(INDEX(Key!$C$2:$C$263,MATCH($D18*100+27,Key!$G$2:$G$263,0)),"#"),1,0))</f>
        <v/>
      </c>
      <c r="BS18">
        <f>IF(OR($D18="",AN18="",28&gt;$F18),0,IF(UPPER(TRIM(AN18))=IFERROR(INDEX(Key!$C$2:$C$263,MATCH($D18*100+28,Key!$G$2:$G$263,0)),"#"),1,0))</f>
        <v/>
      </c>
      <c r="BT18">
        <f>IF(OR($D18="",AO18="",29&gt;$F18),0,IF(UPPER(TRIM(AO18))=IFERROR(INDEX(Key!$C$2:$C$263,MATCH($D18*100+29,Key!$G$2:$G$263,0)),"#"),1,0))</f>
        <v/>
      </c>
      <c r="BU18">
        <f>IF(OR($D18="",AP18="",30&gt;$F18),0,IF(UPPER(TRIM(AP18))=IFERROR(INDEX(Key!$C$2:$C$263,MATCH($D18*100+30,Key!$G$2:$G$263,0)),"#"),1,0))</f>
        <v/>
      </c>
    </row>
    <row r="19">
      <c r="A19" s="6" t="n"/>
      <c r="B19" s="6" t="n"/>
      <c r="C19" s="6" t="n"/>
      <c r="D19" s="6" t="n"/>
      <c r="E19" s="7">
        <f>IF($D19="","",IFERROR(INDEX(Papers!$B$2:$B$12,MATCH($D19,Papers!$A$2:$A$12,0)),"?"))</f>
        <v/>
      </c>
      <c r="F19" s="7">
        <f>IF($D19="","",IFERROR(INDEX(Papers!$C$2:$C$12,MATCH($D19,Papers!$A$2:$A$12,0)),0))</f>
        <v/>
      </c>
      <c r="G19" s="7">
        <f>IF($D19="","",COUNTIF(M19:AP19,"?*"))</f>
        <v/>
      </c>
      <c r="H19" s="7">
        <f>IF($D19="","",SUM(AR19:BU19))</f>
        <v/>
      </c>
      <c r="I19" s="7">
        <f>IF($D19="","",G19-H19)</f>
        <v/>
      </c>
      <c r="J19" s="7">
        <f>IF($D19="","",F19-G19)</f>
        <v/>
      </c>
      <c r="K19" s="7">
        <f>IF($D19="","",H19)</f>
        <v/>
      </c>
      <c r="L19" s="7">
        <f>IF($D19="","",IF(F19=0,"",ROUND(H19/F19*100,1)))</f>
        <v/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R19">
        <f>IF(OR($D19="",M19="",1&gt;$F19),0,IF(UPPER(TRIM(M19))=IFERROR(INDEX(Key!$C$2:$C$263,MATCH($D19*100+1,Key!$G$2:$G$263,0)),"#"),1,0))</f>
        <v/>
      </c>
      <c r="AS19">
        <f>IF(OR($D19="",N19="",2&gt;$F19),0,IF(UPPER(TRIM(N19))=IFERROR(INDEX(Key!$C$2:$C$263,MATCH($D19*100+2,Key!$G$2:$G$263,0)),"#"),1,0))</f>
        <v/>
      </c>
      <c r="AT19">
        <f>IF(OR($D19="",O19="",3&gt;$F19),0,IF(UPPER(TRIM(O19))=IFERROR(INDEX(Key!$C$2:$C$263,MATCH($D19*100+3,Key!$G$2:$G$263,0)),"#"),1,0))</f>
        <v/>
      </c>
      <c r="AU19">
        <f>IF(OR($D19="",P19="",4&gt;$F19),0,IF(UPPER(TRIM(P19))=IFERROR(INDEX(Key!$C$2:$C$263,MATCH($D19*100+4,Key!$G$2:$G$263,0)),"#"),1,0))</f>
        <v/>
      </c>
      <c r="AV19">
        <f>IF(OR($D19="",Q19="",5&gt;$F19),0,IF(UPPER(TRIM(Q19))=IFERROR(INDEX(Key!$C$2:$C$263,MATCH($D19*100+5,Key!$G$2:$G$263,0)),"#"),1,0))</f>
        <v/>
      </c>
      <c r="AW19">
        <f>IF(OR($D19="",R19="",6&gt;$F19),0,IF(UPPER(TRIM(R19))=IFERROR(INDEX(Key!$C$2:$C$263,MATCH($D19*100+6,Key!$G$2:$G$263,0)),"#"),1,0))</f>
        <v/>
      </c>
      <c r="AX19">
        <f>IF(OR($D19="",S19="",7&gt;$F19),0,IF(UPPER(TRIM(S19))=IFERROR(INDEX(Key!$C$2:$C$263,MATCH($D19*100+7,Key!$G$2:$G$263,0)),"#"),1,0))</f>
        <v/>
      </c>
      <c r="AY19">
        <f>IF(OR($D19="",T19="",8&gt;$F19),0,IF(UPPER(TRIM(T19))=IFERROR(INDEX(Key!$C$2:$C$263,MATCH($D19*100+8,Key!$G$2:$G$263,0)),"#"),1,0))</f>
        <v/>
      </c>
      <c r="AZ19">
        <f>IF(OR($D19="",U19="",9&gt;$F19),0,IF(UPPER(TRIM(U19))=IFERROR(INDEX(Key!$C$2:$C$263,MATCH($D19*100+9,Key!$G$2:$G$263,0)),"#"),1,0))</f>
        <v/>
      </c>
      <c r="BA19">
        <f>IF(OR($D19="",V19="",10&gt;$F19),0,IF(UPPER(TRIM(V19))=IFERROR(INDEX(Key!$C$2:$C$263,MATCH($D19*100+10,Key!$G$2:$G$263,0)),"#"),1,0))</f>
        <v/>
      </c>
      <c r="BB19">
        <f>IF(OR($D19="",W19="",11&gt;$F19),0,IF(UPPER(TRIM(W19))=IFERROR(INDEX(Key!$C$2:$C$263,MATCH($D19*100+11,Key!$G$2:$G$263,0)),"#"),1,0))</f>
        <v/>
      </c>
      <c r="BC19">
        <f>IF(OR($D19="",X19="",12&gt;$F19),0,IF(UPPER(TRIM(X19))=IFERROR(INDEX(Key!$C$2:$C$263,MATCH($D19*100+12,Key!$G$2:$G$263,0)),"#"),1,0))</f>
        <v/>
      </c>
      <c r="BD19">
        <f>IF(OR($D19="",Y19="",13&gt;$F19),0,IF(UPPER(TRIM(Y19))=IFERROR(INDEX(Key!$C$2:$C$263,MATCH($D19*100+13,Key!$G$2:$G$263,0)),"#"),1,0))</f>
        <v/>
      </c>
      <c r="BE19">
        <f>IF(OR($D19="",Z19="",14&gt;$F19),0,IF(UPPER(TRIM(Z19))=IFERROR(INDEX(Key!$C$2:$C$263,MATCH($D19*100+14,Key!$G$2:$G$263,0)),"#"),1,0))</f>
        <v/>
      </c>
      <c r="BF19">
        <f>IF(OR($D19="",AA19="",15&gt;$F19),0,IF(UPPER(TRIM(AA19))=IFERROR(INDEX(Key!$C$2:$C$263,MATCH($D19*100+15,Key!$G$2:$G$263,0)),"#"),1,0))</f>
        <v/>
      </c>
      <c r="BG19">
        <f>IF(OR($D19="",AB19="",16&gt;$F19),0,IF(UPPER(TRIM(AB19))=IFERROR(INDEX(Key!$C$2:$C$263,MATCH($D19*100+16,Key!$G$2:$G$263,0)),"#"),1,0))</f>
        <v/>
      </c>
      <c r="BH19">
        <f>IF(OR($D19="",AC19="",17&gt;$F19),0,IF(UPPER(TRIM(AC19))=IFERROR(INDEX(Key!$C$2:$C$263,MATCH($D19*100+17,Key!$G$2:$G$263,0)),"#"),1,0))</f>
        <v/>
      </c>
      <c r="BI19">
        <f>IF(OR($D19="",AD19="",18&gt;$F19),0,IF(UPPER(TRIM(AD19))=IFERROR(INDEX(Key!$C$2:$C$263,MATCH($D19*100+18,Key!$G$2:$G$263,0)),"#"),1,0))</f>
        <v/>
      </c>
      <c r="BJ19">
        <f>IF(OR($D19="",AE19="",19&gt;$F19),0,IF(UPPER(TRIM(AE19))=IFERROR(INDEX(Key!$C$2:$C$263,MATCH($D19*100+19,Key!$G$2:$G$263,0)),"#"),1,0))</f>
        <v/>
      </c>
      <c r="BK19">
        <f>IF(OR($D19="",AF19="",20&gt;$F19),0,IF(UPPER(TRIM(AF19))=IFERROR(INDEX(Key!$C$2:$C$263,MATCH($D19*100+20,Key!$G$2:$G$263,0)),"#"),1,0))</f>
        <v/>
      </c>
      <c r="BL19">
        <f>IF(OR($D19="",AG19="",21&gt;$F19),0,IF(UPPER(TRIM(AG19))=IFERROR(INDEX(Key!$C$2:$C$263,MATCH($D19*100+21,Key!$G$2:$G$263,0)),"#"),1,0))</f>
        <v/>
      </c>
      <c r="BM19">
        <f>IF(OR($D19="",AH19="",22&gt;$F19),0,IF(UPPER(TRIM(AH19))=IFERROR(INDEX(Key!$C$2:$C$263,MATCH($D19*100+22,Key!$G$2:$G$263,0)),"#"),1,0))</f>
        <v/>
      </c>
      <c r="BN19">
        <f>IF(OR($D19="",AI19="",23&gt;$F19),0,IF(UPPER(TRIM(AI19))=IFERROR(INDEX(Key!$C$2:$C$263,MATCH($D19*100+23,Key!$G$2:$G$263,0)),"#"),1,0))</f>
        <v/>
      </c>
      <c r="BO19">
        <f>IF(OR($D19="",AJ19="",24&gt;$F19),0,IF(UPPER(TRIM(AJ19))=IFERROR(INDEX(Key!$C$2:$C$263,MATCH($D19*100+24,Key!$G$2:$G$263,0)),"#"),1,0))</f>
        <v/>
      </c>
      <c r="BP19">
        <f>IF(OR($D19="",AK19="",25&gt;$F19),0,IF(UPPER(TRIM(AK19))=IFERROR(INDEX(Key!$C$2:$C$263,MATCH($D19*100+25,Key!$G$2:$G$263,0)),"#"),1,0))</f>
        <v/>
      </c>
      <c r="BQ19">
        <f>IF(OR($D19="",AL19="",26&gt;$F19),0,IF(UPPER(TRIM(AL19))=IFERROR(INDEX(Key!$C$2:$C$263,MATCH($D19*100+26,Key!$G$2:$G$263,0)),"#"),1,0))</f>
        <v/>
      </c>
      <c r="BR19">
        <f>IF(OR($D19="",AM19="",27&gt;$F19),0,IF(UPPER(TRIM(AM19))=IFERROR(INDEX(Key!$C$2:$C$263,MATCH($D19*100+27,Key!$G$2:$G$263,0)),"#"),1,0))</f>
        <v/>
      </c>
      <c r="BS19">
        <f>IF(OR($D19="",AN19="",28&gt;$F19),0,IF(UPPER(TRIM(AN19))=IFERROR(INDEX(Key!$C$2:$C$263,MATCH($D19*100+28,Key!$G$2:$G$263,0)),"#"),1,0))</f>
        <v/>
      </c>
      <c r="BT19">
        <f>IF(OR($D19="",AO19="",29&gt;$F19),0,IF(UPPER(TRIM(AO19))=IFERROR(INDEX(Key!$C$2:$C$263,MATCH($D19*100+29,Key!$G$2:$G$263,0)),"#"),1,0))</f>
        <v/>
      </c>
      <c r="BU19">
        <f>IF(OR($D19="",AP19="",30&gt;$F19),0,IF(UPPER(TRIM(AP19))=IFERROR(INDEX(Key!$C$2:$C$263,MATCH($D19*100+30,Key!$G$2:$G$263,0)),"#"),1,0))</f>
        <v/>
      </c>
    </row>
    <row r="20">
      <c r="A20" s="6" t="n"/>
      <c r="B20" s="6" t="n"/>
      <c r="C20" s="6" t="n"/>
      <c r="D20" s="6" t="n"/>
      <c r="E20" s="7">
        <f>IF($D20="","",IFERROR(INDEX(Papers!$B$2:$B$12,MATCH($D20,Papers!$A$2:$A$12,0)),"?"))</f>
        <v/>
      </c>
      <c r="F20" s="7">
        <f>IF($D20="","",IFERROR(INDEX(Papers!$C$2:$C$12,MATCH($D20,Papers!$A$2:$A$12,0)),0))</f>
        <v/>
      </c>
      <c r="G20" s="7">
        <f>IF($D20="","",COUNTIF(M20:AP20,"?*"))</f>
        <v/>
      </c>
      <c r="H20" s="7">
        <f>IF($D20="","",SUM(AR20:BU20))</f>
        <v/>
      </c>
      <c r="I20" s="7">
        <f>IF($D20="","",G20-H20)</f>
        <v/>
      </c>
      <c r="J20" s="7">
        <f>IF($D20="","",F20-G20)</f>
        <v/>
      </c>
      <c r="K20" s="7">
        <f>IF($D20="","",H20)</f>
        <v/>
      </c>
      <c r="L20" s="7">
        <f>IF($D20="","",IF(F20=0,"",ROUND(H20/F20*100,1)))</f>
        <v/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R20">
        <f>IF(OR($D20="",M20="",1&gt;$F20),0,IF(UPPER(TRIM(M20))=IFERROR(INDEX(Key!$C$2:$C$263,MATCH($D20*100+1,Key!$G$2:$G$263,0)),"#"),1,0))</f>
        <v/>
      </c>
      <c r="AS20">
        <f>IF(OR($D20="",N20="",2&gt;$F20),0,IF(UPPER(TRIM(N20))=IFERROR(INDEX(Key!$C$2:$C$263,MATCH($D20*100+2,Key!$G$2:$G$263,0)),"#"),1,0))</f>
        <v/>
      </c>
      <c r="AT20">
        <f>IF(OR($D20="",O20="",3&gt;$F20),0,IF(UPPER(TRIM(O20))=IFERROR(INDEX(Key!$C$2:$C$263,MATCH($D20*100+3,Key!$G$2:$G$263,0)),"#"),1,0))</f>
        <v/>
      </c>
      <c r="AU20">
        <f>IF(OR($D20="",P20="",4&gt;$F20),0,IF(UPPER(TRIM(P20))=IFERROR(INDEX(Key!$C$2:$C$263,MATCH($D20*100+4,Key!$G$2:$G$263,0)),"#"),1,0))</f>
        <v/>
      </c>
      <c r="AV20">
        <f>IF(OR($D20="",Q20="",5&gt;$F20),0,IF(UPPER(TRIM(Q20))=IFERROR(INDEX(Key!$C$2:$C$263,MATCH($D20*100+5,Key!$G$2:$G$263,0)),"#"),1,0))</f>
        <v/>
      </c>
      <c r="AW20">
        <f>IF(OR($D20="",R20="",6&gt;$F20),0,IF(UPPER(TRIM(R20))=IFERROR(INDEX(Key!$C$2:$C$263,MATCH($D20*100+6,Key!$G$2:$G$263,0)),"#"),1,0))</f>
        <v/>
      </c>
      <c r="AX20">
        <f>IF(OR($D20="",S20="",7&gt;$F20),0,IF(UPPER(TRIM(S20))=IFERROR(INDEX(Key!$C$2:$C$263,MATCH($D20*100+7,Key!$G$2:$G$263,0)),"#"),1,0))</f>
        <v/>
      </c>
      <c r="AY20">
        <f>IF(OR($D20="",T20="",8&gt;$F20),0,IF(UPPER(TRIM(T20))=IFERROR(INDEX(Key!$C$2:$C$263,MATCH($D20*100+8,Key!$G$2:$G$263,0)),"#"),1,0))</f>
        <v/>
      </c>
      <c r="AZ20">
        <f>IF(OR($D20="",U20="",9&gt;$F20),0,IF(UPPER(TRIM(U20))=IFERROR(INDEX(Key!$C$2:$C$263,MATCH($D20*100+9,Key!$G$2:$G$263,0)),"#"),1,0))</f>
        <v/>
      </c>
      <c r="BA20">
        <f>IF(OR($D20="",V20="",10&gt;$F20),0,IF(UPPER(TRIM(V20))=IFERROR(INDEX(Key!$C$2:$C$263,MATCH($D20*100+10,Key!$G$2:$G$263,0)),"#"),1,0))</f>
        <v/>
      </c>
      <c r="BB20">
        <f>IF(OR($D20="",W20="",11&gt;$F20),0,IF(UPPER(TRIM(W20))=IFERROR(INDEX(Key!$C$2:$C$263,MATCH($D20*100+11,Key!$G$2:$G$263,0)),"#"),1,0))</f>
        <v/>
      </c>
      <c r="BC20">
        <f>IF(OR($D20="",X20="",12&gt;$F20),0,IF(UPPER(TRIM(X20))=IFERROR(INDEX(Key!$C$2:$C$263,MATCH($D20*100+12,Key!$G$2:$G$263,0)),"#"),1,0))</f>
        <v/>
      </c>
      <c r="BD20">
        <f>IF(OR($D20="",Y20="",13&gt;$F20),0,IF(UPPER(TRIM(Y20))=IFERROR(INDEX(Key!$C$2:$C$263,MATCH($D20*100+13,Key!$G$2:$G$263,0)),"#"),1,0))</f>
        <v/>
      </c>
      <c r="BE20">
        <f>IF(OR($D20="",Z20="",14&gt;$F20),0,IF(UPPER(TRIM(Z20))=IFERROR(INDEX(Key!$C$2:$C$263,MATCH($D20*100+14,Key!$G$2:$G$263,0)),"#"),1,0))</f>
        <v/>
      </c>
      <c r="BF20">
        <f>IF(OR($D20="",AA20="",15&gt;$F20),0,IF(UPPER(TRIM(AA20))=IFERROR(INDEX(Key!$C$2:$C$263,MATCH($D20*100+15,Key!$G$2:$G$263,0)),"#"),1,0))</f>
        <v/>
      </c>
      <c r="BG20">
        <f>IF(OR($D20="",AB20="",16&gt;$F20),0,IF(UPPER(TRIM(AB20))=IFERROR(INDEX(Key!$C$2:$C$263,MATCH($D20*100+16,Key!$G$2:$G$263,0)),"#"),1,0))</f>
        <v/>
      </c>
      <c r="BH20">
        <f>IF(OR($D20="",AC20="",17&gt;$F20),0,IF(UPPER(TRIM(AC20))=IFERROR(INDEX(Key!$C$2:$C$263,MATCH($D20*100+17,Key!$G$2:$G$263,0)),"#"),1,0))</f>
        <v/>
      </c>
      <c r="BI20">
        <f>IF(OR($D20="",AD20="",18&gt;$F20),0,IF(UPPER(TRIM(AD20))=IFERROR(INDEX(Key!$C$2:$C$263,MATCH($D20*100+18,Key!$G$2:$G$263,0)),"#"),1,0))</f>
        <v/>
      </c>
      <c r="BJ20">
        <f>IF(OR($D20="",AE20="",19&gt;$F20),0,IF(UPPER(TRIM(AE20))=IFERROR(INDEX(Key!$C$2:$C$263,MATCH($D20*100+19,Key!$G$2:$G$263,0)),"#"),1,0))</f>
        <v/>
      </c>
      <c r="BK20">
        <f>IF(OR($D20="",AF20="",20&gt;$F20),0,IF(UPPER(TRIM(AF20))=IFERROR(INDEX(Key!$C$2:$C$263,MATCH($D20*100+20,Key!$G$2:$G$263,0)),"#"),1,0))</f>
        <v/>
      </c>
      <c r="BL20">
        <f>IF(OR($D20="",AG20="",21&gt;$F20),0,IF(UPPER(TRIM(AG20))=IFERROR(INDEX(Key!$C$2:$C$263,MATCH($D20*100+21,Key!$G$2:$G$263,0)),"#"),1,0))</f>
        <v/>
      </c>
      <c r="BM20">
        <f>IF(OR($D20="",AH20="",22&gt;$F20),0,IF(UPPER(TRIM(AH20))=IFERROR(INDEX(Key!$C$2:$C$263,MATCH($D20*100+22,Key!$G$2:$G$263,0)),"#"),1,0))</f>
        <v/>
      </c>
      <c r="BN20">
        <f>IF(OR($D20="",AI20="",23&gt;$F20),0,IF(UPPER(TRIM(AI20))=IFERROR(INDEX(Key!$C$2:$C$263,MATCH($D20*100+23,Key!$G$2:$G$263,0)),"#"),1,0))</f>
        <v/>
      </c>
      <c r="BO20">
        <f>IF(OR($D20="",AJ20="",24&gt;$F20),0,IF(UPPER(TRIM(AJ20))=IFERROR(INDEX(Key!$C$2:$C$263,MATCH($D20*100+24,Key!$G$2:$G$263,0)),"#"),1,0))</f>
        <v/>
      </c>
      <c r="BP20">
        <f>IF(OR($D20="",AK20="",25&gt;$F20),0,IF(UPPER(TRIM(AK20))=IFERROR(INDEX(Key!$C$2:$C$263,MATCH($D20*100+25,Key!$G$2:$G$263,0)),"#"),1,0))</f>
        <v/>
      </c>
      <c r="BQ20">
        <f>IF(OR($D20="",AL20="",26&gt;$F20),0,IF(UPPER(TRIM(AL20))=IFERROR(INDEX(Key!$C$2:$C$263,MATCH($D20*100+26,Key!$G$2:$G$263,0)),"#"),1,0))</f>
        <v/>
      </c>
      <c r="BR20">
        <f>IF(OR($D20="",AM20="",27&gt;$F20),0,IF(UPPER(TRIM(AM20))=IFERROR(INDEX(Key!$C$2:$C$263,MATCH($D20*100+27,Key!$G$2:$G$263,0)),"#"),1,0))</f>
        <v/>
      </c>
      <c r="BS20">
        <f>IF(OR($D20="",AN20="",28&gt;$F20),0,IF(UPPER(TRIM(AN20))=IFERROR(INDEX(Key!$C$2:$C$263,MATCH($D20*100+28,Key!$G$2:$G$263,0)),"#"),1,0))</f>
        <v/>
      </c>
      <c r="BT20">
        <f>IF(OR($D20="",AO20="",29&gt;$F20),0,IF(UPPER(TRIM(AO20))=IFERROR(INDEX(Key!$C$2:$C$263,MATCH($D20*100+29,Key!$G$2:$G$263,0)),"#"),1,0))</f>
        <v/>
      </c>
      <c r="BU20">
        <f>IF(OR($D20="",AP20="",30&gt;$F20),0,IF(UPPER(TRIM(AP20))=IFERROR(INDEX(Key!$C$2:$C$263,MATCH($D20*100+30,Key!$G$2:$G$263,0)),"#"),1,0))</f>
        <v/>
      </c>
    </row>
    <row r="21">
      <c r="A21" s="6" t="n"/>
      <c r="B21" s="6" t="n"/>
      <c r="C21" s="6" t="n"/>
      <c r="D21" s="6" t="n"/>
      <c r="E21" s="7">
        <f>IF($D21="","",IFERROR(INDEX(Papers!$B$2:$B$12,MATCH($D21,Papers!$A$2:$A$12,0)),"?"))</f>
        <v/>
      </c>
      <c r="F21" s="7">
        <f>IF($D21="","",IFERROR(INDEX(Papers!$C$2:$C$12,MATCH($D21,Papers!$A$2:$A$12,0)),0))</f>
        <v/>
      </c>
      <c r="G21" s="7">
        <f>IF($D21="","",COUNTIF(M21:AP21,"?*"))</f>
        <v/>
      </c>
      <c r="H21" s="7">
        <f>IF($D21="","",SUM(AR21:BU21))</f>
        <v/>
      </c>
      <c r="I21" s="7">
        <f>IF($D21="","",G21-H21)</f>
        <v/>
      </c>
      <c r="J21" s="7">
        <f>IF($D21="","",F21-G21)</f>
        <v/>
      </c>
      <c r="K21" s="7">
        <f>IF($D21="","",H21)</f>
        <v/>
      </c>
      <c r="L21" s="7">
        <f>IF($D21="","",IF(F21=0,"",ROUND(H21/F21*100,1)))</f>
        <v/>
      </c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R21">
        <f>IF(OR($D21="",M21="",1&gt;$F21),0,IF(UPPER(TRIM(M21))=IFERROR(INDEX(Key!$C$2:$C$263,MATCH($D21*100+1,Key!$G$2:$G$263,0)),"#"),1,0))</f>
        <v/>
      </c>
      <c r="AS21">
        <f>IF(OR($D21="",N21="",2&gt;$F21),0,IF(UPPER(TRIM(N21))=IFERROR(INDEX(Key!$C$2:$C$263,MATCH($D21*100+2,Key!$G$2:$G$263,0)),"#"),1,0))</f>
        <v/>
      </c>
      <c r="AT21">
        <f>IF(OR($D21="",O21="",3&gt;$F21),0,IF(UPPER(TRIM(O21))=IFERROR(INDEX(Key!$C$2:$C$263,MATCH($D21*100+3,Key!$G$2:$G$263,0)),"#"),1,0))</f>
        <v/>
      </c>
      <c r="AU21">
        <f>IF(OR($D21="",P21="",4&gt;$F21),0,IF(UPPER(TRIM(P21))=IFERROR(INDEX(Key!$C$2:$C$263,MATCH($D21*100+4,Key!$G$2:$G$263,0)),"#"),1,0))</f>
        <v/>
      </c>
      <c r="AV21">
        <f>IF(OR($D21="",Q21="",5&gt;$F21),0,IF(UPPER(TRIM(Q21))=IFERROR(INDEX(Key!$C$2:$C$263,MATCH($D21*100+5,Key!$G$2:$G$263,0)),"#"),1,0))</f>
        <v/>
      </c>
      <c r="AW21">
        <f>IF(OR($D21="",R21="",6&gt;$F21),0,IF(UPPER(TRIM(R21))=IFERROR(INDEX(Key!$C$2:$C$263,MATCH($D21*100+6,Key!$G$2:$G$263,0)),"#"),1,0))</f>
        <v/>
      </c>
      <c r="AX21">
        <f>IF(OR($D21="",S21="",7&gt;$F21),0,IF(UPPER(TRIM(S21))=IFERROR(INDEX(Key!$C$2:$C$263,MATCH($D21*100+7,Key!$G$2:$G$263,0)),"#"),1,0))</f>
        <v/>
      </c>
      <c r="AY21">
        <f>IF(OR($D21="",T21="",8&gt;$F21),0,IF(UPPER(TRIM(T21))=IFERROR(INDEX(Key!$C$2:$C$263,MATCH($D21*100+8,Key!$G$2:$G$263,0)),"#"),1,0))</f>
        <v/>
      </c>
      <c r="AZ21">
        <f>IF(OR($D21="",U21="",9&gt;$F21),0,IF(UPPER(TRIM(U21))=IFERROR(INDEX(Key!$C$2:$C$263,MATCH($D21*100+9,Key!$G$2:$G$263,0)),"#"),1,0))</f>
        <v/>
      </c>
      <c r="BA21">
        <f>IF(OR($D21="",V21="",10&gt;$F21),0,IF(UPPER(TRIM(V21))=IFERROR(INDEX(Key!$C$2:$C$263,MATCH($D21*100+10,Key!$G$2:$G$263,0)),"#"),1,0))</f>
        <v/>
      </c>
      <c r="BB21">
        <f>IF(OR($D21="",W21="",11&gt;$F21),0,IF(UPPER(TRIM(W21))=IFERROR(INDEX(Key!$C$2:$C$263,MATCH($D21*100+11,Key!$G$2:$G$263,0)),"#"),1,0))</f>
        <v/>
      </c>
      <c r="BC21">
        <f>IF(OR($D21="",X21="",12&gt;$F21),0,IF(UPPER(TRIM(X21))=IFERROR(INDEX(Key!$C$2:$C$263,MATCH($D21*100+12,Key!$G$2:$G$263,0)),"#"),1,0))</f>
        <v/>
      </c>
      <c r="BD21">
        <f>IF(OR($D21="",Y21="",13&gt;$F21),0,IF(UPPER(TRIM(Y21))=IFERROR(INDEX(Key!$C$2:$C$263,MATCH($D21*100+13,Key!$G$2:$G$263,0)),"#"),1,0))</f>
        <v/>
      </c>
      <c r="BE21">
        <f>IF(OR($D21="",Z21="",14&gt;$F21),0,IF(UPPER(TRIM(Z21))=IFERROR(INDEX(Key!$C$2:$C$263,MATCH($D21*100+14,Key!$G$2:$G$263,0)),"#"),1,0))</f>
        <v/>
      </c>
      <c r="BF21">
        <f>IF(OR($D21="",AA21="",15&gt;$F21),0,IF(UPPER(TRIM(AA21))=IFERROR(INDEX(Key!$C$2:$C$263,MATCH($D21*100+15,Key!$G$2:$G$263,0)),"#"),1,0))</f>
        <v/>
      </c>
      <c r="BG21">
        <f>IF(OR($D21="",AB21="",16&gt;$F21),0,IF(UPPER(TRIM(AB21))=IFERROR(INDEX(Key!$C$2:$C$263,MATCH($D21*100+16,Key!$G$2:$G$263,0)),"#"),1,0))</f>
        <v/>
      </c>
      <c r="BH21">
        <f>IF(OR($D21="",AC21="",17&gt;$F21),0,IF(UPPER(TRIM(AC21))=IFERROR(INDEX(Key!$C$2:$C$263,MATCH($D21*100+17,Key!$G$2:$G$263,0)),"#"),1,0))</f>
        <v/>
      </c>
      <c r="BI21">
        <f>IF(OR($D21="",AD21="",18&gt;$F21),0,IF(UPPER(TRIM(AD21))=IFERROR(INDEX(Key!$C$2:$C$263,MATCH($D21*100+18,Key!$G$2:$G$263,0)),"#"),1,0))</f>
        <v/>
      </c>
      <c r="BJ21">
        <f>IF(OR($D21="",AE21="",19&gt;$F21),0,IF(UPPER(TRIM(AE21))=IFERROR(INDEX(Key!$C$2:$C$263,MATCH($D21*100+19,Key!$G$2:$G$263,0)),"#"),1,0))</f>
        <v/>
      </c>
      <c r="BK21">
        <f>IF(OR($D21="",AF21="",20&gt;$F21),0,IF(UPPER(TRIM(AF21))=IFERROR(INDEX(Key!$C$2:$C$263,MATCH($D21*100+20,Key!$G$2:$G$263,0)),"#"),1,0))</f>
        <v/>
      </c>
      <c r="BL21">
        <f>IF(OR($D21="",AG21="",21&gt;$F21),0,IF(UPPER(TRIM(AG21))=IFERROR(INDEX(Key!$C$2:$C$263,MATCH($D21*100+21,Key!$G$2:$G$263,0)),"#"),1,0))</f>
        <v/>
      </c>
      <c r="BM21">
        <f>IF(OR($D21="",AH21="",22&gt;$F21),0,IF(UPPER(TRIM(AH21))=IFERROR(INDEX(Key!$C$2:$C$263,MATCH($D21*100+22,Key!$G$2:$G$263,0)),"#"),1,0))</f>
        <v/>
      </c>
      <c r="BN21">
        <f>IF(OR($D21="",AI21="",23&gt;$F21),0,IF(UPPER(TRIM(AI21))=IFERROR(INDEX(Key!$C$2:$C$263,MATCH($D21*100+23,Key!$G$2:$G$263,0)),"#"),1,0))</f>
        <v/>
      </c>
      <c r="BO21">
        <f>IF(OR($D21="",AJ21="",24&gt;$F21),0,IF(UPPER(TRIM(AJ21))=IFERROR(INDEX(Key!$C$2:$C$263,MATCH($D21*100+24,Key!$G$2:$G$263,0)),"#"),1,0))</f>
        <v/>
      </c>
      <c r="BP21">
        <f>IF(OR($D21="",AK21="",25&gt;$F21),0,IF(UPPER(TRIM(AK21))=IFERROR(INDEX(Key!$C$2:$C$263,MATCH($D21*100+25,Key!$G$2:$G$263,0)),"#"),1,0))</f>
        <v/>
      </c>
      <c r="BQ21">
        <f>IF(OR($D21="",AL21="",26&gt;$F21),0,IF(UPPER(TRIM(AL21))=IFERROR(INDEX(Key!$C$2:$C$263,MATCH($D21*100+26,Key!$G$2:$G$263,0)),"#"),1,0))</f>
        <v/>
      </c>
      <c r="BR21">
        <f>IF(OR($D21="",AM21="",27&gt;$F21),0,IF(UPPER(TRIM(AM21))=IFERROR(INDEX(Key!$C$2:$C$263,MATCH($D21*100+27,Key!$G$2:$G$263,0)),"#"),1,0))</f>
        <v/>
      </c>
      <c r="BS21">
        <f>IF(OR($D21="",AN21="",28&gt;$F21),0,IF(UPPER(TRIM(AN21))=IFERROR(INDEX(Key!$C$2:$C$263,MATCH($D21*100+28,Key!$G$2:$G$263,0)),"#"),1,0))</f>
        <v/>
      </c>
      <c r="BT21">
        <f>IF(OR($D21="",AO21="",29&gt;$F21),0,IF(UPPER(TRIM(AO21))=IFERROR(INDEX(Key!$C$2:$C$263,MATCH($D21*100+29,Key!$G$2:$G$263,0)),"#"),1,0))</f>
        <v/>
      </c>
      <c r="BU21">
        <f>IF(OR($D21="",AP21="",30&gt;$F21),0,IF(UPPER(TRIM(AP21))=IFERROR(INDEX(Key!$C$2:$C$263,MATCH($D21*100+30,Key!$G$2:$G$263,0)),"#"),1,0))</f>
        <v/>
      </c>
    </row>
    <row r="22">
      <c r="A22" s="6" t="n"/>
      <c r="B22" s="6" t="n"/>
      <c r="C22" s="6" t="n"/>
      <c r="D22" s="6" t="n"/>
      <c r="E22" s="7">
        <f>IF($D22="","",IFERROR(INDEX(Papers!$B$2:$B$12,MATCH($D22,Papers!$A$2:$A$12,0)),"?"))</f>
        <v/>
      </c>
      <c r="F22" s="7">
        <f>IF($D22="","",IFERROR(INDEX(Papers!$C$2:$C$12,MATCH($D22,Papers!$A$2:$A$12,0)),0))</f>
        <v/>
      </c>
      <c r="G22" s="7">
        <f>IF($D22="","",COUNTIF(M22:AP22,"?*"))</f>
        <v/>
      </c>
      <c r="H22" s="7">
        <f>IF($D22="","",SUM(AR22:BU22))</f>
        <v/>
      </c>
      <c r="I22" s="7">
        <f>IF($D22="","",G22-H22)</f>
        <v/>
      </c>
      <c r="J22" s="7">
        <f>IF($D22="","",F22-G22)</f>
        <v/>
      </c>
      <c r="K22" s="7">
        <f>IF($D22="","",H22)</f>
        <v/>
      </c>
      <c r="L22" s="7">
        <f>IF($D22="","",IF(F22=0,"",ROUND(H22/F22*100,1)))</f>
        <v/>
      </c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R22">
        <f>IF(OR($D22="",M22="",1&gt;$F22),0,IF(UPPER(TRIM(M22))=IFERROR(INDEX(Key!$C$2:$C$263,MATCH($D22*100+1,Key!$G$2:$G$263,0)),"#"),1,0))</f>
        <v/>
      </c>
      <c r="AS22">
        <f>IF(OR($D22="",N22="",2&gt;$F22),0,IF(UPPER(TRIM(N22))=IFERROR(INDEX(Key!$C$2:$C$263,MATCH($D22*100+2,Key!$G$2:$G$263,0)),"#"),1,0))</f>
        <v/>
      </c>
      <c r="AT22">
        <f>IF(OR($D22="",O22="",3&gt;$F22),0,IF(UPPER(TRIM(O22))=IFERROR(INDEX(Key!$C$2:$C$263,MATCH($D22*100+3,Key!$G$2:$G$263,0)),"#"),1,0))</f>
        <v/>
      </c>
      <c r="AU22">
        <f>IF(OR($D22="",P22="",4&gt;$F22),0,IF(UPPER(TRIM(P22))=IFERROR(INDEX(Key!$C$2:$C$263,MATCH($D22*100+4,Key!$G$2:$G$263,0)),"#"),1,0))</f>
        <v/>
      </c>
      <c r="AV22">
        <f>IF(OR($D22="",Q22="",5&gt;$F22),0,IF(UPPER(TRIM(Q22))=IFERROR(INDEX(Key!$C$2:$C$263,MATCH($D22*100+5,Key!$G$2:$G$263,0)),"#"),1,0))</f>
        <v/>
      </c>
      <c r="AW22">
        <f>IF(OR($D22="",R22="",6&gt;$F22),0,IF(UPPER(TRIM(R22))=IFERROR(INDEX(Key!$C$2:$C$263,MATCH($D22*100+6,Key!$G$2:$G$263,0)),"#"),1,0))</f>
        <v/>
      </c>
      <c r="AX22">
        <f>IF(OR($D22="",S22="",7&gt;$F22),0,IF(UPPER(TRIM(S22))=IFERROR(INDEX(Key!$C$2:$C$263,MATCH($D22*100+7,Key!$G$2:$G$263,0)),"#"),1,0))</f>
        <v/>
      </c>
      <c r="AY22">
        <f>IF(OR($D22="",T22="",8&gt;$F22),0,IF(UPPER(TRIM(T22))=IFERROR(INDEX(Key!$C$2:$C$263,MATCH($D22*100+8,Key!$G$2:$G$263,0)),"#"),1,0))</f>
        <v/>
      </c>
      <c r="AZ22">
        <f>IF(OR($D22="",U22="",9&gt;$F22),0,IF(UPPER(TRIM(U22))=IFERROR(INDEX(Key!$C$2:$C$263,MATCH($D22*100+9,Key!$G$2:$G$263,0)),"#"),1,0))</f>
        <v/>
      </c>
      <c r="BA22">
        <f>IF(OR($D22="",V22="",10&gt;$F22),0,IF(UPPER(TRIM(V22))=IFERROR(INDEX(Key!$C$2:$C$263,MATCH($D22*100+10,Key!$G$2:$G$263,0)),"#"),1,0))</f>
        <v/>
      </c>
      <c r="BB22">
        <f>IF(OR($D22="",W22="",11&gt;$F22),0,IF(UPPER(TRIM(W22))=IFERROR(INDEX(Key!$C$2:$C$263,MATCH($D22*100+11,Key!$G$2:$G$263,0)),"#"),1,0))</f>
        <v/>
      </c>
      <c r="BC22">
        <f>IF(OR($D22="",X22="",12&gt;$F22),0,IF(UPPER(TRIM(X22))=IFERROR(INDEX(Key!$C$2:$C$263,MATCH($D22*100+12,Key!$G$2:$G$263,0)),"#"),1,0))</f>
        <v/>
      </c>
      <c r="BD22">
        <f>IF(OR($D22="",Y22="",13&gt;$F22),0,IF(UPPER(TRIM(Y22))=IFERROR(INDEX(Key!$C$2:$C$263,MATCH($D22*100+13,Key!$G$2:$G$263,0)),"#"),1,0))</f>
        <v/>
      </c>
      <c r="BE22">
        <f>IF(OR($D22="",Z22="",14&gt;$F22),0,IF(UPPER(TRIM(Z22))=IFERROR(INDEX(Key!$C$2:$C$263,MATCH($D22*100+14,Key!$G$2:$G$263,0)),"#"),1,0))</f>
        <v/>
      </c>
      <c r="BF22">
        <f>IF(OR($D22="",AA22="",15&gt;$F22),0,IF(UPPER(TRIM(AA22))=IFERROR(INDEX(Key!$C$2:$C$263,MATCH($D22*100+15,Key!$G$2:$G$263,0)),"#"),1,0))</f>
        <v/>
      </c>
      <c r="BG22">
        <f>IF(OR($D22="",AB22="",16&gt;$F22),0,IF(UPPER(TRIM(AB22))=IFERROR(INDEX(Key!$C$2:$C$263,MATCH($D22*100+16,Key!$G$2:$G$263,0)),"#"),1,0))</f>
        <v/>
      </c>
      <c r="BH22">
        <f>IF(OR($D22="",AC22="",17&gt;$F22),0,IF(UPPER(TRIM(AC22))=IFERROR(INDEX(Key!$C$2:$C$263,MATCH($D22*100+17,Key!$G$2:$G$263,0)),"#"),1,0))</f>
        <v/>
      </c>
      <c r="BI22">
        <f>IF(OR($D22="",AD22="",18&gt;$F22),0,IF(UPPER(TRIM(AD22))=IFERROR(INDEX(Key!$C$2:$C$263,MATCH($D22*100+18,Key!$G$2:$G$263,0)),"#"),1,0))</f>
        <v/>
      </c>
      <c r="BJ22">
        <f>IF(OR($D22="",AE22="",19&gt;$F22),0,IF(UPPER(TRIM(AE22))=IFERROR(INDEX(Key!$C$2:$C$263,MATCH($D22*100+19,Key!$G$2:$G$263,0)),"#"),1,0))</f>
        <v/>
      </c>
      <c r="BK22">
        <f>IF(OR($D22="",AF22="",20&gt;$F22),0,IF(UPPER(TRIM(AF22))=IFERROR(INDEX(Key!$C$2:$C$263,MATCH($D22*100+20,Key!$G$2:$G$263,0)),"#"),1,0))</f>
        <v/>
      </c>
      <c r="BL22">
        <f>IF(OR($D22="",AG22="",21&gt;$F22),0,IF(UPPER(TRIM(AG22))=IFERROR(INDEX(Key!$C$2:$C$263,MATCH($D22*100+21,Key!$G$2:$G$263,0)),"#"),1,0))</f>
        <v/>
      </c>
      <c r="BM22">
        <f>IF(OR($D22="",AH22="",22&gt;$F22),0,IF(UPPER(TRIM(AH22))=IFERROR(INDEX(Key!$C$2:$C$263,MATCH($D22*100+22,Key!$G$2:$G$263,0)),"#"),1,0))</f>
        <v/>
      </c>
      <c r="BN22">
        <f>IF(OR($D22="",AI22="",23&gt;$F22),0,IF(UPPER(TRIM(AI22))=IFERROR(INDEX(Key!$C$2:$C$263,MATCH($D22*100+23,Key!$G$2:$G$263,0)),"#"),1,0))</f>
        <v/>
      </c>
      <c r="BO22">
        <f>IF(OR($D22="",AJ22="",24&gt;$F22),0,IF(UPPER(TRIM(AJ22))=IFERROR(INDEX(Key!$C$2:$C$263,MATCH($D22*100+24,Key!$G$2:$G$263,0)),"#"),1,0))</f>
        <v/>
      </c>
      <c r="BP22">
        <f>IF(OR($D22="",AK22="",25&gt;$F22),0,IF(UPPER(TRIM(AK22))=IFERROR(INDEX(Key!$C$2:$C$263,MATCH($D22*100+25,Key!$G$2:$G$263,0)),"#"),1,0))</f>
        <v/>
      </c>
      <c r="BQ22">
        <f>IF(OR($D22="",AL22="",26&gt;$F22),0,IF(UPPER(TRIM(AL22))=IFERROR(INDEX(Key!$C$2:$C$263,MATCH($D22*100+26,Key!$G$2:$G$263,0)),"#"),1,0))</f>
        <v/>
      </c>
      <c r="BR22">
        <f>IF(OR($D22="",AM22="",27&gt;$F22),0,IF(UPPER(TRIM(AM22))=IFERROR(INDEX(Key!$C$2:$C$263,MATCH($D22*100+27,Key!$G$2:$G$263,0)),"#"),1,0))</f>
        <v/>
      </c>
      <c r="BS22">
        <f>IF(OR($D22="",AN22="",28&gt;$F22),0,IF(UPPER(TRIM(AN22))=IFERROR(INDEX(Key!$C$2:$C$263,MATCH($D22*100+28,Key!$G$2:$G$263,0)),"#"),1,0))</f>
        <v/>
      </c>
      <c r="BT22">
        <f>IF(OR($D22="",AO22="",29&gt;$F22),0,IF(UPPER(TRIM(AO22))=IFERROR(INDEX(Key!$C$2:$C$263,MATCH($D22*100+29,Key!$G$2:$G$263,0)),"#"),1,0))</f>
        <v/>
      </c>
      <c r="BU22">
        <f>IF(OR($D22="",AP22="",30&gt;$F22),0,IF(UPPER(TRIM(AP22))=IFERROR(INDEX(Key!$C$2:$C$263,MATCH($D22*100+30,Key!$G$2:$G$263,0)),"#"),1,0))</f>
        <v/>
      </c>
    </row>
    <row r="23">
      <c r="A23" s="6" t="n"/>
      <c r="B23" s="6" t="n"/>
      <c r="C23" s="6" t="n"/>
      <c r="D23" s="6" t="n"/>
      <c r="E23" s="7">
        <f>IF($D23="","",IFERROR(INDEX(Papers!$B$2:$B$12,MATCH($D23,Papers!$A$2:$A$12,0)),"?"))</f>
        <v/>
      </c>
      <c r="F23" s="7">
        <f>IF($D23="","",IFERROR(INDEX(Papers!$C$2:$C$12,MATCH($D23,Papers!$A$2:$A$12,0)),0))</f>
        <v/>
      </c>
      <c r="G23" s="7">
        <f>IF($D23="","",COUNTIF(M23:AP23,"?*"))</f>
        <v/>
      </c>
      <c r="H23" s="7">
        <f>IF($D23="","",SUM(AR23:BU23))</f>
        <v/>
      </c>
      <c r="I23" s="7">
        <f>IF($D23="","",G23-H23)</f>
        <v/>
      </c>
      <c r="J23" s="7">
        <f>IF($D23="","",F23-G23)</f>
        <v/>
      </c>
      <c r="K23" s="7">
        <f>IF($D23="","",H23)</f>
        <v/>
      </c>
      <c r="L23" s="7">
        <f>IF($D23="","",IF(F23=0,"",ROUND(H23/F23*100,1)))</f>
        <v/>
      </c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R23">
        <f>IF(OR($D23="",M23="",1&gt;$F23),0,IF(UPPER(TRIM(M23))=IFERROR(INDEX(Key!$C$2:$C$263,MATCH($D23*100+1,Key!$G$2:$G$263,0)),"#"),1,0))</f>
        <v/>
      </c>
      <c r="AS23">
        <f>IF(OR($D23="",N23="",2&gt;$F23),0,IF(UPPER(TRIM(N23))=IFERROR(INDEX(Key!$C$2:$C$263,MATCH($D23*100+2,Key!$G$2:$G$263,0)),"#"),1,0))</f>
        <v/>
      </c>
      <c r="AT23">
        <f>IF(OR($D23="",O23="",3&gt;$F23),0,IF(UPPER(TRIM(O23))=IFERROR(INDEX(Key!$C$2:$C$263,MATCH($D23*100+3,Key!$G$2:$G$263,0)),"#"),1,0))</f>
        <v/>
      </c>
      <c r="AU23">
        <f>IF(OR($D23="",P23="",4&gt;$F23),0,IF(UPPER(TRIM(P23))=IFERROR(INDEX(Key!$C$2:$C$263,MATCH($D23*100+4,Key!$G$2:$G$263,0)),"#"),1,0))</f>
        <v/>
      </c>
      <c r="AV23">
        <f>IF(OR($D23="",Q23="",5&gt;$F23),0,IF(UPPER(TRIM(Q23))=IFERROR(INDEX(Key!$C$2:$C$263,MATCH($D23*100+5,Key!$G$2:$G$263,0)),"#"),1,0))</f>
        <v/>
      </c>
      <c r="AW23">
        <f>IF(OR($D23="",R23="",6&gt;$F23),0,IF(UPPER(TRIM(R23))=IFERROR(INDEX(Key!$C$2:$C$263,MATCH($D23*100+6,Key!$G$2:$G$263,0)),"#"),1,0))</f>
        <v/>
      </c>
      <c r="AX23">
        <f>IF(OR($D23="",S23="",7&gt;$F23),0,IF(UPPER(TRIM(S23))=IFERROR(INDEX(Key!$C$2:$C$263,MATCH($D23*100+7,Key!$G$2:$G$263,0)),"#"),1,0))</f>
        <v/>
      </c>
      <c r="AY23">
        <f>IF(OR($D23="",T23="",8&gt;$F23),0,IF(UPPER(TRIM(T23))=IFERROR(INDEX(Key!$C$2:$C$263,MATCH($D23*100+8,Key!$G$2:$G$263,0)),"#"),1,0))</f>
        <v/>
      </c>
      <c r="AZ23">
        <f>IF(OR($D23="",U23="",9&gt;$F23),0,IF(UPPER(TRIM(U23))=IFERROR(INDEX(Key!$C$2:$C$263,MATCH($D23*100+9,Key!$G$2:$G$263,0)),"#"),1,0))</f>
        <v/>
      </c>
      <c r="BA23">
        <f>IF(OR($D23="",V23="",10&gt;$F23),0,IF(UPPER(TRIM(V23))=IFERROR(INDEX(Key!$C$2:$C$263,MATCH($D23*100+10,Key!$G$2:$G$263,0)),"#"),1,0))</f>
        <v/>
      </c>
      <c r="BB23">
        <f>IF(OR($D23="",W23="",11&gt;$F23),0,IF(UPPER(TRIM(W23))=IFERROR(INDEX(Key!$C$2:$C$263,MATCH($D23*100+11,Key!$G$2:$G$263,0)),"#"),1,0))</f>
        <v/>
      </c>
      <c r="BC23">
        <f>IF(OR($D23="",X23="",12&gt;$F23),0,IF(UPPER(TRIM(X23))=IFERROR(INDEX(Key!$C$2:$C$263,MATCH($D23*100+12,Key!$G$2:$G$263,0)),"#"),1,0))</f>
        <v/>
      </c>
      <c r="BD23">
        <f>IF(OR($D23="",Y23="",13&gt;$F23),0,IF(UPPER(TRIM(Y23))=IFERROR(INDEX(Key!$C$2:$C$263,MATCH($D23*100+13,Key!$G$2:$G$263,0)),"#"),1,0))</f>
        <v/>
      </c>
      <c r="BE23">
        <f>IF(OR($D23="",Z23="",14&gt;$F23),0,IF(UPPER(TRIM(Z23))=IFERROR(INDEX(Key!$C$2:$C$263,MATCH($D23*100+14,Key!$G$2:$G$263,0)),"#"),1,0))</f>
        <v/>
      </c>
      <c r="BF23">
        <f>IF(OR($D23="",AA23="",15&gt;$F23),0,IF(UPPER(TRIM(AA23))=IFERROR(INDEX(Key!$C$2:$C$263,MATCH($D23*100+15,Key!$G$2:$G$263,0)),"#"),1,0))</f>
        <v/>
      </c>
      <c r="BG23">
        <f>IF(OR($D23="",AB23="",16&gt;$F23),0,IF(UPPER(TRIM(AB23))=IFERROR(INDEX(Key!$C$2:$C$263,MATCH($D23*100+16,Key!$G$2:$G$263,0)),"#"),1,0))</f>
        <v/>
      </c>
      <c r="BH23">
        <f>IF(OR($D23="",AC23="",17&gt;$F23),0,IF(UPPER(TRIM(AC23))=IFERROR(INDEX(Key!$C$2:$C$263,MATCH($D23*100+17,Key!$G$2:$G$263,0)),"#"),1,0))</f>
        <v/>
      </c>
      <c r="BI23">
        <f>IF(OR($D23="",AD23="",18&gt;$F23),0,IF(UPPER(TRIM(AD23))=IFERROR(INDEX(Key!$C$2:$C$263,MATCH($D23*100+18,Key!$G$2:$G$263,0)),"#"),1,0))</f>
        <v/>
      </c>
      <c r="BJ23">
        <f>IF(OR($D23="",AE23="",19&gt;$F23),0,IF(UPPER(TRIM(AE23))=IFERROR(INDEX(Key!$C$2:$C$263,MATCH($D23*100+19,Key!$G$2:$G$263,0)),"#"),1,0))</f>
        <v/>
      </c>
      <c r="BK23">
        <f>IF(OR($D23="",AF23="",20&gt;$F23),0,IF(UPPER(TRIM(AF23))=IFERROR(INDEX(Key!$C$2:$C$263,MATCH($D23*100+20,Key!$G$2:$G$263,0)),"#"),1,0))</f>
        <v/>
      </c>
      <c r="BL23">
        <f>IF(OR($D23="",AG23="",21&gt;$F23),0,IF(UPPER(TRIM(AG23))=IFERROR(INDEX(Key!$C$2:$C$263,MATCH($D23*100+21,Key!$G$2:$G$263,0)),"#"),1,0))</f>
        <v/>
      </c>
      <c r="BM23">
        <f>IF(OR($D23="",AH23="",22&gt;$F23),0,IF(UPPER(TRIM(AH23))=IFERROR(INDEX(Key!$C$2:$C$263,MATCH($D23*100+22,Key!$G$2:$G$263,0)),"#"),1,0))</f>
        <v/>
      </c>
      <c r="BN23">
        <f>IF(OR($D23="",AI23="",23&gt;$F23),0,IF(UPPER(TRIM(AI23))=IFERROR(INDEX(Key!$C$2:$C$263,MATCH($D23*100+23,Key!$G$2:$G$263,0)),"#"),1,0))</f>
        <v/>
      </c>
      <c r="BO23">
        <f>IF(OR($D23="",AJ23="",24&gt;$F23),0,IF(UPPER(TRIM(AJ23))=IFERROR(INDEX(Key!$C$2:$C$263,MATCH($D23*100+24,Key!$G$2:$G$263,0)),"#"),1,0))</f>
        <v/>
      </c>
      <c r="BP23">
        <f>IF(OR($D23="",AK23="",25&gt;$F23),0,IF(UPPER(TRIM(AK23))=IFERROR(INDEX(Key!$C$2:$C$263,MATCH($D23*100+25,Key!$G$2:$G$263,0)),"#"),1,0))</f>
        <v/>
      </c>
      <c r="BQ23">
        <f>IF(OR($D23="",AL23="",26&gt;$F23),0,IF(UPPER(TRIM(AL23))=IFERROR(INDEX(Key!$C$2:$C$263,MATCH($D23*100+26,Key!$G$2:$G$263,0)),"#"),1,0))</f>
        <v/>
      </c>
      <c r="BR23">
        <f>IF(OR($D23="",AM23="",27&gt;$F23),0,IF(UPPER(TRIM(AM23))=IFERROR(INDEX(Key!$C$2:$C$263,MATCH($D23*100+27,Key!$G$2:$G$263,0)),"#"),1,0))</f>
        <v/>
      </c>
      <c r="BS23">
        <f>IF(OR($D23="",AN23="",28&gt;$F23),0,IF(UPPER(TRIM(AN23))=IFERROR(INDEX(Key!$C$2:$C$263,MATCH($D23*100+28,Key!$G$2:$G$263,0)),"#"),1,0))</f>
        <v/>
      </c>
      <c r="BT23">
        <f>IF(OR($D23="",AO23="",29&gt;$F23),0,IF(UPPER(TRIM(AO23))=IFERROR(INDEX(Key!$C$2:$C$263,MATCH($D23*100+29,Key!$G$2:$G$263,0)),"#"),1,0))</f>
        <v/>
      </c>
      <c r="BU23">
        <f>IF(OR($D23="",AP23="",30&gt;$F23),0,IF(UPPER(TRIM(AP23))=IFERROR(INDEX(Key!$C$2:$C$263,MATCH($D23*100+30,Key!$G$2:$G$263,0)),"#"),1,0))</f>
        <v/>
      </c>
    </row>
    <row r="24">
      <c r="A24" s="6" t="n"/>
      <c r="B24" s="6" t="n"/>
      <c r="C24" s="6" t="n"/>
      <c r="D24" s="6" t="n"/>
      <c r="E24" s="7">
        <f>IF($D24="","",IFERROR(INDEX(Papers!$B$2:$B$12,MATCH($D24,Papers!$A$2:$A$12,0)),"?"))</f>
        <v/>
      </c>
      <c r="F24" s="7">
        <f>IF($D24="","",IFERROR(INDEX(Papers!$C$2:$C$12,MATCH($D24,Papers!$A$2:$A$12,0)),0))</f>
        <v/>
      </c>
      <c r="G24" s="7">
        <f>IF($D24="","",COUNTIF(M24:AP24,"?*"))</f>
        <v/>
      </c>
      <c r="H24" s="7">
        <f>IF($D24="","",SUM(AR24:BU24))</f>
        <v/>
      </c>
      <c r="I24" s="7">
        <f>IF($D24="","",G24-H24)</f>
        <v/>
      </c>
      <c r="J24" s="7">
        <f>IF($D24="","",F24-G24)</f>
        <v/>
      </c>
      <c r="K24" s="7">
        <f>IF($D24="","",H24)</f>
        <v/>
      </c>
      <c r="L24" s="7">
        <f>IF($D24="","",IF(F24=0,"",ROUND(H24/F24*100,1)))</f>
        <v/>
      </c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R24">
        <f>IF(OR($D24="",M24="",1&gt;$F24),0,IF(UPPER(TRIM(M24))=IFERROR(INDEX(Key!$C$2:$C$263,MATCH($D24*100+1,Key!$G$2:$G$263,0)),"#"),1,0))</f>
        <v/>
      </c>
      <c r="AS24">
        <f>IF(OR($D24="",N24="",2&gt;$F24),0,IF(UPPER(TRIM(N24))=IFERROR(INDEX(Key!$C$2:$C$263,MATCH($D24*100+2,Key!$G$2:$G$263,0)),"#"),1,0))</f>
        <v/>
      </c>
      <c r="AT24">
        <f>IF(OR($D24="",O24="",3&gt;$F24),0,IF(UPPER(TRIM(O24))=IFERROR(INDEX(Key!$C$2:$C$263,MATCH($D24*100+3,Key!$G$2:$G$263,0)),"#"),1,0))</f>
        <v/>
      </c>
      <c r="AU24">
        <f>IF(OR($D24="",P24="",4&gt;$F24),0,IF(UPPER(TRIM(P24))=IFERROR(INDEX(Key!$C$2:$C$263,MATCH($D24*100+4,Key!$G$2:$G$263,0)),"#"),1,0))</f>
        <v/>
      </c>
      <c r="AV24">
        <f>IF(OR($D24="",Q24="",5&gt;$F24),0,IF(UPPER(TRIM(Q24))=IFERROR(INDEX(Key!$C$2:$C$263,MATCH($D24*100+5,Key!$G$2:$G$263,0)),"#"),1,0))</f>
        <v/>
      </c>
      <c r="AW24">
        <f>IF(OR($D24="",R24="",6&gt;$F24),0,IF(UPPER(TRIM(R24))=IFERROR(INDEX(Key!$C$2:$C$263,MATCH($D24*100+6,Key!$G$2:$G$263,0)),"#"),1,0))</f>
        <v/>
      </c>
      <c r="AX24">
        <f>IF(OR($D24="",S24="",7&gt;$F24),0,IF(UPPER(TRIM(S24))=IFERROR(INDEX(Key!$C$2:$C$263,MATCH($D24*100+7,Key!$G$2:$G$263,0)),"#"),1,0))</f>
        <v/>
      </c>
      <c r="AY24">
        <f>IF(OR($D24="",T24="",8&gt;$F24),0,IF(UPPER(TRIM(T24))=IFERROR(INDEX(Key!$C$2:$C$263,MATCH($D24*100+8,Key!$G$2:$G$263,0)),"#"),1,0))</f>
        <v/>
      </c>
      <c r="AZ24">
        <f>IF(OR($D24="",U24="",9&gt;$F24),0,IF(UPPER(TRIM(U24))=IFERROR(INDEX(Key!$C$2:$C$263,MATCH($D24*100+9,Key!$G$2:$G$263,0)),"#"),1,0))</f>
        <v/>
      </c>
      <c r="BA24">
        <f>IF(OR($D24="",V24="",10&gt;$F24),0,IF(UPPER(TRIM(V24))=IFERROR(INDEX(Key!$C$2:$C$263,MATCH($D24*100+10,Key!$G$2:$G$263,0)),"#"),1,0))</f>
        <v/>
      </c>
      <c r="BB24">
        <f>IF(OR($D24="",W24="",11&gt;$F24),0,IF(UPPER(TRIM(W24))=IFERROR(INDEX(Key!$C$2:$C$263,MATCH($D24*100+11,Key!$G$2:$G$263,0)),"#"),1,0))</f>
        <v/>
      </c>
      <c r="BC24">
        <f>IF(OR($D24="",X24="",12&gt;$F24),0,IF(UPPER(TRIM(X24))=IFERROR(INDEX(Key!$C$2:$C$263,MATCH($D24*100+12,Key!$G$2:$G$263,0)),"#"),1,0))</f>
        <v/>
      </c>
      <c r="BD24">
        <f>IF(OR($D24="",Y24="",13&gt;$F24),0,IF(UPPER(TRIM(Y24))=IFERROR(INDEX(Key!$C$2:$C$263,MATCH($D24*100+13,Key!$G$2:$G$263,0)),"#"),1,0))</f>
        <v/>
      </c>
      <c r="BE24">
        <f>IF(OR($D24="",Z24="",14&gt;$F24),0,IF(UPPER(TRIM(Z24))=IFERROR(INDEX(Key!$C$2:$C$263,MATCH($D24*100+14,Key!$G$2:$G$263,0)),"#"),1,0))</f>
        <v/>
      </c>
      <c r="BF24">
        <f>IF(OR($D24="",AA24="",15&gt;$F24),0,IF(UPPER(TRIM(AA24))=IFERROR(INDEX(Key!$C$2:$C$263,MATCH($D24*100+15,Key!$G$2:$G$263,0)),"#"),1,0))</f>
        <v/>
      </c>
      <c r="BG24">
        <f>IF(OR($D24="",AB24="",16&gt;$F24),0,IF(UPPER(TRIM(AB24))=IFERROR(INDEX(Key!$C$2:$C$263,MATCH($D24*100+16,Key!$G$2:$G$263,0)),"#"),1,0))</f>
        <v/>
      </c>
      <c r="BH24">
        <f>IF(OR($D24="",AC24="",17&gt;$F24),0,IF(UPPER(TRIM(AC24))=IFERROR(INDEX(Key!$C$2:$C$263,MATCH($D24*100+17,Key!$G$2:$G$263,0)),"#"),1,0))</f>
        <v/>
      </c>
      <c r="BI24">
        <f>IF(OR($D24="",AD24="",18&gt;$F24),0,IF(UPPER(TRIM(AD24))=IFERROR(INDEX(Key!$C$2:$C$263,MATCH($D24*100+18,Key!$G$2:$G$263,0)),"#"),1,0))</f>
        <v/>
      </c>
      <c r="BJ24">
        <f>IF(OR($D24="",AE24="",19&gt;$F24),0,IF(UPPER(TRIM(AE24))=IFERROR(INDEX(Key!$C$2:$C$263,MATCH($D24*100+19,Key!$G$2:$G$263,0)),"#"),1,0))</f>
        <v/>
      </c>
      <c r="BK24">
        <f>IF(OR($D24="",AF24="",20&gt;$F24),0,IF(UPPER(TRIM(AF24))=IFERROR(INDEX(Key!$C$2:$C$263,MATCH($D24*100+20,Key!$G$2:$G$263,0)),"#"),1,0))</f>
        <v/>
      </c>
      <c r="BL24">
        <f>IF(OR($D24="",AG24="",21&gt;$F24),0,IF(UPPER(TRIM(AG24))=IFERROR(INDEX(Key!$C$2:$C$263,MATCH($D24*100+21,Key!$G$2:$G$263,0)),"#"),1,0))</f>
        <v/>
      </c>
      <c r="BM24">
        <f>IF(OR($D24="",AH24="",22&gt;$F24),0,IF(UPPER(TRIM(AH24))=IFERROR(INDEX(Key!$C$2:$C$263,MATCH($D24*100+22,Key!$G$2:$G$263,0)),"#"),1,0))</f>
        <v/>
      </c>
      <c r="BN24">
        <f>IF(OR($D24="",AI24="",23&gt;$F24),0,IF(UPPER(TRIM(AI24))=IFERROR(INDEX(Key!$C$2:$C$263,MATCH($D24*100+23,Key!$G$2:$G$263,0)),"#"),1,0))</f>
        <v/>
      </c>
      <c r="BO24">
        <f>IF(OR($D24="",AJ24="",24&gt;$F24),0,IF(UPPER(TRIM(AJ24))=IFERROR(INDEX(Key!$C$2:$C$263,MATCH($D24*100+24,Key!$G$2:$G$263,0)),"#"),1,0))</f>
        <v/>
      </c>
      <c r="BP24">
        <f>IF(OR($D24="",AK24="",25&gt;$F24),0,IF(UPPER(TRIM(AK24))=IFERROR(INDEX(Key!$C$2:$C$263,MATCH($D24*100+25,Key!$G$2:$G$263,0)),"#"),1,0))</f>
        <v/>
      </c>
      <c r="BQ24">
        <f>IF(OR($D24="",AL24="",26&gt;$F24),0,IF(UPPER(TRIM(AL24))=IFERROR(INDEX(Key!$C$2:$C$263,MATCH($D24*100+26,Key!$G$2:$G$263,0)),"#"),1,0))</f>
        <v/>
      </c>
      <c r="BR24">
        <f>IF(OR($D24="",AM24="",27&gt;$F24),0,IF(UPPER(TRIM(AM24))=IFERROR(INDEX(Key!$C$2:$C$263,MATCH($D24*100+27,Key!$G$2:$G$263,0)),"#"),1,0))</f>
        <v/>
      </c>
      <c r="BS24">
        <f>IF(OR($D24="",AN24="",28&gt;$F24),0,IF(UPPER(TRIM(AN24))=IFERROR(INDEX(Key!$C$2:$C$263,MATCH($D24*100+28,Key!$G$2:$G$263,0)),"#"),1,0))</f>
        <v/>
      </c>
      <c r="BT24">
        <f>IF(OR($D24="",AO24="",29&gt;$F24),0,IF(UPPER(TRIM(AO24))=IFERROR(INDEX(Key!$C$2:$C$263,MATCH($D24*100+29,Key!$G$2:$G$263,0)),"#"),1,0))</f>
        <v/>
      </c>
      <c r="BU24">
        <f>IF(OR($D24="",AP24="",30&gt;$F24),0,IF(UPPER(TRIM(AP24))=IFERROR(INDEX(Key!$C$2:$C$263,MATCH($D24*100+30,Key!$G$2:$G$263,0)),"#"),1,0))</f>
        <v/>
      </c>
    </row>
    <row r="25">
      <c r="A25" s="6" t="n"/>
      <c r="B25" s="6" t="n"/>
      <c r="C25" s="6" t="n"/>
      <c r="D25" s="6" t="n"/>
      <c r="E25" s="7">
        <f>IF($D25="","",IFERROR(INDEX(Papers!$B$2:$B$12,MATCH($D25,Papers!$A$2:$A$12,0)),"?"))</f>
        <v/>
      </c>
      <c r="F25" s="7">
        <f>IF($D25="","",IFERROR(INDEX(Papers!$C$2:$C$12,MATCH($D25,Papers!$A$2:$A$12,0)),0))</f>
        <v/>
      </c>
      <c r="G25" s="7">
        <f>IF($D25="","",COUNTIF(M25:AP25,"?*"))</f>
        <v/>
      </c>
      <c r="H25" s="7">
        <f>IF($D25="","",SUM(AR25:BU25))</f>
        <v/>
      </c>
      <c r="I25" s="7">
        <f>IF($D25="","",G25-H25)</f>
        <v/>
      </c>
      <c r="J25" s="7">
        <f>IF($D25="","",F25-G25)</f>
        <v/>
      </c>
      <c r="K25" s="7">
        <f>IF($D25="","",H25)</f>
        <v/>
      </c>
      <c r="L25" s="7">
        <f>IF($D25="","",IF(F25=0,"",ROUND(H25/F25*100,1)))</f>
        <v/>
      </c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R25">
        <f>IF(OR($D25="",M25="",1&gt;$F25),0,IF(UPPER(TRIM(M25))=IFERROR(INDEX(Key!$C$2:$C$263,MATCH($D25*100+1,Key!$G$2:$G$263,0)),"#"),1,0))</f>
        <v/>
      </c>
      <c r="AS25">
        <f>IF(OR($D25="",N25="",2&gt;$F25),0,IF(UPPER(TRIM(N25))=IFERROR(INDEX(Key!$C$2:$C$263,MATCH($D25*100+2,Key!$G$2:$G$263,0)),"#"),1,0))</f>
        <v/>
      </c>
      <c r="AT25">
        <f>IF(OR($D25="",O25="",3&gt;$F25),0,IF(UPPER(TRIM(O25))=IFERROR(INDEX(Key!$C$2:$C$263,MATCH($D25*100+3,Key!$G$2:$G$263,0)),"#"),1,0))</f>
        <v/>
      </c>
      <c r="AU25">
        <f>IF(OR($D25="",P25="",4&gt;$F25),0,IF(UPPER(TRIM(P25))=IFERROR(INDEX(Key!$C$2:$C$263,MATCH($D25*100+4,Key!$G$2:$G$263,0)),"#"),1,0))</f>
        <v/>
      </c>
      <c r="AV25">
        <f>IF(OR($D25="",Q25="",5&gt;$F25),0,IF(UPPER(TRIM(Q25))=IFERROR(INDEX(Key!$C$2:$C$263,MATCH($D25*100+5,Key!$G$2:$G$263,0)),"#"),1,0))</f>
        <v/>
      </c>
      <c r="AW25">
        <f>IF(OR($D25="",R25="",6&gt;$F25),0,IF(UPPER(TRIM(R25))=IFERROR(INDEX(Key!$C$2:$C$263,MATCH($D25*100+6,Key!$G$2:$G$263,0)),"#"),1,0))</f>
        <v/>
      </c>
      <c r="AX25">
        <f>IF(OR($D25="",S25="",7&gt;$F25),0,IF(UPPER(TRIM(S25))=IFERROR(INDEX(Key!$C$2:$C$263,MATCH($D25*100+7,Key!$G$2:$G$263,0)),"#"),1,0))</f>
        <v/>
      </c>
      <c r="AY25">
        <f>IF(OR($D25="",T25="",8&gt;$F25),0,IF(UPPER(TRIM(T25))=IFERROR(INDEX(Key!$C$2:$C$263,MATCH($D25*100+8,Key!$G$2:$G$263,0)),"#"),1,0))</f>
        <v/>
      </c>
      <c r="AZ25">
        <f>IF(OR($D25="",U25="",9&gt;$F25),0,IF(UPPER(TRIM(U25))=IFERROR(INDEX(Key!$C$2:$C$263,MATCH($D25*100+9,Key!$G$2:$G$263,0)),"#"),1,0))</f>
        <v/>
      </c>
      <c r="BA25">
        <f>IF(OR($D25="",V25="",10&gt;$F25),0,IF(UPPER(TRIM(V25))=IFERROR(INDEX(Key!$C$2:$C$263,MATCH($D25*100+10,Key!$G$2:$G$263,0)),"#"),1,0))</f>
        <v/>
      </c>
      <c r="BB25">
        <f>IF(OR($D25="",W25="",11&gt;$F25),0,IF(UPPER(TRIM(W25))=IFERROR(INDEX(Key!$C$2:$C$263,MATCH($D25*100+11,Key!$G$2:$G$263,0)),"#"),1,0))</f>
        <v/>
      </c>
      <c r="BC25">
        <f>IF(OR($D25="",X25="",12&gt;$F25),0,IF(UPPER(TRIM(X25))=IFERROR(INDEX(Key!$C$2:$C$263,MATCH($D25*100+12,Key!$G$2:$G$263,0)),"#"),1,0))</f>
        <v/>
      </c>
      <c r="BD25">
        <f>IF(OR($D25="",Y25="",13&gt;$F25),0,IF(UPPER(TRIM(Y25))=IFERROR(INDEX(Key!$C$2:$C$263,MATCH($D25*100+13,Key!$G$2:$G$263,0)),"#"),1,0))</f>
        <v/>
      </c>
      <c r="BE25">
        <f>IF(OR($D25="",Z25="",14&gt;$F25),0,IF(UPPER(TRIM(Z25))=IFERROR(INDEX(Key!$C$2:$C$263,MATCH($D25*100+14,Key!$G$2:$G$263,0)),"#"),1,0))</f>
        <v/>
      </c>
      <c r="BF25">
        <f>IF(OR($D25="",AA25="",15&gt;$F25),0,IF(UPPER(TRIM(AA25))=IFERROR(INDEX(Key!$C$2:$C$263,MATCH($D25*100+15,Key!$G$2:$G$263,0)),"#"),1,0))</f>
        <v/>
      </c>
      <c r="BG25">
        <f>IF(OR($D25="",AB25="",16&gt;$F25),0,IF(UPPER(TRIM(AB25))=IFERROR(INDEX(Key!$C$2:$C$263,MATCH($D25*100+16,Key!$G$2:$G$263,0)),"#"),1,0))</f>
        <v/>
      </c>
      <c r="BH25">
        <f>IF(OR($D25="",AC25="",17&gt;$F25),0,IF(UPPER(TRIM(AC25))=IFERROR(INDEX(Key!$C$2:$C$263,MATCH($D25*100+17,Key!$G$2:$G$263,0)),"#"),1,0))</f>
        <v/>
      </c>
      <c r="BI25">
        <f>IF(OR($D25="",AD25="",18&gt;$F25),0,IF(UPPER(TRIM(AD25))=IFERROR(INDEX(Key!$C$2:$C$263,MATCH($D25*100+18,Key!$G$2:$G$263,0)),"#"),1,0))</f>
        <v/>
      </c>
      <c r="BJ25">
        <f>IF(OR($D25="",AE25="",19&gt;$F25),0,IF(UPPER(TRIM(AE25))=IFERROR(INDEX(Key!$C$2:$C$263,MATCH($D25*100+19,Key!$G$2:$G$263,0)),"#"),1,0))</f>
        <v/>
      </c>
      <c r="BK25">
        <f>IF(OR($D25="",AF25="",20&gt;$F25),0,IF(UPPER(TRIM(AF25))=IFERROR(INDEX(Key!$C$2:$C$263,MATCH($D25*100+20,Key!$G$2:$G$263,0)),"#"),1,0))</f>
        <v/>
      </c>
      <c r="BL25">
        <f>IF(OR($D25="",AG25="",21&gt;$F25),0,IF(UPPER(TRIM(AG25))=IFERROR(INDEX(Key!$C$2:$C$263,MATCH($D25*100+21,Key!$G$2:$G$263,0)),"#"),1,0))</f>
        <v/>
      </c>
      <c r="BM25">
        <f>IF(OR($D25="",AH25="",22&gt;$F25),0,IF(UPPER(TRIM(AH25))=IFERROR(INDEX(Key!$C$2:$C$263,MATCH($D25*100+22,Key!$G$2:$G$263,0)),"#"),1,0))</f>
        <v/>
      </c>
      <c r="BN25">
        <f>IF(OR($D25="",AI25="",23&gt;$F25),0,IF(UPPER(TRIM(AI25))=IFERROR(INDEX(Key!$C$2:$C$263,MATCH($D25*100+23,Key!$G$2:$G$263,0)),"#"),1,0))</f>
        <v/>
      </c>
      <c r="BO25">
        <f>IF(OR($D25="",AJ25="",24&gt;$F25),0,IF(UPPER(TRIM(AJ25))=IFERROR(INDEX(Key!$C$2:$C$263,MATCH($D25*100+24,Key!$G$2:$G$263,0)),"#"),1,0))</f>
        <v/>
      </c>
      <c r="BP25">
        <f>IF(OR($D25="",AK25="",25&gt;$F25),0,IF(UPPER(TRIM(AK25))=IFERROR(INDEX(Key!$C$2:$C$263,MATCH($D25*100+25,Key!$G$2:$G$263,0)),"#"),1,0))</f>
        <v/>
      </c>
      <c r="BQ25">
        <f>IF(OR($D25="",AL25="",26&gt;$F25),0,IF(UPPER(TRIM(AL25))=IFERROR(INDEX(Key!$C$2:$C$263,MATCH($D25*100+26,Key!$G$2:$G$263,0)),"#"),1,0))</f>
        <v/>
      </c>
      <c r="BR25">
        <f>IF(OR($D25="",AM25="",27&gt;$F25),0,IF(UPPER(TRIM(AM25))=IFERROR(INDEX(Key!$C$2:$C$263,MATCH($D25*100+27,Key!$G$2:$G$263,0)),"#"),1,0))</f>
        <v/>
      </c>
      <c r="BS25">
        <f>IF(OR($D25="",AN25="",28&gt;$F25),0,IF(UPPER(TRIM(AN25))=IFERROR(INDEX(Key!$C$2:$C$263,MATCH($D25*100+28,Key!$G$2:$G$263,0)),"#"),1,0))</f>
        <v/>
      </c>
      <c r="BT25">
        <f>IF(OR($D25="",AO25="",29&gt;$F25),0,IF(UPPER(TRIM(AO25))=IFERROR(INDEX(Key!$C$2:$C$263,MATCH($D25*100+29,Key!$G$2:$G$263,0)),"#"),1,0))</f>
        <v/>
      </c>
      <c r="BU25">
        <f>IF(OR($D25="",AP25="",30&gt;$F25),0,IF(UPPER(TRIM(AP25))=IFERROR(INDEX(Key!$C$2:$C$263,MATCH($D25*100+30,Key!$G$2:$G$263,0)),"#"),1,0))</f>
        <v/>
      </c>
    </row>
    <row r="26">
      <c r="A26" s="6" t="n"/>
      <c r="B26" s="6" t="n"/>
      <c r="C26" s="6" t="n"/>
      <c r="D26" s="6" t="n"/>
      <c r="E26" s="7">
        <f>IF($D26="","",IFERROR(INDEX(Papers!$B$2:$B$12,MATCH($D26,Papers!$A$2:$A$12,0)),"?"))</f>
        <v/>
      </c>
      <c r="F26" s="7">
        <f>IF($D26="","",IFERROR(INDEX(Papers!$C$2:$C$12,MATCH($D26,Papers!$A$2:$A$12,0)),0))</f>
        <v/>
      </c>
      <c r="G26" s="7">
        <f>IF($D26="","",COUNTIF(M26:AP26,"?*"))</f>
        <v/>
      </c>
      <c r="H26" s="7">
        <f>IF($D26="","",SUM(AR26:BU26))</f>
        <v/>
      </c>
      <c r="I26" s="7">
        <f>IF($D26="","",G26-H26)</f>
        <v/>
      </c>
      <c r="J26" s="7">
        <f>IF($D26="","",F26-G26)</f>
        <v/>
      </c>
      <c r="K26" s="7">
        <f>IF($D26="","",H26)</f>
        <v/>
      </c>
      <c r="L26" s="7">
        <f>IF($D26="","",IF(F26=0,"",ROUND(H26/F26*100,1)))</f>
        <v/>
      </c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R26">
        <f>IF(OR($D26="",M26="",1&gt;$F26),0,IF(UPPER(TRIM(M26))=IFERROR(INDEX(Key!$C$2:$C$263,MATCH($D26*100+1,Key!$G$2:$G$263,0)),"#"),1,0))</f>
        <v/>
      </c>
      <c r="AS26">
        <f>IF(OR($D26="",N26="",2&gt;$F26),0,IF(UPPER(TRIM(N26))=IFERROR(INDEX(Key!$C$2:$C$263,MATCH($D26*100+2,Key!$G$2:$G$263,0)),"#"),1,0))</f>
        <v/>
      </c>
      <c r="AT26">
        <f>IF(OR($D26="",O26="",3&gt;$F26),0,IF(UPPER(TRIM(O26))=IFERROR(INDEX(Key!$C$2:$C$263,MATCH($D26*100+3,Key!$G$2:$G$263,0)),"#"),1,0))</f>
        <v/>
      </c>
      <c r="AU26">
        <f>IF(OR($D26="",P26="",4&gt;$F26),0,IF(UPPER(TRIM(P26))=IFERROR(INDEX(Key!$C$2:$C$263,MATCH($D26*100+4,Key!$G$2:$G$263,0)),"#"),1,0))</f>
        <v/>
      </c>
      <c r="AV26">
        <f>IF(OR($D26="",Q26="",5&gt;$F26),0,IF(UPPER(TRIM(Q26))=IFERROR(INDEX(Key!$C$2:$C$263,MATCH($D26*100+5,Key!$G$2:$G$263,0)),"#"),1,0))</f>
        <v/>
      </c>
      <c r="AW26">
        <f>IF(OR($D26="",R26="",6&gt;$F26),0,IF(UPPER(TRIM(R26))=IFERROR(INDEX(Key!$C$2:$C$263,MATCH($D26*100+6,Key!$G$2:$G$263,0)),"#"),1,0))</f>
        <v/>
      </c>
      <c r="AX26">
        <f>IF(OR($D26="",S26="",7&gt;$F26),0,IF(UPPER(TRIM(S26))=IFERROR(INDEX(Key!$C$2:$C$263,MATCH($D26*100+7,Key!$G$2:$G$263,0)),"#"),1,0))</f>
        <v/>
      </c>
      <c r="AY26">
        <f>IF(OR($D26="",T26="",8&gt;$F26),0,IF(UPPER(TRIM(T26))=IFERROR(INDEX(Key!$C$2:$C$263,MATCH($D26*100+8,Key!$G$2:$G$263,0)),"#"),1,0))</f>
        <v/>
      </c>
      <c r="AZ26">
        <f>IF(OR($D26="",U26="",9&gt;$F26),0,IF(UPPER(TRIM(U26))=IFERROR(INDEX(Key!$C$2:$C$263,MATCH($D26*100+9,Key!$G$2:$G$263,0)),"#"),1,0))</f>
        <v/>
      </c>
      <c r="BA26">
        <f>IF(OR($D26="",V26="",10&gt;$F26),0,IF(UPPER(TRIM(V26))=IFERROR(INDEX(Key!$C$2:$C$263,MATCH($D26*100+10,Key!$G$2:$G$263,0)),"#"),1,0))</f>
        <v/>
      </c>
      <c r="BB26">
        <f>IF(OR($D26="",W26="",11&gt;$F26),0,IF(UPPER(TRIM(W26))=IFERROR(INDEX(Key!$C$2:$C$263,MATCH($D26*100+11,Key!$G$2:$G$263,0)),"#"),1,0))</f>
        <v/>
      </c>
      <c r="BC26">
        <f>IF(OR($D26="",X26="",12&gt;$F26),0,IF(UPPER(TRIM(X26))=IFERROR(INDEX(Key!$C$2:$C$263,MATCH($D26*100+12,Key!$G$2:$G$263,0)),"#"),1,0))</f>
        <v/>
      </c>
      <c r="BD26">
        <f>IF(OR($D26="",Y26="",13&gt;$F26),0,IF(UPPER(TRIM(Y26))=IFERROR(INDEX(Key!$C$2:$C$263,MATCH($D26*100+13,Key!$G$2:$G$263,0)),"#"),1,0))</f>
        <v/>
      </c>
      <c r="BE26">
        <f>IF(OR($D26="",Z26="",14&gt;$F26),0,IF(UPPER(TRIM(Z26))=IFERROR(INDEX(Key!$C$2:$C$263,MATCH($D26*100+14,Key!$G$2:$G$263,0)),"#"),1,0))</f>
        <v/>
      </c>
      <c r="BF26">
        <f>IF(OR($D26="",AA26="",15&gt;$F26),0,IF(UPPER(TRIM(AA26))=IFERROR(INDEX(Key!$C$2:$C$263,MATCH($D26*100+15,Key!$G$2:$G$263,0)),"#"),1,0))</f>
        <v/>
      </c>
      <c r="BG26">
        <f>IF(OR($D26="",AB26="",16&gt;$F26),0,IF(UPPER(TRIM(AB26))=IFERROR(INDEX(Key!$C$2:$C$263,MATCH($D26*100+16,Key!$G$2:$G$263,0)),"#"),1,0))</f>
        <v/>
      </c>
      <c r="BH26">
        <f>IF(OR($D26="",AC26="",17&gt;$F26),0,IF(UPPER(TRIM(AC26))=IFERROR(INDEX(Key!$C$2:$C$263,MATCH($D26*100+17,Key!$G$2:$G$263,0)),"#"),1,0))</f>
        <v/>
      </c>
      <c r="BI26">
        <f>IF(OR($D26="",AD26="",18&gt;$F26),0,IF(UPPER(TRIM(AD26))=IFERROR(INDEX(Key!$C$2:$C$263,MATCH($D26*100+18,Key!$G$2:$G$263,0)),"#"),1,0))</f>
        <v/>
      </c>
      <c r="BJ26">
        <f>IF(OR($D26="",AE26="",19&gt;$F26),0,IF(UPPER(TRIM(AE26))=IFERROR(INDEX(Key!$C$2:$C$263,MATCH($D26*100+19,Key!$G$2:$G$263,0)),"#"),1,0))</f>
        <v/>
      </c>
      <c r="BK26">
        <f>IF(OR($D26="",AF26="",20&gt;$F26),0,IF(UPPER(TRIM(AF26))=IFERROR(INDEX(Key!$C$2:$C$263,MATCH($D26*100+20,Key!$G$2:$G$263,0)),"#"),1,0))</f>
        <v/>
      </c>
      <c r="BL26">
        <f>IF(OR($D26="",AG26="",21&gt;$F26),0,IF(UPPER(TRIM(AG26))=IFERROR(INDEX(Key!$C$2:$C$263,MATCH($D26*100+21,Key!$G$2:$G$263,0)),"#"),1,0))</f>
        <v/>
      </c>
      <c r="BM26">
        <f>IF(OR($D26="",AH26="",22&gt;$F26),0,IF(UPPER(TRIM(AH26))=IFERROR(INDEX(Key!$C$2:$C$263,MATCH($D26*100+22,Key!$G$2:$G$263,0)),"#"),1,0))</f>
        <v/>
      </c>
      <c r="BN26">
        <f>IF(OR($D26="",AI26="",23&gt;$F26),0,IF(UPPER(TRIM(AI26))=IFERROR(INDEX(Key!$C$2:$C$263,MATCH($D26*100+23,Key!$G$2:$G$263,0)),"#"),1,0))</f>
        <v/>
      </c>
      <c r="BO26">
        <f>IF(OR($D26="",AJ26="",24&gt;$F26),0,IF(UPPER(TRIM(AJ26))=IFERROR(INDEX(Key!$C$2:$C$263,MATCH($D26*100+24,Key!$G$2:$G$263,0)),"#"),1,0))</f>
        <v/>
      </c>
      <c r="BP26">
        <f>IF(OR($D26="",AK26="",25&gt;$F26),0,IF(UPPER(TRIM(AK26))=IFERROR(INDEX(Key!$C$2:$C$263,MATCH($D26*100+25,Key!$G$2:$G$263,0)),"#"),1,0))</f>
        <v/>
      </c>
      <c r="BQ26">
        <f>IF(OR($D26="",AL26="",26&gt;$F26),0,IF(UPPER(TRIM(AL26))=IFERROR(INDEX(Key!$C$2:$C$263,MATCH($D26*100+26,Key!$G$2:$G$263,0)),"#"),1,0))</f>
        <v/>
      </c>
      <c r="BR26">
        <f>IF(OR($D26="",AM26="",27&gt;$F26),0,IF(UPPER(TRIM(AM26))=IFERROR(INDEX(Key!$C$2:$C$263,MATCH($D26*100+27,Key!$G$2:$G$263,0)),"#"),1,0))</f>
        <v/>
      </c>
      <c r="BS26">
        <f>IF(OR($D26="",AN26="",28&gt;$F26),0,IF(UPPER(TRIM(AN26))=IFERROR(INDEX(Key!$C$2:$C$263,MATCH($D26*100+28,Key!$G$2:$G$263,0)),"#"),1,0))</f>
        <v/>
      </c>
      <c r="BT26">
        <f>IF(OR($D26="",AO26="",29&gt;$F26),0,IF(UPPER(TRIM(AO26))=IFERROR(INDEX(Key!$C$2:$C$263,MATCH($D26*100+29,Key!$G$2:$G$263,0)),"#"),1,0))</f>
        <v/>
      </c>
      <c r="BU26">
        <f>IF(OR($D26="",AP26="",30&gt;$F26),0,IF(UPPER(TRIM(AP26))=IFERROR(INDEX(Key!$C$2:$C$263,MATCH($D26*100+30,Key!$G$2:$G$263,0)),"#"),1,0))</f>
        <v/>
      </c>
    </row>
    <row r="27">
      <c r="A27" s="6" t="n"/>
      <c r="B27" s="6" t="n"/>
      <c r="C27" s="6" t="n"/>
      <c r="D27" s="6" t="n"/>
      <c r="E27" s="7">
        <f>IF($D27="","",IFERROR(INDEX(Papers!$B$2:$B$12,MATCH($D27,Papers!$A$2:$A$12,0)),"?"))</f>
        <v/>
      </c>
      <c r="F27" s="7">
        <f>IF($D27="","",IFERROR(INDEX(Papers!$C$2:$C$12,MATCH($D27,Papers!$A$2:$A$12,0)),0))</f>
        <v/>
      </c>
      <c r="G27" s="7">
        <f>IF($D27="","",COUNTIF(M27:AP27,"?*"))</f>
        <v/>
      </c>
      <c r="H27" s="7">
        <f>IF($D27="","",SUM(AR27:BU27))</f>
        <v/>
      </c>
      <c r="I27" s="7">
        <f>IF($D27="","",G27-H27)</f>
        <v/>
      </c>
      <c r="J27" s="7">
        <f>IF($D27="","",F27-G27)</f>
        <v/>
      </c>
      <c r="K27" s="7">
        <f>IF($D27="","",H27)</f>
        <v/>
      </c>
      <c r="L27" s="7">
        <f>IF($D27="","",IF(F27=0,"",ROUND(H27/F27*100,1)))</f>
        <v/>
      </c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R27">
        <f>IF(OR($D27="",M27="",1&gt;$F27),0,IF(UPPER(TRIM(M27))=IFERROR(INDEX(Key!$C$2:$C$263,MATCH($D27*100+1,Key!$G$2:$G$263,0)),"#"),1,0))</f>
        <v/>
      </c>
      <c r="AS27">
        <f>IF(OR($D27="",N27="",2&gt;$F27),0,IF(UPPER(TRIM(N27))=IFERROR(INDEX(Key!$C$2:$C$263,MATCH($D27*100+2,Key!$G$2:$G$263,0)),"#"),1,0))</f>
        <v/>
      </c>
      <c r="AT27">
        <f>IF(OR($D27="",O27="",3&gt;$F27),0,IF(UPPER(TRIM(O27))=IFERROR(INDEX(Key!$C$2:$C$263,MATCH($D27*100+3,Key!$G$2:$G$263,0)),"#"),1,0))</f>
        <v/>
      </c>
      <c r="AU27">
        <f>IF(OR($D27="",P27="",4&gt;$F27),0,IF(UPPER(TRIM(P27))=IFERROR(INDEX(Key!$C$2:$C$263,MATCH($D27*100+4,Key!$G$2:$G$263,0)),"#"),1,0))</f>
        <v/>
      </c>
      <c r="AV27">
        <f>IF(OR($D27="",Q27="",5&gt;$F27),0,IF(UPPER(TRIM(Q27))=IFERROR(INDEX(Key!$C$2:$C$263,MATCH($D27*100+5,Key!$G$2:$G$263,0)),"#"),1,0))</f>
        <v/>
      </c>
      <c r="AW27">
        <f>IF(OR($D27="",R27="",6&gt;$F27),0,IF(UPPER(TRIM(R27))=IFERROR(INDEX(Key!$C$2:$C$263,MATCH($D27*100+6,Key!$G$2:$G$263,0)),"#"),1,0))</f>
        <v/>
      </c>
      <c r="AX27">
        <f>IF(OR($D27="",S27="",7&gt;$F27),0,IF(UPPER(TRIM(S27))=IFERROR(INDEX(Key!$C$2:$C$263,MATCH($D27*100+7,Key!$G$2:$G$263,0)),"#"),1,0))</f>
        <v/>
      </c>
      <c r="AY27">
        <f>IF(OR($D27="",T27="",8&gt;$F27),0,IF(UPPER(TRIM(T27))=IFERROR(INDEX(Key!$C$2:$C$263,MATCH($D27*100+8,Key!$G$2:$G$263,0)),"#"),1,0))</f>
        <v/>
      </c>
      <c r="AZ27">
        <f>IF(OR($D27="",U27="",9&gt;$F27),0,IF(UPPER(TRIM(U27))=IFERROR(INDEX(Key!$C$2:$C$263,MATCH($D27*100+9,Key!$G$2:$G$263,0)),"#"),1,0))</f>
        <v/>
      </c>
      <c r="BA27">
        <f>IF(OR($D27="",V27="",10&gt;$F27),0,IF(UPPER(TRIM(V27))=IFERROR(INDEX(Key!$C$2:$C$263,MATCH($D27*100+10,Key!$G$2:$G$263,0)),"#"),1,0))</f>
        <v/>
      </c>
      <c r="BB27">
        <f>IF(OR($D27="",W27="",11&gt;$F27),0,IF(UPPER(TRIM(W27))=IFERROR(INDEX(Key!$C$2:$C$263,MATCH($D27*100+11,Key!$G$2:$G$263,0)),"#"),1,0))</f>
        <v/>
      </c>
      <c r="BC27">
        <f>IF(OR($D27="",X27="",12&gt;$F27),0,IF(UPPER(TRIM(X27))=IFERROR(INDEX(Key!$C$2:$C$263,MATCH($D27*100+12,Key!$G$2:$G$263,0)),"#"),1,0))</f>
        <v/>
      </c>
      <c r="BD27">
        <f>IF(OR($D27="",Y27="",13&gt;$F27),0,IF(UPPER(TRIM(Y27))=IFERROR(INDEX(Key!$C$2:$C$263,MATCH($D27*100+13,Key!$G$2:$G$263,0)),"#"),1,0))</f>
        <v/>
      </c>
      <c r="BE27">
        <f>IF(OR($D27="",Z27="",14&gt;$F27),0,IF(UPPER(TRIM(Z27))=IFERROR(INDEX(Key!$C$2:$C$263,MATCH($D27*100+14,Key!$G$2:$G$263,0)),"#"),1,0))</f>
        <v/>
      </c>
      <c r="BF27">
        <f>IF(OR($D27="",AA27="",15&gt;$F27),0,IF(UPPER(TRIM(AA27))=IFERROR(INDEX(Key!$C$2:$C$263,MATCH($D27*100+15,Key!$G$2:$G$263,0)),"#"),1,0))</f>
        <v/>
      </c>
      <c r="BG27">
        <f>IF(OR($D27="",AB27="",16&gt;$F27),0,IF(UPPER(TRIM(AB27))=IFERROR(INDEX(Key!$C$2:$C$263,MATCH($D27*100+16,Key!$G$2:$G$263,0)),"#"),1,0))</f>
        <v/>
      </c>
      <c r="BH27">
        <f>IF(OR($D27="",AC27="",17&gt;$F27),0,IF(UPPER(TRIM(AC27))=IFERROR(INDEX(Key!$C$2:$C$263,MATCH($D27*100+17,Key!$G$2:$G$263,0)),"#"),1,0))</f>
        <v/>
      </c>
      <c r="BI27">
        <f>IF(OR($D27="",AD27="",18&gt;$F27),0,IF(UPPER(TRIM(AD27))=IFERROR(INDEX(Key!$C$2:$C$263,MATCH($D27*100+18,Key!$G$2:$G$263,0)),"#"),1,0))</f>
        <v/>
      </c>
      <c r="BJ27">
        <f>IF(OR($D27="",AE27="",19&gt;$F27),0,IF(UPPER(TRIM(AE27))=IFERROR(INDEX(Key!$C$2:$C$263,MATCH($D27*100+19,Key!$G$2:$G$263,0)),"#"),1,0))</f>
        <v/>
      </c>
      <c r="BK27">
        <f>IF(OR($D27="",AF27="",20&gt;$F27),0,IF(UPPER(TRIM(AF27))=IFERROR(INDEX(Key!$C$2:$C$263,MATCH($D27*100+20,Key!$G$2:$G$263,0)),"#"),1,0))</f>
        <v/>
      </c>
      <c r="BL27">
        <f>IF(OR($D27="",AG27="",21&gt;$F27),0,IF(UPPER(TRIM(AG27))=IFERROR(INDEX(Key!$C$2:$C$263,MATCH($D27*100+21,Key!$G$2:$G$263,0)),"#"),1,0))</f>
        <v/>
      </c>
      <c r="BM27">
        <f>IF(OR($D27="",AH27="",22&gt;$F27),0,IF(UPPER(TRIM(AH27))=IFERROR(INDEX(Key!$C$2:$C$263,MATCH($D27*100+22,Key!$G$2:$G$263,0)),"#"),1,0))</f>
        <v/>
      </c>
      <c r="BN27">
        <f>IF(OR($D27="",AI27="",23&gt;$F27),0,IF(UPPER(TRIM(AI27))=IFERROR(INDEX(Key!$C$2:$C$263,MATCH($D27*100+23,Key!$G$2:$G$263,0)),"#"),1,0))</f>
        <v/>
      </c>
      <c r="BO27">
        <f>IF(OR($D27="",AJ27="",24&gt;$F27),0,IF(UPPER(TRIM(AJ27))=IFERROR(INDEX(Key!$C$2:$C$263,MATCH($D27*100+24,Key!$G$2:$G$263,0)),"#"),1,0))</f>
        <v/>
      </c>
      <c r="BP27">
        <f>IF(OR($D27="",AK27="",25&gt;$F27),0,IF(UPPER(TRIM(AK27))=IFERROR(INDEX(Key!$C$2:$C$263,MATCH($D27*100+25,Key!$G$2:$G$263,0)),"#"),1,0))</f>
        <v/>
      </c>
      <c r="BQ27">
        <f>IF(OR($D27="",AL27="",26&gt;$F27),0,IF(UPPER(TRIM(AL27))=IFERROR(INDEX(Key!$C$2:$C$263,MATCH($D27*100+26,Key!$G$2:$G$263,0)),"#"),1,0))</f>
        <v/>
      </c>
      <c r="BR27">
        <f>IF(OR($D27="",AM27="",27&gt;$F27),0,IF(UPPER(TRIM(AM27))=IFERROR(INDEX(Key!$C$2:$C$263,MATCH($D27*100+27,Key!$G$2:$G$263,0)),"#"),1,0))</f>
        <v/>
      </c>
      <c r="BS27">
        <f>IF(OR($D27="",AN27="",28&gt;$F27),0,IF(UPPER(TRIM(AN27))=IFERROR(INDEX(Key!$C$2:$C$263,MATCH($D27*100+28,Key!$G$2:$G$263,0)),"#"),1,0))</f>
        <v/>
      </c>
      <c r="BT27">
        <f>IF(OR($D27="",AO27="",29&gt;$F27),0,IF(UPPER(TRIM(AO27))=IFERROR(INDEX(Key!$C$2:$C$263,MATCH($D27*100+29,Key!$G$2:$G$263,0)),"#"),1,0))</f>
        <v/>
      </c>
      <c r="BU27">
        <f>IF(OR($D27="",AP27="",30&gt;$F27),0,IF(UPPER(TRIM(AP27))=IFERROR(INDEX(Key!$C$2:$C$263,MATCH($D27*100+30,Key!$G$2:$G$263,0)),"#"),1,0))</f>
        <v/>
      </c>
    </row>
    <row r="28">
      <c r="A28" s="6" t="n"/>
      <c r="B28" s="6" t="n"/>
      <c r="C28" s="6" t="n"/>
      <c r="D28" s="6" t="n"/>
      <c r="E28" s="7">
        <f>IF($D28="","",IFERROR(INDEX(Papers!$B$2:$B$12,MATCH($D28,Papers!$A$2:$A$12,0)),"?"))</f>
        <v/>
      </c>
      <c r="F28" s="7">
        <f>IF($D28="","",IFERROR(INDEX(Papers!$C$2:$C$12,MATCH($D28,Papers!$A$2:$A$12,0)),0))</f>
        <v/>
      </c>
      <c r="G28" s="7">
        <f>IF($D28="","",COUNTIF(M28:AP28,"?*"))</f>
        <v/>
      </c>
      <c r="H28" s="7">
        <f>IF($D28="","",SUM(AR28:BU28))</f>
        <v/>
      </c>
      <c r="I28" s="7">
        <f>IF($D28="","",G28-H28)</f>
        <v/>
      </c>
      <c r="J28" s="7">
        <f>IF($D28="","",F28-G28)</f>
        <v/>
      </c>
      <c r="K28" s="7">
        <f>IF($D28="","",H28)</f>
        <v/>
      </c>
      <c r="L28" s="7">
        <f>IF($D28="","",IF(F28=0,"",ROUND(H28/F28*100,1)))</f>
        <v/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R28">
        <f>IF(OR($D28="",M28="",1&gt;$F28),0,IF(UPPER(TRIM(M28))=IFERROR(INDEX(Key!$C$2:$C$263,MATCH($D28*100+1,Key!$G$2:$G$263,0)),"#"),1,0))</f>
        <v/>
      </c>
      <c r="AS28">
        <f>IF(OR($D28="",N28="",2&gt;$F28),0,IF(UPPER(TRIM(N28))=IFERROR(INDEX(Key!$C$2:$C$263,MATCH($D28*100+2,Key!$G$2:$G$263,0)),"#"),1,0))</f>
        <v/>
      </c>
      <c r="AT28">
        <f>IF(OR($D28="",O28="",3&gt;$F28),0,IF(UPPER(TRIM(O28))=IFERROR(INDEX(Key!$C$2:$C$263,MATCH($D28*100+3,Key!$G$2:$G$263,0)),"#"),1,0))</f>
        <v/>
      </c>
      <c r="AU28">
        <f>IF(OR($D28="",P28="",4&gt;$F28),0,IF(UPPER(TRIM(P28))=IFERROR(INDEX(Key!$C$2:$C$263,MATCH($D28*100+4,Key!$G$2:$G$263,0)),"#"),1,0))</f>
        <v/>
      </c>
      <c r="AV28">
        <f>IF(OR($D28="",Q28="",5&gt;$F28),0,IF(UPPER(TRIM(Q28))=IFERROR(INDEX(Key!$C$2:$C$263,MATCH($D28*100+5,Key!$G$2:$G$263,0)),"#"),1,0))</f>
        <v/>
      </c>
      <c r="AW28">
        <f>IF(OR($D28="",R28="",6&gt;$F28),0,IF(UPPER(TRIM(R28))=IFERROR(INDEX(Key!$C$2:$C$263,MATCH($D28*100+6,Key!$G$2:$G$263,0)),"#"),1,0))</f>
        <v/>
      </c>
      <c r="AX28">
        <f>IF(OR($D28="",S28="",7&gt;$F28),0,IF(UPPER(TRIM(S28))=IFERROR(INDEX(Key!$C$2:$C$263,MATCH($D28*100+7,Key!$G$2:$G$263,0)),"#"),1,0))</f>
        <v/>
      </c>
      <c r="AY28">
        <f>IF(OR($D28="",T28="",8&gt;$F28),0,IF(UPPER(TRIM(T28))=IFERROR(INDEX(Key!$C$2:$C$263,MATCH($D28*100+8,Key!$G$2:$G$263,0)),"#"),1,0))</f>
        <v/>
      </c>
      <c r="AZ28">
        <f>IF(OR($D28="",U28="",9&gt;$F28),0,IF(UPPER(TRIM(U28))=IFERROR(INDEX(Key!$C$2:$C$263,MATCH($D28*100+9,Key!$G$2:$G$263,0)),"#"),1,0))</f>
        <v/>
      </c>
      <c r="BA28">
        <f>IF(OR($D28="",V28="",10&gt;$F28),0,IF(UPPER(TRIM(V28))=IFERROR(INDEX(Key!$C$2:$C$263,MATCH($D28*100+10,Key!$G$2:$G$263,0)),"#"),1,0))</f>
        <v/>
      </c>
      <c r="BB28">
        <f>IF(OR($D28="",W28="",11&gt;$F28),0,IF(UPPER(TRIM(W28))=IFERROR(INDEX(Key!$C$2:$C$263,MATCH($D28*100+11,Key!$G$2:$G$263,0)),"#"),1,0))</f>
        <v/>
      </c>
      <c r="BC28">
        <f>IF(OR($D28="",X28="",12&gt;$F28),0,IF(UPPER(TRIM(X28))=IFERROR(INDEX(Key!$C$2:$C$263,MATCH($D28*100+12,Key!$G$2:$G$263,0)),"#"),1,0))</f>
        <v/>
      </c>
      <c r="BD28">
        <f>IF(OR($D28="",Y28="",13&gt;$F28),0,IF(UPPER(TRIM(Y28))=IFERROR(INDEX(Key!$C$2:$C$263,MATCH($D28*100+13,Key!$G$2:$G$263,0)),"#"),1,0))</f>
        <v/>
      </c>
      <c r="BE28">
        <f>IF(OR($D28="",Z28="",14&gt;$F28),0,IF(UPPER(TRIM(Z28))=IFERROR(INDEX(Key!$C$2:$C$263,MATCH($D28*100+14,Key!$G$2:$G$263,0)),"#"),1,0))</f>
        <v/>
      </c>
      <c r="BF28">
        <f>IF(OR($D28="",AA28="",15&gt;$F28),0,IF(UPPER(TRIM(AA28))=IFERROR(INDEX(Key!$C$2:$C$263,MATCH($D28*100+15,Key!$G$2:$G$263,0)),"#"),1,0))</f>
        <v/>
      </c>
      <c r="BG28">
        <f>IF(OR($D28="",AB28="",16&gt;$F28),0,IF(UPPER(TRIM(AB28))=IFERROR(INDEX(Key!$C$2:$C$263,MATCH($D28*100+16,Key!$G$2:$G$263,0)),"#"),1,0))</f>
        <v/>
      </c>
      <c r="BH28">
        <f>IF(OR($D28="",AC28="",17&gt;$F28),0,IF(UPPER(TRIM(AC28))=IFERROR(INDEX(Key!$C$2:$C$263,MATCH($D28*100+17,Key!$G$2:$G$263,0)),"#"),1,0))</f>
        <v/>
      </c>
      <c r="BI28">
        <f>IF(OR($D28="",AD28="",18&gt;$F28),0,IF(UPPER(TRIM(AD28))=IFERROR(INDEX(Key!$C$2:$C$263,MATCH($D28*100+18,Key!$G$2:$G$263,0)),"#"),1,0))</f>
        <v/>
      </c>
      <c r="BJ28">
        <f>IF(OR($D28="",AE28="",19&gt;$F28),0,IF(UPPER(TRIM(AE28))=IFERROR(INDEX(Key!$C$2:$C$263,MATCH($D28*100+19,Key!$G$2:$G$263,0)),"#"),1,0))</f>
        <v/>
      </c>
      <c r="BK28">
        <f>IF(OR($D28="",AF28="",20&gt;$F28),0,IF(UPPER(TRIM(AF28))=IFERROR(INDEX(Key!$C$2:$C$263,MATCH($D28*100+20,Key!$G$2:$G$263,0)),"#"),1,0))</f>
        <v/>
      </c>
      <c r="BL28">
        <f>IF(OR($D28="",AG28="",21&gt;$F28),0,IF(UPPER(TRIM(AG28))=IFERROR(INDEX(Key!$C$2:$C$263,MATCH($D28*100+21,Key!$G$2:$G$263,0)),"#"),1,0))</f>
        <v/>
      </c>
      <c r="BM28">
        <f>IF(OR($D28="",AH28="",22&gt;$F28),0,IF(UPPER(TRIM(AH28))=IFERROR(INDEX(Key!$C$2:$C$263,MATCH($D28*100+22,Key!$G$2:$G$263,0)),"#"),1,0))</f>
        <v/>
      </c>
      <c r="BN28">
        <f>IF(OR($D28="",AI28="",23&gt;$F28),0,IF(UPPER(TRIM(AI28))=IFERROR(INDEX(Key!$C$2:$C$263,MATCH($D28*100+23,Key!$G$2:$G$263,0)),"#"),1,0))</f>
        <v/>
      </c>
      <c r="BO28">
        <f>IF(OR($D28="",AJ28="",24&gt;$F28),0,IF(UPPER(TRIM(AJ28))=IFERROR(INDEX(Key!$C$2:$C$263,MATCH($D28*100+24,Key!$G$2:$G$263,0)),"#"),1,0))</f>
        <v/>
      </c>
      <c r="BP28">
        <f>IF(OR($D28="",AK28="",25&gt;$F28),0,IF(UPPER(TRIM(AK28))=IFERROR(INDEX(Key!$C$2:$C$263,MATCH($D28*100+25,Key!$G$2:$G$263,0)),"#"),1,0))</f>
        <v/>
      </c>
      <c r="BQ28">
        <f>IF(OR($D28="",AL28="",26&gt;$F28),0,IF(UPPER(TRIM(AL28))=IFERROR(INDEX(Key!$C$2:$C$263,MATCH($D28*100+26,Key!$G$2:$G$263,0)),"#"),1,0))</f>
        <v/>
      </c>
      <c r="BR28">
        <f>IF(OR($D28="",AM28="",27&gt;$F28),0,IF(UPPER(TRIM(AM28))=IFERROR(INDEX(Key!$C$2:$C$263,MATCH($D28*100+27,Key!$G$2:$G$263,0)),"#"),1,0))</f>
        <v/>
      </c>
      <c r="BS28">
        <f>IF(OR($D28="",AN28="",28&gt;$F28),0,IF(UPPER(TRIM(AN28))=IFERROR(INDEX(Key!$C$2:$C$263,MATCH($D28*100+28,Key!$G$2:$G$263,0)),"#"),1,0))</f>
        <v/>
      </c>
      <c r="BT28">
        <f>IF(OR($D28="",AO28="",29&gt;$F28),0,IF(UPPER(TRIM(AO28))=IFERROR(INDEX(Key!$C$2:$C$263,MATCH($D28*100+29,Key!$G$2:$G$263,0)),"#"),1,0))</f>
        <v/>
      </c>
      <c r="BU28">
        <f>IF(OR($D28="",AP28="",30&gt;$F28),0,IF(UPPER(TRIM(AP28))=IFERROR(INDEX(Key!$C$2:$C$263,MATCH($D28*100+30,Key!$G$2:$G$263,0)),"#"),1,0))</f>
        <v/>
      </c>
    </row>
    <row r="29">
      <c r="A29" s="6" t="n"/>
      <c r="B29" s="6" t="n"/>
      <c r="C29" s="6" t="n"/>
      <c r="D29" s="6" t="n"/>
      <c r="E29" s="7">
        <f>IF($D29="","",IFERROR(INDEX(Papers!$B$2:$B$12,MATCH($D29,Papers!$A$2:$A$12,0)),"?"))</f>
        <v/>
      </c>
      <c r="F29" s="7">
        <f>IF($D29="","",IFERROR(INDEX(Papers!$C$2:$C$12,MATCH($D29,Papers!$A$2:$A$12,0)),0))</f>
        <v/>
      </c>
      <c r="G29" s="7">
        <f>IF($D29="","",COUNTIF(M29:AP29,"?*"))</f>
        <v/>
      </c>
      <c r="H29" s="7">
        <f>IF($D29="","",SUM(AR29:BU29))</f>
        <v/>
      </c>
      <c r="I29" s="7">
        <f>IF($D29="","",G29-H29)</f>
        <v/>
      </c>
      <c r="J29" s="7">
        <f>IF($D29="","",F29-G29)</f>
        <v/>
      </c>
      <c r="K29" s="7">
        <f>IF($D29="","",H29)</f>
        <v/>
      </c>
      <c r="L29" s="7">
        <f>IF($D29="","",IF(F29=0,"",ROUND(H29/F29*100,1)))</f>
        <v/>
      </c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R29">
        <f>IF(OR($D29="",M29="",1&gt;$F29),0,IF(UPPER(TRIM(M29))=IFERROR(INDEX(Key!$C$2:$C$263,MATCH($D29*100+1,Key!$G$2:$G$263,0)),"#"),1,0))</f>
        <v/>
      </c>
      <c r="AS29">
        <f>IF(OR($D29="",N29="",2&gt;$F29),0,IF(UPPER(TRIM(N29))=IFERROR(INDEX(Key!$C$2:$C$263,MATCH($D29*100+2,Key!$G$2:$G$263,0)),"#"),1,0))</f>
        <v/>
      </c>
      <c r="AT29">
        <f>IF(OR($D29="",O29="",3&gt;$F29),0,IF(UPPER(TRIM(O29))=IFERROR(INDEX(Key!$C$2:$C$263,MATCH($D29*100+3,Key!$G$2:$G$263,0)),"#"),1,0))</f>
        <v/>
      </c>
      <c r="AU29">
        <f>IF(OR($D29="",P29="",4&gt;$F29),0,IF(UPPER(TRIM(P29))=IFERROR(INDEX(Key!$C$2:$C$263,MATCH($D29*100+4,Key!$G$2:$G$263,0)),"#"),1,0))</f>
        <v/>
      </c>
      <c r="AV29">
        <f>IF(OR($D29="",Q29="",5&gt;$F29),0,IF(UPPER(TRIM(Q29))=IFERROR(INDEX(Key!$C$2:$C$263,MATCH($D29*100+5,Key!$G$2:$G$263,0)),"#"),1,0))</f>
        <v/>
      </c>
      <c r="AW29">
        <f>IF(OR($D29="",R29="",6&gt;$F29),0,IF(UPPER(TRIM(R29))=IFERROR(INDEX(Key!$C$2:$C$263,MATCH($D29*100+6,Key!$G$2:$G$263,0)),"#"),1,0))</f>
        <v/>
      </c>
      <c r="AX29">
        <f>IF(OR($D29="",S29="",7&gt;$F29),0,IF(UPPER(TRIM(S29))=IFERROR(INDEX(Key!$C$2:$C$263,MATCH($D29*100+7,Key!$G$2:$G$263,0)),"#"),1,0))</f>
        <v/>
      </c>
      <c r="AY29">
        <f>IF(OR($D29="",T29="",8&gt;$F29),0,IF(UPPER(TRIM(T29))=IFERROR(INDEX(Key!$C$2:$C$263,MATCH($D29*100+8,Key!$G$2:$G$263,0)),"#"),1,0))</f>
        <v/>
      </c>
      <c r="AZ29">
        <f>IF(OR($D29="",U29="",9&gt;$F29),0,IF(UPPER(TRIM(U29))=IFERROR(INDEX(Key!$C$2:$C$263,MATCH($D29*100+9,Key!$G$2:$G$263,0)),"#"),1,0))</f>
        <v/>
      </c>
      <c r="BA29">
        <f>IF(OR($D29="",V29="",10&gt;$F29),0,IF(UPPER(TRIM(V29))=IFERROR(INDEX(Key!$C$2:$C$263,MATCH($D29*100+10,Key!$G$2:$G$263,0)),"#"),1,0))</f>
        <v/>
      </c>
      <c r="BB29">
        <f>IF(OR($D29="",W29="",11&gt;$F29),0,IF(UPPER(TRIM(W29))=IFERROR(INDEX(Key!$C$2:$C$263,MATCH($D29*100+11,Key!$G$2:$G$263,0)),"#"),1,0))</f>
        <v/>
      </c>
      <c r="BC29">
        <f>IF(OR($D29="",X29="",12&gt;$F29),0,IF(UPPER(TRIM(X29))=IFERROR(INDEX(Key!$C$2:$C$263,MATCH($D29*100+12,Key!$G$2:$G$263,0)),"#"),1,0))</f>
        <v/>
      </c>
      <c r="BD29">
        <f>IF(OR($D29="",Y29="",13&gt;$F29),0,IF(UPPER(TRIM(Y29))=IFERROR(INDEX(Key!$C$2:$C$263,MATCH($D29*100+13,Key!$G$2:$G$263,0)),"#"),1,0))</f>
        <v/>
      </c>
      <c r="BE29">
        <f>IF(OR($D29="",Z29="",14&gt;$F29),0,IF(UPPER(TRIM(Z29))=IFERROR(INDEX(Key!$C$2:$C$263,MATCH($D29*100+14,Key!$G$2:$G$263,0)),"#"),1,0))</f>
        <v/>
      </c>
      <c r="BF29">
        <f>IF(OR($D29="",AA29="",15&gt;$F29),0,IF(UPPER(TRIM(AA29))=IFERROR(INDEX(Key!$C$2:$C$263,MATCH($D29*100+15,Key!$G$2:$G$263,0)),"#"),1,0))</f>
        <v/>
      </c>
      <c r="BG29">
        <f>IF(OR($D29="",AB29="",16&gt;$F29),0,IF(UPPER(TRIM(AB29))=IFERROR(INDEX(Key!$C$2:$C$263,MATCH($D29*100+16,Key!$G$2:$G$263,0)),"#"),1,0))</f>
        <v/>
      </c>
      <c r="BH29">
        <f>IF(OR($D29="",AC29="",17&gt;$F29),0,IF(UPPER(TRIM(AC29))=IFERROR(INDEX(Key!$C$2:$C$263,MATCH($D29*100+17,Key!$G$2:$G$263,0)),"#"),1,0))</f>
        <v/>
      </c>
      <c r="BI29">
        <f>IF(OR($D29="",AD29="",18&gt;$F29),0,IF(UPPER(TRIM(AD29))=IFERROR(INDEX(Key!$C$2:$C$263,MATCH($D29*100+18,Key!$G$2:$G$263,0)),"#"),1,0))</f>
        <v/>
      </c>
      <c r="BJ29">
        <f>IF(OR($D29="",AE29="",19&gt;$F29),0,IF(UPPER(TRIM(AE29))=IFERROR(INDEX(Key!$C$2:$C$263,MATCH($D29*100+19,Key!$G$2:$G$263,0)),"#"),1,0))</f>
        <v/>
      </c>
      <c r="BK29">
        <f>IF(OR($D29="",AF29="",20&gt;$F29),0,IF(UPPER(TRIM(AF29))=IFERROR(INDEX(Key!$C$2:$C$263,MATCH($D29*100+20,Key!$G$2:$G$263,0)),"#"),1,0))</f>
        <v/>
      </c>
      <c r="BL29">
        <f>IF(OR($D29="",AG29="",21&gt;$F29),0,IF(UPPER(TRIM(AG29))=IFERROR(INDEX(Key!$C$2:$C$263,MATCH($D29*100+21,Key!$G$2:$G$263,0)),"#"),1,0))</f>
        <v/>
      </c>
      <c r="BM29">
        <f>IF(OR($D29="",AH29="",22&gt;$F29),0,IF(UPPER(TRIM(AH29))=IFERROR(INDEX(Key!$C$2:$C$263,MATCH($D29*100+22,Key!$G$2:$G$263,0)),"#"),1,0))</f>
        <v/>
      </c>
      <c r="BN29">
        <f>IF(OR($D29="",AI29="",23&gt;$F29),0,IF(UPPER(TRIM(AI29))=IFERROR(INDEX(Key!$C$2:$C$263,MATCH($D29*100+23,Key!$G$2:$G$263,0)),"#"),1,0))</f>
        <v/>
      </c>
      <c r="BO29">
        <f>IF(OR($D29="",AJ29="",24&gt;$F29),0,IF(UPPER(TRIM(AJ29))=IFERROR(INDEX(Key!$C$2:$C$263,MATCH($D29*100+24,Key!$G$2:$G$263,0)),"#"),1,0))</f>
        <v/>
      </c>
      <c r="BP29">
        <f>IF(OR($D29="",AK29="",25&gt;$F29),0,IF(UPPER(TRIM(AK29))=IFERROR(INDEX(Key!$C$2:$C$263,MATCH($D29*100+25,Key!$G$2:$G$263,0)),"#"),1,0))</f>
        <v/>
      </c>
      <c r="BQ29">
        <f>IF(OR($D29="",AL29="",26&gt;$F29),0,IF(UPPER(TRIM(AL29))=IFERROR(INDEX(Key!$C$2:$C$263,MATCH($D29*100+26,Key!$G$2:$G$263,0)),"#"),1,0))</f>
        <v/>
      </c>
      <c r="BR29">
        <f>IF(OR($D29="",AM29="",27&gt;$F29),0,IF(UPPER(TRIM(AM29))=IFERROR(INDEX(Key!$C$2:$C$263,MATCH($D29*100+27,Key!$G$2:$G$263,0)),"#"),1,0))</f>
        <v/>
      </c>
      <c r="BS29">
        <f>IF(OR($D29="",AN29="",28&gt;$F29),0,IF(UPPER(TRIM(AN29))=IFERROR(INDEX(Key!$C$2:$C$263,MATCH($D29*100+28,Key!$G$2:$G$263,0)),"#"),1,0))</f>
        <v/>
      </c>
      <c r="BT29">
        <f>IF(OR($D29="",AO29="",29&gt;$F29),0,IF(UPPER(TRIM(AO29))=IFERROR(INDEX(Key!$C$2:$C$263,MATCH($D29*100+29,Key!$G$2:$G$263,0)),"#"),1,0))</f>
        <v/>
      </c>
      <c r="BU29">
        <f>IF(OR($D29="",AP29="",30&gt;$F29),0,IF(UPPER(TRIM(AP29))=IFERROR(INDEX(Key!$C$2:$C$263,MATCH($D29*100+30,Key!$G$2:$G$263,0)),"#"),1,0))</f>
        <v/>
      </c>
    </row>
    <row r="30">
      <c r="A30" s="6" t="n"/>
      <c r="B30" s="6" t="n"/>
      <c r="C30" s="6" t="n"/>
      <c r="D30" s="6" t="n"/>
      <c r="E30" s="7">
        <f>IF($D30="","",IFERROR(INDEX(Papers!$B$2:$B$12,MATCH($D30,Papers!$A$2:$A$12,0)),"?"))</f>
        <v/>
      </c>
      <c r="F30" s="7">
        <f>IF($D30="","",IFERROR(INDEX(Papers!$C$2:$C$12,MATCH($D30,Papers!$A$2:$A$12,0)),0))</f>
        <v/>
      </c>
      <c r="G30" s="7">
        <f>IF($D30="","",COUNTIF(M30:AP30,"?*"))</f>
        <v/>
      </c>
      <c r="H30" s="7">
        <f>IF($D30="","",SUM(AR30:BU30))</f>
        <v/>
      </c>
      <c r="I30" s="7">
        <f>IF($D30="","",G30-H30)</f>
        <v/>
      </c>
      <c r="J30" s="7">
        <f>IF($D30="","",F30-G30)</f>
        <v/>
      </c>
      <c r="K30" s="7">
        <f>IF($D30="","",H30)</f>
        <v/>
      </c>
      <c r="L30" s="7">
        <f>IF($D30="","",IF(F30=0,"",ROUND(H30/F30*100,1)))</f>
        <v/>
      </c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R30">
        <f>IF(OR($D30="",M30="",1&gt;$F30),0,IF(UPPER(TRIM(M30))=IFERROR(INDEX(Key!$C$2:$C$263,MATCH($D30*100+1,Key!$G$2:$G$263,0)),"#"),1,0))</f>
        <v/>
      </c>
      <c r="AS30">
        <f>IF(OR($D30="",N30="",2&gt;$F30),0,IF(UPPER(TRIM(N30))=IFERROR(INDEX(Key!$C$2:$C$263,MATCH($D30*100+2,Key!$G$2:$G$263,0)),"#"),1,0))</f>
        <v/>
      </c>
      <c r="AT30">
        <f>IF(OR($D30="",O30="",3&gt;$F30),0,IF(UPPER(TRIM(O30))=IFERROR(INDEX(Key!$C$2:$C$263,MATCH($D30*100+3,Key!$G$2:$G$263,0)),"#"),1,0))</f>
        <v/>
      </c>
      <c r="AU30">
        <f>IF(OR($D30="",P30="",4&gt;$F30),0,IF(UPPER(TRIM(P30))=IFERROR(INDEX(Key!$C$2:$C$263,MATCH($D30*100+4,Key!$G$2:$G$263,0)),"#"),1,0))</f>
        <v/>
      </c>
      <c r="AV30">
        <f>IF(OR($D30="",Q30="",5&gt;$F30),0,IF(UPPER(TRIM(Q30))=IFERROR(INDEX(Key!$C$2:$C$263,MATCH($D30*100+5,Key!$G$2:$G$263,0)),"#"),1,0))</f>
        <v/>
      </c>
      <c r="AW30">
        <f>IF(OR($D30="",R30="",6&gt;$F30),0,IF(UPPER(TRIM(R30))=IFERROR(INDEX(Key!$C$2:$C$263,MATCH($D30*100+6,Key!$G$2:$G$263,0)),"#"),1,0))</f>
        <v/>
      </c>
      <c r="AX30">
        <f>IF(OR($D30="",S30="",7&gt;$F30),0,IF(UPPER(TRIM(S30))=IFERROR(INDEX(Key!$C$2:$C$263,MATCH($D30*100+7,Key!$G$2:$G$263,0)),"#"),1,0))</f>
        <v/>
      </c>
      <c r="AY30">
        <f>IF(OR($D30="",T30="",8&gt;$F30),0,IF(UPPER(TRIM(T30))=IFERROR(INDEX(Key!$C$2:$C$263,MATCH($D30*100+8,Key!$G$2:$G$263,0)),"#"),1,0))</f>
        <v/>
      </c>
      <c r="AZ30">
        <f>IF(OR($D30="",U30="",9&gt;$F30),0,IF(UPPER(TRIM(U30))=IFERROR(INDEX(Key!$C$2:$C$263,MATCH($D30*100+9,Key!$G$2:$G$263,0)),"#"),1,0))</f>
        <v/>
      </c>
      <c r="BA30">
        <f>IF(OR($D30="",V30="",10&gt;$F30),0,IF(UPPER(TRIM(V30))=IFERROR(INDEX(Key!$C$2:$C$263,MATCH($D30*100+10,Key!$G$2:$G$263,0)),"#"),1,0))</f>
        <v/>
      </c>
      <c r="BB30">
        <f>IF(OR($D30="",W30="",11&gt;$F30),0,IF(UPPER(TRIM(W30))=IFERROR(INDEX(Key!$C$2:$C$263,MATCH($D30*100+11,Key!$G$2:$G$263,0)),"#"),1,0))</f>
        <v/>
      </c>
      <c r="BC30">
        <f>IF(OR($D30="",X30="",12&gt;$F30),0,IF(UPPER(TRIM(X30))=IFERROR(INDEX(Key!$C$2:$C$263,MATCH($D30*100+12,Key!$G$2:$G$263,0)),"#"),1,0))</f>
        <v/>
      </c>
      <c r="BD30">
        <f>IF(OR($D30="",Y30="",13&gt;$F30),0,IF(UPPER(TRIM(Y30))=IFERROR(INDEX(Key!$C$2:$C$263,MATCH($D30*100+13,Key!$G$2:$G$263,0)),"#"),1,0))</f>
        <v/>
      </c>
      <c r="BE30">
        <f>IF(OR($D30="",Z30="",14&gt;$F30),0,IF(UPPER(TRIM(Z30))=IFERROR(INDEX(Key!$C$2:$C$263,MATCH($D30*100+14,Key!$G$2:$G$263,0)),"#"),1,0))</f>
        <v/>
      </c>
      <c r="BF30">
        <f>IF(OR($D30="",AA30="",15&gt;$F30),0,IF(UPPER(TRIM(AA30))=IFERROR(INDEX(Key!$C$2:$C$263,MATCH($D30*100+15,Key!$G$2:$G$263,0)),"#"),1,0))</f>
        <v/>
      </c>
      <c r="BG30">
        <f>IF(OR($D30="",AB30="",16&gt;$F30),0,IF(UPPER(TRIM(AB30))=IFERROR(INDEX(Key!$C$2:$C$263,MATCH($D30*100+16,Key!$G$2:$G$263,0)),"#"),1,0))</f>
        <v/>
      </c>
      <c r="BH30">
        <f>IF(OR($D30="",AC30="",17&gt;$F30),0,IF(UPPER(TRIM(AC30))=IFERROR(INDEX(Key!$C$2:$C$263,MATCH($D30*100+17,Key!$G$2:$G$263,0)),"#"),1,0))</f>
        <v/>
      </c>
      <c r="BI30">
        <f>IF(OR($D30="",AD30="",18&gt;$F30),0,IF(UPPER(TRIM(AD30))=IFERROR(INDEX(Key!$C$2:$C$263,MATCH($D30*100+18,Key!$G$2:$G$263,0)),"#"),1,0))</f>
        <v/>
      </c>
      <c r="BJ30">
        <f>IF(OR($D30="",AE30="",19&gt;$F30),0,IF(UPPER(TRIM(AE30))=IFERROR(INDEX(Key!$C$2:$C$263,MATCH($D30*100+19,Key!$G$2:$G$263,0)),"#"),1,0))</f>
        <v/>
      </c>
      <c r="BK30">
        <f>IF(OR($D30="",AF30="",20&gt;$F30),0,IF(UPPER(TRIM(AF30))=IFERROR(INDEX(Key!$C$2:$C$263,MATCH($D30*100+20,Key!$G$2:$G$263,0)),"#"),1,0))</f>
        <v/>
      </c>
      <c r="BL30">
        <f>IF(OR($D30="",AG30="",21&gt;$F30),0,IF(UPPER(TRIM(AG30))=IFERROR(INDEX(Key!$C$2:$C$263,MATCH($D30*100+21,Key!$G$2:$G$263,0)),"#"),1,0))</f>
        <v/>
      </c>
      <c r="BM30">
        <f>IF(OR($D30="",AH30="",22&gt;$F30),0,IF(UPPER(TRIM(AH30))=IFERROR(INDEX(Key!$C$2:$C$263,MATCH($D30*100+22,Key!$G$2:$G$263,0)),"#"),1,0))</f>
        <v/>
      </c>
      <c r="BN30">
        <f>IF(OR($D30="",AI30="",23&gt;$F30),0,IF(UPPER(TRIM(AI30))=IFERROR(INDEX(Key!$C$2:$C$263,MATCH($D30*100+23,Key!$G$2:$G$263,0)),"#"),1,0))</f>
        <v/>
      </c>
      <c r="BO30">
        <f>IF(OR($D30="",AJ30="",24&gt;$F30),0,IF(UPPER(TRIM(AJ30))=IFERROR(INDEX(Key!$C$2:$C$263,MATCH($D30*100+24,Key!$G$2:$G$263,0)),"#"),1,0))</f>
        <v/>
      </c>
      <c r="BP30">
        <f>IF(OR($D30="",AK30="",25&gt;$F30),0,IF(UPPER(TRIM(AK30))=IFERROR(INDEX(Key!$C$2:$C$263,MATCH($D30*100+25,Key!$G$2:$G$263,0)),"#"),1,0))</f>
        <v/>
      </c>
      <c r="BQ30">
        <f>IF(OR($D30="",AL30="",26&gt;$F30),0,IF(UPPER(TRIM(AL30))=IFERROR(INDEX(Key!$C$2:$C$263,MATCH($D30*100+26,Key!$G$2:$G$263,0)),"#"),1,0))</f>
        <v/>
      </c>
      <c r="BR30">
        <f>IF(OR($D30="",AM30="",27&gt;$F30),0,IF(UPPER(TRIM(AM30))=IFERROR(INDEX(Key!$C$2:$C$263,MATCH($D30*100+27,Key!$G$2:$G$263,0)),"#"),1,0))</f>
        <v/>
      </c>
      <c r="BS30">
        <f>IF(OR($D30="",AN30="",28&gt;$F30),0,IF(UPPER(TRIM(AN30))=IFERROR(INDEX(Key!$C$2:$C$263,MATCH($D30*100+28,Key!$G$2:$G$263,0)),"#"),1,0))</f>
        <v/>
      </c>
      <c r="BT30">
        <f>IF(OR($D30="",AO30="",29&gt;$F30),0,IF(UPPER(TRIM(AO30))=IFERROR(INDEX(Key!$C$2:$C$263,MATCH($D30*100+29,Key!$G$2:$G$263,0)),"#"),1,0))</f>
        <v/>
      </c>
      <c r="BU30">
        <f>IF(OR($D30="",AP30="",30&gt;$F30),0,IF(UPPER(TRIM(AP30))=IFERROR(INDEX(Key!$C$2:$C$263,MATCH($D30*100+30,Key!$G$2:$G$263,0)),"#"),1,0))</f>
        <v/>
      </c>
    </row>
    <row r="31">
      <c r="A31" s="6" t="n"/>
      <c r="B31" s="6" t="n"/>
      <c r="C31" s="6" t="n"/>
      <c r="D31" s="6" t="n"/>
      <c r="E31" s="7">
        <f>IF($D31="","",IFERROR(INDEX(Papers!$B$2:$B$12,MATCH($D31,Papers!$A$2:$A$12,0)),"?"))</f>
        <v/>
      </c>
      <c r="F31" s="7">
        <f>IF($D31="","",IFERROR(INDEX(Papers!$C$2:$C$12,MATCH($D31,Papers!$A$2:$A$12,0)),0))</f>
        <v/>
      </c>
      <c r="G31" s="7">
        <f>IF($D31="","",COUNTIF(M31:AP31,"?*"))</f>
        <v/>
      </c>
      <c r="H31" s="7">
        <f>IF($D31="","",SUM(AR31:BU31))</f>
        <v/>
      </c>
      <c r="I31" s="7">
        <f>IF($D31="","",G31-H31)</f>
        <v/>
      </c>
      <c r="J31" s="7">
        <f>IF($D31="","",F31-G31)</f>
        <v/>
      </c>
      <c r="K31" s="7">
        <f>IF($D31="","",H31)</f>
        <v/>
      </c>
      <c r="L31" s="7">
        <f>IF($D31="","",IF(F31=0,"",ROUND(H31/F31*100,1)))</f>
        <v/>
      </c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R31">
        <f>IF(OR($D31="",M31="",1&gt;$F31),0,IF(UPPER(TRIM(M31))=IFERROR(INDEX(Key!$C$2:$C$263,MATCH($D31*100+1,Key!$G$2:$G$263,0)),"#"),1,0))</f>
        <v/>
      </c>
      <c r="AS31">
        <f>IF(OR($D31="",N31="",2&gt;$F31),0,IF(UPPER(TRIM(N31))=IFERROR(INDEX(Key!$C$2:$C$263,MATCH($D31*100+2,Key!$G$2:$G$263,0)),"#"),1,0))</f>
        <v/>
      </c>
      <c r="AT31">
        <f>IF(OR($D31="",O31="",3&gt;$F31),0,IF(UPPER(TRIM(O31))=IFERROR(INDEX(Key!$C$2:$C$263,MATCH($D31*100+3,Key!$G$2:$G$263,0)),"#"),1,0))</f>
        <v/>
      </c>
      <c r="AU31">
        <f>IF(OR($D31="",P31="",4&gt;$F31),0,IF(UPPER(TRIM(P31))=IFERROR(INDEX(Key!$C$2:$C$263,MATCH($D31*100+4,Key!$G$2:$G$263,0)),"#"),1,0))</f>
        <v/>
      </c>
      <c r="AV31">
        <f>IF(OR($D31="",Q31="",5&gt;$F31),0,IF(UPPER(TRIM(Q31))=IFERROR(INDEX(Key!$C$2:$C$263,MATCH($D31*100+5,Key!$G$2:$G$263,0)),"#"),1,0))</f>
        <v/>
      </c>
      <c r="AW31">
        <f>IF(OR($D31="",R31="",6&gt;$F31),0,IF(UPPER(TRIM(R31))=IFERROR(INDEX(Key!$C$2:$C$263,MATCH($D31*100+6,Key!$G$2:$G$263,0)),"#"),1,0))</f>
        <v/>
      </c>
      <c r="AX31">
        <f>IF(OR($D31="",S31="",7&gt;$F31),0,IF(UPPER(TRIM(S31))=IFERROR(INDEX(Key!$C$2:$C$263,MATCH($D31*100+7,Key!$G$2:$G$263,0)),"#"),1,0))</f>
        <v/>
      </c>
      <c r="AY31">
        <f>IF(OR($D31="",T31="",8&gt;$F31),0,IF(UPPER(TRIM(T31))=IFERROR(INDEX(Key!$C$2:$C$263,MATCH($D31*100+8,Key!$G$2:$G$263,0)),"#"),1,0))</f>
        <v/>
      </c>
      <c r="AZ31">
        <f>IF(OR($D31="",U31="",9&gt;$F31),0,IF(UPPER(TRIM(U31))=IFERROR(INDEX(Key!$C$2:$C$263,MATCH($D31*100+9,Key!$G$2:$G$263,0)),"#"),1,0))</f>
        <v/>
      </c>
      <c r="BA31">
        <f>IF(OR($D31="",V31="",10&gt;$F31),0,IF(UPPER(TRIM(V31))=IFERROR(INDEX(Key!$C$2:$C$263,MATCH($D31*100+10,Key!$G$2:$G$263,0)),"#"),1,0))</f>
        <v/>
      </c>
      <c r="BB31">
        <f>IF(OR($D31="",W31="",11&gt;$F31),0,IF(UPPER(TRIM(W31))=IFERROR(INDEX(Key!$C$2:$C$263,MATCH($D31*100+11,Key!$G$2:$G$263,0)),"#"),1,0))</f>
        <v/>
      </c>
      <c r="BC31">
        <f>IF(OR($D31="",X31="",12&gt;$F31),0,IF(UPPER(TRIM(X31))=IFERROR(INDEX(Key!$C$2:$C$263,MATCH($D31*100+12,Key!$G$2:$G$263,0)),"#"),1,0))</f>
        <v/>
      </c>
      <c r="BD31">
        <f>IF(OR($D31="",Y31="",13&gt;$F31),0,IF(UPPER(TRIM(Y31))=IFERROR(INDEX(Key!$C$2:$C$263,MATCH($D31*100+13,Key!$G$2:$G$263,0)),"#"),1,0))</f>
        <v/>
      </c>
      <c r="BE31">
        <f>IF(OR($D31="",Z31="",14&gt;$F31),0,IF(UPPER(TRIM(Z31))=IFERROR(INDEX(Key!$C$2:$C$263,MATCH($D31*100+14,Key!$G$2:$G$263,0)),"#"),1,0))</f>
        <v/>
      </c>
      <c r="BF31">
        <f>IF(OR($D31="",AA31="",15&gt;$F31),0,IF(UPPER(TRIM(AA31))=IFERROR(INDEX(Key!$C$2:$C$263,MATCH($D31*100+15,Key!$G$2:$G$263,0)),"#"),1,0))</f>
        <v/>
      </c>
      <c r="BG31">
        <f>IF(OR($D31="",AB31="",16&gt;$F31),0,IF(UPPER(TRIM(AB31))=IFERROR(INDEX(Key!$C$2:$C$263,MATCH($D31*100+16,Key!$G$2:$G$263,0)),"#"),1,0))</f>
        <v/>
      </c>
      <c r="BH31">
        <f>IF(OR($D31="",AC31="",17&gt;$F31),0,IF(UPPER(TRIM(AC31))=IFERROR(INDEX(Key!$C$2:$C$263,MATCH($D31*100+17,Key!$G$2:$G$263,0)),"#"),1,0))</f>
        <v/>
      </c>
      <c r="BI31">
        <f>IF(OR($D31="",AD31="",18&gt;$F31),0,IF(UPPER(TRIM(AD31))=IFERROR(INDEX(Key!$C$2:$C$263,MATCH($D31*100+18,Key!$G$2:$G$263,0)),"#"),1,0))</f>
        <v/>
      </c>
      <c r="BJ31">
        <f>IF(OR($D31="",AE31="",19&gt;$F31),0,IF(UPPER(TRIM(AE31))=IFERROR(INDEX(Key!$C$2:$C$263,MATCH($D31*100+19,Key!$G$2:$G$263,0)),"#"),1,0))</f>
        <v/>
      </c>
      <c r="BK31">
        <f>IF(OR($D31="",AF31="",20&gt;$F31),0,IF(UPPER(TRIM(AF31))=IFERROR(INDEX(Key!$C$2:$C$263,MATCH($D31*100+20,Key!$G$2:$G$263,0)),"#"),1,0))</f>
        <v/>
      </c>
      <c r="BL31">
        <f>IF(OR($D31="",AG31="",21&gt;$F31),0,IF(UPPER(TRIM(AG31))=IFERROR(INDEX(Key!$C$2:$C$263,MATCH($D31*100+21,Key!$G$2:$G$263,0)),"#"),1,0))</f>
        <v/>
      </c>
      <c r="BM31">
        <f>IF(OR($D31="",AH31="",22&gt;$F31),0,IF(UPPER(TRIM(AH31))=IFERROR(INDEX(Key!$C$2:$C$263,MATCH($D31*100+22,Key!$G$2:$G$263,0)),"#"),1,0))</f>
        <v/>
      </c>
      <c r="BN31">
        <f>IF(OR($D31="",AI31="",23&gt;$F31),0,IF(UPPER(TRIM(AI31))=IFERROR(INDEX(Key!$C$2:$C$263,MATCH($D31*100+23,Key!$G$2:$G$263,0)),"#"),1,0))</f>
        <v/>
      </c>
      <c r="BO31">
        <f>IF(OR($D31="",AJ31="",24&gt;$F31),0,IF(UPPER(TRIM(AJ31))=IFERROR(INDEX(Key!$C$2:$C$263,MATCH($D31*100+24,Key!$G$2:$G$263,0)),"#"),1,0))</f>
        <v/>
      </c>
      <c r="BP31">
        <f>IF(OR($D31="",AK31="",25&gt;$F31),0,IF(UPPER(TRIM(AK31))=IFERROR(INDEX(Key!$C$2:$C$263,MATCH($D31*100+25,Key!$G$2:$G$263,0)),"#"),1,0))</f>
        <v/>
      </c>
      <c r="BQ31">
        <f>IF(OR($D31="",AL31="",26&gt;$F31),0,IF(UPPER(TRIM(AL31))=IFERROR(INDEX(Key!$C$2:$C$263,MATCH($D31*100+26,Key!$G$2:$G$263,0)),"#"),1,0))</f>
        <v/>
      </c>
      <c r="BR31">
        <f>IF(OR($D31="",AM31="",27&gt;$F31),0,IF(UPPER(TRIM(AM31))=IFERROR(INDEX(Key!$C$2:$C$263,MATCH($D31*100+27,Key!$G$2:$G$263,0)),"#"),1,0))</f>
        <v/>
      </c>
      <c r="BS31">
        <f>IF(OR($D31="",AN31="",28&gt;$F31),0,IF(UPPER(TRIM(AN31))=IFERROR(INDEX(Key!$C$2:$C$263,MATCH($D31*100+28,Key!$G$2:$G$263,0)),"#"),1,0))</f>
        <v/>
      </c>
      <c r="BT31">
        <f>IF(OR($D31="",AO31="",29&gt;$F31),0,IF(UPPER(TRIM(AO31))=IFERROR(INDEX(Key!$C$2:$C$263,MATCH($D31*100+29,Key!$G$2:$G$263,0)),"#"),1,0))</f>
        <v/>
      </c>
      <c r="BU31">
        <f>IF(OR($D31="",AP31="",30&gt;$F31),0,IF(UPPER(TRIM(AP31))=IFERROR(INDEX(Key!$C$2:$C$263,MATCH($D31*100+30,Key!$G$2:$G$263,0)),"#"),1,0))</f>
        <v/>
      </c>
    </row>
    <row r="32">
      <c r="A32" s="6" t="n"/>
      <c r="B32" s="6" t="n"/>
      <c r="C32" s="6" t="n"/>
      <c r="D32" s="6" t="n"/>
      <c r="E32" s="7">
        <f>IF($D32="","",IFERROR(INDEX(Papers!$B$2:$B$12,MATCH($D32,Papers!$A$2:$A$12,0)),"?"))</f>
        <v/>
      </c>
      <c r="F32" s="7">
        <f>IF($D32="","",IFERROR(INDEX(Papers!$C$2:$C$12,MATCH($D32,Papers!$A$2:$A$12,0)),0))</f>
        <v/>
      </c>
      <c r="G32" s="7">
        <f>IF($D32="","",COUNTIF(M32:AP32,"?*"))</f>
        <v/>
      </c>
      <c r="H32" s="7">
        <f>IF($D32="","",SUM(AR32:BU32))</f>
        <v/>
      </c>
      <c r="I32" s="7">
        <f>IF($D32="","",G32-H32)</f>
        <v/>
      </c>
      <c r="J32" s="7">
        <f>IF($D32="","",F32-G32)</f>
        <v/>
      </c>
      <c r="K32" s="7">
        <f>IF($D32="","",H32)</f>
        <v/>
      </c>
      <c r="L32" s="7">
        <f>IF($D32="","",IF(F32=0,"",ROUND(H32/F32*100,1)))</f>
        <v/>
      </c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R32">
        <f>IF(OR($D32="",M32="",1&gt;$F32),0,IF(UPPER(TRIM(M32))=IFERROR(INDEX(Key!$C$2:$C$263,MATCH($D32*100+1,Key!$G$2:$G$263,0)),"#"),1,0))</f>
        <v/>
      </c>
      <c r="AS32">
        <f>IF(OR($D32="",N32="",2&gt;$F32),0,IF(UPPER(TRIM(N32))=IFERROR(INDEX(Key!$C$2:$C$263,MATCH($D32*100+2,Key!$G$2:$G$263,0)),"#"),1,0))</f>
        <v/>
      </c>
      <c r="AT32">
        <f>IF(OR($D32="",O32="",3&gt;$F32),0,IF(UPPER(TRIM(O32))=IFERROR(INDEX(Key!$C$2:$C$263,MATCH($D32*100+3,Key!$G$2:$G$263,0)),"#"),1,0))</f>
        <v/>
      </c>
      <c r="AU32">
        <f>IF(OR($D32="",P32="",4&gt;$F32),0,IF(UPPER(TRIM(P32))=IFERROR(INDEX(Key!$C$2:$C$263,MATCH($D32*100+4,Key!$G$2:$G$263,0)),"#"),1,0))</f>
        <v/>
      </c>
      <c r="AV32">
        <f>IF(OR($D32="",Q32="",5&gt;$F32),0,IF(UPPER(TRIM(Q32))=IFERROR(INDEX(Key!$C$2:$C$263,MATCH($D32*100+5,Key!$G$2:$G$263,0)),"#"),1,0))</f>
        <v/>
      </c>
      <c r="AW32">
        <f>IF(OR($D32="",R32="",6&gt;$F32),0,IF(UPPER(TRIM(R32))=IFERROR(INDEX(Key!$C$2:$C$263,MATCH($D32*100+6,Key!$G$2:$G$263,0)),"#"),1,0))</f>
        <v/>
      </c>
      <c r="AX32">
        <f>IF(OR($D32="",S32="",7&gt;$F32),0,IF(UPPER(TRIM(S32))=IFERROR(INDEX(Key!$C$2:$C$263,MATCH($D32*100+7,Key!$G$2:$G$263,0)),"#"),1,0))</f>
        <v/>
      </c>
      <c r="AY32">
        <f>IF(OR($D32="",T32="",8&gt;$F32),0,IF(UPPER(TRIM(T32))=IFERROR(INDEX(Key!$C$2:$C$263,MATCH($D32*100+8,Key!$G$2:$G$263,0)),"#"),1,0))</f>
        <v/>
      </c>
      <c r="AZ32">
        <f>IF(OR($D32="",U32="",9&gt;$F32),0,IF(UPPER(TRIM(U32))=IFERROR(INDEX(Key!$C$2:$C$263,MATCH($D32*100+9,Key!$G$2:$G$263,0)),"#"),1,0))</f>
        <v/>
      </c>
      <c r="BA32">
        <f>IF(OR($D32="",V32="",10&gt;$F32),0,IF(UPPER(TRIM(V32))=IFERROR(INDEX(Key!$C$2:$C$263,MATCH($D32*100+10,Key!$G$2:$G$263,0)),"#"),1,0))</f>
        <v/>
      </c>
      <c r="BB32">
        <f>IF(OR($D32="",W32="",11&gt;$F32),0,IF(UPPER(TRIM(W32))=IFERROR(INDEX(Key!$C$2:$C$263,MATCH($D32*100+11,Key!$G$2:$G$263,0)),"#"),1,0))</f>
        <v/>
      </c>
      <c r="BC32">
        <f>IF(OR($D32="",X32="",12&gt;$F32),0,IF(UPPER(TRIM(X32))=IFERROR(INDEX(Key!$C$2:$C$263,MATCH($D32*100+12,Key!$G$2:$G$263,0)),"#"),1,0))</f>
        <v/>
      </c>
      <c r="BD32">
        <f>IF(OR($D32="",Y32="",13&gt;$F32),0,IF(UPPER(TRIM(Y32))=IFERROR(INDEX(Key!$C$2:$C$263,MATCH($D32*100+13,Key!$G$2:$G$263,0)),"#"),1,0))</f>
        <v/>
      </c>
      <c r="BE32">
        <f>IF(OR($D32="",Z32="",14&gt;$F32),0,IF(UPPER(TRIM(Z32))=IFERROR(INDEX(Key!$C$2:$C$263,MATCH($D32*100+14,Key!$G$2:$G$263,0)),"#"),1,0))</f>
        <v/>
      </c>
      <c r="BF32">
        <f>IF(OR($D32="",AA32="",15&gt;$F32),0,IF(UPPER(TRIM(AA32))=IFERROR(INDEX(Key!$C$2:$C$263,MATCH($D32*100+15,Key!$G$2:$G$263,0)),"#"),1,0))</f>
        <v/>
      </c>
      <c r="BG32">
        <f>IF(OR($D32="",AB32="",16&gt;$F32),0,IF(UPPER(TRIM(AB32))=IFERROR(INDEX(Key!$C$2:$C$263,MATCH($D32*100+16,Key!$G$2:$G$263,0)),"#"),1,0))</f>
        <v/>
      </c>
      <c r="BH32">
        <f>IF(OR($D32="",AC32="",17&gt;$F32),0,IF(UPPER(TRIM(AC32))=IFERROR(INDEX(Key!$C$2:$C$263,MATCH($D32*100+17,Key!$G$2:$G$263,0)),"#"),1,0))</f>
        <v/>
      </c>
      <c r="BI32">
        <f>IF(OR($D32="",AD32="",18&gt;$F32),0,IF(UPPER(TRIM(AD32))=IFERROR(INDEX(Key!$C$2:$C$263,MATCH($D32*100+18,Key!$G$2:$G$263,0)),"#"),1,0))</f>
        <v/>
      </c>
      <c r="BJ32">
        <f>IF(OR($D32="",AE32="",19&gt;$F32),0,IF(UPPER(TRIM(AE32))=IFERROR(INDEX(Key!$C$2:$C$263,MATCH($D32*100+19,Key!$G$2:$G$263,0)),"#"),1,0))</f>
        <v/>
      </c>
      <c r="BK32">
        <f>IF(OR($D32="",AF32="",20&gt;$F32),0,IF(UPPER(TRIM(AF32))=IFERROR(INDEX(Key!$C$2:$C$263,MATCH($D32*100+20,Key!$G$2:$G$263,0)),"#"),1,0))</f>
        <v/>
      </c>
      <c r="BL32">
        <f>IF(OR($D32="",AG32="",21&gt;$F32),0,IF(UPPER(TRIM(AG32))=IFERROR(INDEX(Key!$C$2:$C$263,MATCH($D32*100+21,Key!$G$2:$G$263,0)),"#"),1,0))</f>
        <v/>
      </c>
      <c r="BM32">
        <f>IF(OR($D32="",AH32="",22&gt;$F32),0,IF(UPPER(TRIM(AH32))=IFERROR(INDEX(Key!$C$2:$C$263,MATCH($D32*100+22,Key!$G$2:$G$263,0)),"#"),1,0))</f>
        <v/>
      </c>
      <c r="BN32">
        <f>IF(OR($D32="",AI32="",23&gt;$F32),0,IF(UPPER(TRIM(AI32))=IFERROR(INDEX(Key!$C$2:$C$263,MATCH($D32*100+23,Key!$G$2:$G$263,0)),"#"),1,0))</f>
        <v/>
      </c>
      <c r="BO32">
        <f>IF(OR($D32="",AJ32="",24&gt;$F32),0,IF(UPPER(TRIM(AJ32))=IFERROR(INDEX(Key!$C$2:$C$263,MATCH($D32*100+24,Key!$G$2:$G$263,0)),"#"),1,0))</f>
        <v/>
      </c>
      <c r="BP32">
        <f>IF(OR($D32="",AK32="",25&gt;$F32),0,IF(UPPER(TRIM(AK32))=IFERROR(INDEX(Key!$C$2:$C$263,MATCH($D32*100+25,Key!$G$2:$G$263,0)),"#"),1,0))</f>
        <v/>
      </c>
      <c r="BQ32">
        <f>IF(OR($D32="",AL32="",26&gt;$F32),0,IF(UPPER(TRIM(AL32))=IFERROR(INDEX(Key!$C$2:$C$263,MATCH($D32*100+26,Key!$G$2:$G$263,0)),"#"),1,0))</f>
        <v/>
      </c>
      <c r="BR32">
        <f>IF(OR($D32="",AM32="",27&gt;$F32),0,IF(UPPER(TRIM(AM32))=IFERROR(INDEX(Key!$C$2:$C$263,MATCH($D32*100+27,Key!$G$2:$G$263,0)),"#"),1,0))</f>
        <v/>
      </c>
      <c r="BS32">
        <f>IF(OR($D32="",AN32="",28&gt;$F32),0,IF(UPPER(TRIM(AN32))=IFERROR(INDEX(Key!$C$2:$C$263,MATCH($D32*100+28,Key!$G$2:$G$263,0)),"#"),1,0))</f>
        <v/>
      </c>
      <c r="BT32">
        <f>IF(OR($D32="",AO32="",29&gt;$F32),0,IF(UPPER(TRIM(AO32))=IFERROR(INDEX(Key!$C$2:$C$263,MATCH($D32*100+29,Key!$G$2:$G$263,0)),"#"),1,0))</f>
        <v/>
      </c>
      <c r="BU32">
        <f>IF(OR($D32="",AP32="",30&gt;$F32),0,IF(UPPER(TRIM(AP32))=IFERROR(INDEX(Key!$C$2:$C$263,MATCH($D32*100+30,Key!$G$2:$G$263,0)),"#"),1,0))</f>
        <v/>
      </c>
    </row>
    <row r="33">
      <c r="A33" s="6" t="n"/>
      <c r="B33" s="6" t="n"/>
      <c r="C33" s="6" t="n"/>
      <c r="D33" s="6" t="n"/>
      <c r="E33" s="7">
        <f>IF($D33="","",IFERROR(INDEX(Papers!$B$2:$B$12,MATCH($D33,Papers!$A$2:$A$12,0)),"?"))</f>
        <v/>
      </c>
      <c r="F33" s="7">
        <f>IF($D33="","",IFERROR(INDEX(Papers!$C$2:$C$12,MATCH($D33,Papers!$A$2:$A$12,0)),0))</f>
        <v/>
      </c>
      <c r="G33" s="7">
        <f>IF($D33="","",COUNTIF(M33:AP33,"?*"))</f>
        <v/>
      </c>
      <c r="H33" s="7">
        <f>IF($D33="","",SUM(AR33:BU33))</f>
        <v/>
      </c>
      <c r="I33" s="7">
        <f>IF($D33="","",G33-H33)</f>
        <v/>
      </c>
      <c r="J33" s="7">
        <f>IF($D33="","",F33-G33)</f>
        <v/>
      </c>
      <c r="K33" s="7">
        <f>IF($D33="","",H33)</f>
        <v/>
      </c>
      <c r="L33" s="7">
        <f>IF($D33="","",IF(F33=0,"",ROUND(H33/F33*100,1)))</f>
        <v/>
      </c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R33">
        <f>IF(OR($D33="",M33="",1&gt;$F33),0,IF(UPPER(TRIM(M33))=IFERROR(INDEX(Key!$C$2:$C$263,MATCH($D33*100+1,Key!$G$2:$G$263,0)),"#"),1,0))</f>
        <v/>
      </c>
      <c r="AS33">
        <f>IF(OR($D33="",N33="",2&gt;$F33),0,IF(UPPER(TRIM(N33))=IFERROR(INDEX(Key!$C$2:$C$263,MATCH($D33*100+2,Key!$G$2:$G$263,0)),"#"),1,0))</f>
        <v/>
      </c>
      <c r="AT33">
        <f>IF(OR($D33="",O33="",3&gt;$F33),0,IF(UPPER(TRIM(O33))=IFERROR(INDEX(Key!$C$2:$C$263,MATCH($D33*100+3,Key!$G$2:$G$263,0)),"#"),1,0))</f>
        <v/>
      </c>
      <c r="AU33">
        <f>IF(OR($D33="",P33="",4&gt;$F33),0,IF(UPPER(TRIM(P33))=IFERROR(INDEX(Key!$C$2:$C$263,MATCH($D33*100+4,Key!$G$2:$G$263,0)),"#"),1,0))</f>
        <v/>
      </c>
      <c r="AV33">
        <f>IF(OR($D33="",Q33="",5&gt;$F33),0,IF(UPPER(TRIM(Q33))=IFERROR(INDEX(Key!$C$2:$C$263,MATCH($D33*100+5,Key!$G$2:$G$263,0)),"#"),1,0))</f>
        <v/>
      </c>
      <c r="AW33">
        <f>IF(OR($D33="",R33="",6&gt;$F33),0,IF(UPPER(TRIM(R33))=IFERROR(INDEX(Key!$C$2:$C$263,MATCH($D33*100+6,Key!$G$2:$G$263,0)),"#"),1,0))</f>
        <v/>
      </c>
      <c r="AX33">
        <f>IF(OR($D33="",S33="",7&gt;$F33),0,IF(UPPER(TRIM(S33))=IFERROR(INDEX(Key!$C$2:$C$263,MATCH($D33*100+7,Key!$G$2:$G$263,0)),"#"),1,0))</f>
        <v/>
      </c>
      <c r="AY33">
        <f>IF(OR($D33="",T33="",8&gt;$F33),0,IF(UPPER(TRIM(T33))=IFERROR(INDEX(Key!$C$2:$C$263,MATCH($D33*100+8,Key!$G$2:$G$263,0)),"#"),1,0))</f>
        <v/>
      </c>
      <c r="AZ33">
        <f>IF(OR($D33="",U33="",9&gt;$F33),0,IF(UPPER(TRIM(U33))=IFERROR(INDEX(Key!$C$2:$C$263,MATCH($D33*100+9,Key!$G$2:$G$263,0)),"#"),1,0))</f>
        <v/>
      </c>
      <c r="BA33">
        <f>IF(OR($D33="",V33="",10&gt;$F33),0,IF(UPPER(TRIM(V33))=IFERROR(INDEX(Key!$C$2:$C$263,MATCH($D33*100+10,Key!$G$2:$G$263,0)),"#"),1,0))</f>
        <v/>
      </c>
      <c r="BB33">
        <f>IF(OR($D33="",W33="",11&gt;$F33),0,IF(UPPER(TRIM(W33))=IFERROR(INDEX(Key!$C$2:$C$263,MATCH($D33*100+11,Key!$G$2:$G$263,0)),"#"),1,0))</f>
        <v/>
      </c>
      <c r="BC33">
        <f>IF(OR($D33="",X33="",12&gt;$F33),0,IF(UPPER(TRIM(X33))=IFERROR(INDEX(Key!$C$2:$C$263,MATCH($D33*100+12,Key!$G$2:$G$263,0)),"#"),1,0))</f>
        <v/>
      </c>
      <c r="BD33">
        <f>IF(OR($D33="",Y33="",13&gt;$F33),0,IF(UPPER(TRIM(Y33))=IFERROR(INDEX(Key!$C$2:$C$263,MATCH($D33*100+13,Key!$G$2:$G$263,0)),"#"),1,0))</f>
        <v/>
      </c>
      <c r="BE33">
        <f>IF(OR($D33="",Z33="",14&gt;$F33),0,IF(UPPER(TRIM(Z33))=IFERROR(INDEX(Key!$C$2:$C$263,MATCH($D33*100+14,Key!$G$2:$G$263,0)),"#"),1,0))</f>
        <v/>
      </c>
      <c r="BF33">
        <f>IF(OR($D33="",AA33="",15&gt;$F33),0,IF(UPPER(TRIM(AA33))=IFERROR(INDEX(Key!$C$2:$C$263,MATCH($D33*100+15,Key!$G$2:$G$263,0)),"#"),1,0))</f>
        <v/>
      </c>
      <c r="BG33">
        <f>IF(OR($D33="",AB33="",16&gt;$F33),0,IF(UPPER(TRIM(AB33))=IFERROR(INDEX(Key!$C$2:$C$263,MATCH($D33*100+16,Key!$G$2:$G$263,0)),"#"),1,0))</f>
        <v/>
      </c>
      <c r="BH33">
        <f>IF(OR($D33="",AC33="",17&gt;$F33),0,IF(UPPER(TRIM(AC33))=IFERROR(INDEX(Key!$C$2:$C$263,MATCH($D33*100+17,Key!$G$2:$G$263,0)),"#"),1,0))</f>
        <v/>
      </c>
      <c r="BI33">
        <f>IF(OR($D33="",AD33="",18&gt;$F33),0,IF(UPPER(TRIM(AD33))=IFERROR(INDEX(Key!$C$2:$C$263,MATCH($D33*100+18,Key!$G$2:$G$263,0)),"#"),1,0))</f>
        <v/>
      </c>
      <c r="BJ33">
        <f>IF(OR($D33="",AE33="",19&gt;$F33),0,IF(UPPER(TRIM(AE33))=IFERROR(INDEX(Key!$C$2:$C$263,MATCH($D33*100+19,Key!$G$2:$G$263,0)),"#"),1,0))</f>
        <v/>
      </c>
      <c r="BK33">
        <f>IF(OR($D33="",AF33="",20&gt;$F33),0,IF(UPPER(TRIM(AF33))=IFERROR(INDEX(Key!$C$2:$C$263,MATCH($D33*100+20,Key!$G$2:$G$263,0)),"#"),1,0))</f>
        <v/>
      </c>
      <c r="BL33">
        <f>IF(OR($D33="",AG33="",21&gt;$F33),0,IF(UPPER(TRIM(AG33))=IFERROR(INDEX(Key!$C$2:$C$263,MATCH($D33*100+21,Key!$G$2:$G$263,0)),"#"),1,0))</f>
        <v/>
      </c>
      <c r="BM33">
        <f>IF(OR($D33="",AH33="",22&gt;$F33),0,IF(UPPER(TRIM(AH33))=IFERROR(INDEX(Key!$C$2:$C$263,MATCH($D33*100+22,Key!$G$2:$G$263,0)),"#"),1,0))</f>
        <v/>
      </c>
      <c r="BN33">
        <f>IF(OR($D33="",AI33="",23&gt;$F33),0,IF(UPPER(TRIM(AI33))=IFERROR(INDEX(Key!$C$2:$C$263,MATCH($D33*100+23,Key!$G$2:$G$263,0)),"#"),1,0))</f>
        <v/>
      </c>
      <c r="BO33">
        <f>IF(OR($D33="",AJ33="",24&gt;$F33),0,IF(UPPER(TRIM(AJ33))=IFERROR(INDEX(Key!$C$2:$C$263,MATCH($D33*100+24,Key!$G$2:$G$263,0)),"#"),1,0))</f>
        <v/>
      </c>
      <c r="BP33">
        <f>IF(OR($D33="",AK33="",25&gt;$F33),0,IF(UPPER(TRIM(AK33))=IFERROR(INDEX(Key!$C$2:$C$263,MATCH($D33*100+25,Key!$G$2:$G$263,0)),"#"),1,0))</f>
        <v/>
      </c>
      <c r="BQ33">
        <f>IF(OR($D33="",AL33="",26&gt;$F33),0,IF(UPPER(TRIM(AL33))=IFERROR(INDEX(Key!$C$2:$C$263,MATCH($D33*100+26,Key!$G$2:$G$263,0)),"#"),1,0))</f>
        <v/>
      </c>
      <c r="BR33">
        <f>IF(OR($D33="",AM33="",27&gt;$F33),0,IF(UPPER(TRIM(AM33))=IFERROR(INDEX(Key!$C$2:$C$263,MATCH($D33*100+27,Key!$G$2:$G$263,0)),"#"),1,0))</f>
        <v/>
      </c>
      <c r="BS33">
        <f>IF(OR($D33="",AN33="",28&gt;$F33),0,IF(UPPER(TRIM(AN33))=IFERROR(INDEX(Key!$C$2:$C$263,MATCH($D33*100+28,Key!$G$2:$G$263,0)),"#"),1,0))</f>
        <v/>
      </c>
      <c r="BT33">
        <f>IF(OR($D33="",AO33="",29&gt;$F33),0,IF(UPPER(TRIM(AO33))=IFERROR(INDEX(Key!$C$2:$C$263,MATCH($D33*100+29,Key!$G$2:$G$263,0)),"#"),1,0))</f>
        <v/>
      </c>
      <c r="BU33">
        <f>IF(OR($D33="",AP33="",30&gt;$F33),0,IF(UPPER(TRIM(AP33))=IFERROR(INDEX(Key!$C$2:$C$263,MATCH($D33*100+30,Key!$G$2:$G$263,0)),"#"),1,0))</f>
        <v/>
      </c>
    </row>
    <row r="34">
      <c r="A34" s="6" t="n"/>
      <c r="B34" s="6" t="n"/>
      <c r="C34" s="6" t="n"/>
      <c r="D34" s="6" t="n"/>
      <c r="E34" s="7">
        <f>IF($D34="","",IFERROR(INDEX(Papers!$B$2:$B$12,MATCH($D34,Papers!$A$2:$A$12,0)),"?"))</f>
        <v/>
      </c>
      <c r="F34" s="7">
        <f>IF($D34="","",IFERROR(INDEX(Papers!$C$2:$C$12,MATCH($D34,Papers!$A$2:$A$12,0)),0))</f>
        <v/>
      </c>
      <c r="G34" s="7">
        <f>IF($D34="","",COUNTIF(M34:AP34,"?*"))</f>
        <v/>
      </c>
      <c r="H34" s="7">
        <f>IF($D34="","",SUM(AR34:BU34))</f>
        <v/>
      </c>
      <c r="I34" s="7">
        <f>IF($D34="","",G34-H34)</f>
        <v/>
      </c>
      <c r="J34" s="7">
        <f>IF($D34="","",F34-G34)</f>
        <v/>
      </c>
      <c r="K34" s="7">
        <f>IF($D34="","",H34)</f>
        <v/>
      </c>
      <c r="L34" s="7">
        <f>IF($D34="","",IF(F34=0,"",ROUND(H34/F34*100,1)))</f>
        <v/>
      </c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R34">
        <f>IF(OR($D34="",M34="",1&gt;$F34),0,IF(UPPER(TRIM(M34))=IFERROR(INDEX(Key!$C$2:$C$263,MATCH($D34*100+1,Key!$G$2:$G$263,0)),"#"),1,0))</f>
        <v/>
      </c>
      <c r="AS34">
        <f>IF(OR($D34="",N34="",2&gt;$F34),0,IF(UPPER(TRIM(N34))=IFERROR(INDEX(Key!$C$2:$C$263,MATCH($D34*100+2,Key!$G$2:$G$263,0)),"#"),1,0))</f>
        <v/>
      </c>
      <c r="AT34">
        <f>IF(OR($D34="",O34="",3&gt;$F34),0,IF(UPPER(TRIM(O34))=IFERROR(INDEX(Key!$C$2:$C$263,MATCH($D34*100+3,Key!$G$2:$G$263,0)),"#"),1,0))</f>
        <v/>
      </c>
      <c r="AU34">
        <f>IF(OR($D34="",P34="",4&gt;$F34),0,IF(UPPER(TRIM(P34))=IFERROR(INDEX(Key!$C$2:$C$263,MATCH($D34*100+4,Key!$G$2:$G$263,0)),"#"),1,0))</f>
        <v/>
      </c>
      <c r="AV34">
        <f>IF(OR($D34="",Q34="",5&gt;$F34),0,IF(UPPER(TRIM(Q34))=IFERROR(INDEX(Key!$C$2:$C$263,MATCH($D34*100+5,Key!$G$2:$G$263,0)),"#"),1,0))</f>
        <v/>
      </c>
      <c r="AW34">
        <f>IF(OR($D34="",R34="",6&gt;$F34),0,IF(UPPER(TRIM(R34))=IFERROR(INDEX(Key!$C$2:$C$263,MATCH($D34*100+6,Key!$G$2:$G$263,0)),"#"),1,0))</f>
        <v/>
      </c>
      <c r="AX34">
        <f>IF(OR($D34="",S34="",7&gt;$F34),0,IF(UPPER(TRIM(S34))=IFERROR(INDEX(Key!$C$2:$C$263,MATCH($D34*100+7,Key!$G$2:$G$263,0)),"#"),1,0))</f>
        <v/>
      </c>
      <c r="AY34">
        <f>IF(OR($D34="",T34="",8&gt;$F34),0,IF(UPPER(TRIM(T34))=IFERROR(INDEX(Key!$C$2:$C$263,MATCH($D34*100+8,Key!$G$2:$G$263,0)),"#"),1,0))</f>
        <v/>
      </c>
      <c r="AZ34">
        <f>IF(OR($D34="",U34="",9&gt;$F34),0,IF(UPPER(TRIM(U34))=IFERROR(INDEX(Key!$C$2:$C$263,MATCH($D34*100+9,Key!$G$2:$G$263,0)),"#"),1,0))</f>
        <v/>
      </c>
      <c r="BA34">
        <f>IF(OR($D34="",V34="",10&gt;$F34),0,IF(UPPER(TRIM(V34))=IFERROR(INDEX(Key!$C$2:$C$263,MATCH($D34*100+10,Key!$G$2:$G$263,0)),"#"),1,0))</f>
        <v/>
      </c>
      <c r="BB34">
        <f>IF(OR($D34="",W34="",11&gt;$F34),0,IF(UPPER(TRIM(W34))=IFERROR(INDEX(Key!$C$2:$C$263,MATCH($D34*100+11,Key!$G$2:$G$263,0)),"#"),1,0))</f>
        <v/>
      </c>
      <c r="BC34">
        <f>IF(OR($D34="",X34="",12&gt;$F34),0,IF(UPPER(TRIM(X34))=IFERROR(INDEX(Key!$C$2:$C$263,MATCH($D34*100+12,Key!$G$2:$G$263,0)),"#"),1,0))</f>
        <v/>
      </c>
      <c r="BD34">
        <f>IF(OR($D34="",Y34="",13&gt;$F34),0,IF(UPPER(TRIM(Y34))=IFERROR(INDEX(Key!$C$2:$C$263,MATCH($D34*100+13,Key!$G$2:$G$263,0)),"#"),1,0))</f>
        <v/>
      </c>
      <c r="BE34">
        <f>IF(OR($D34="",Z34="",14&gt;$F34),0,IF(UPPER(TRIM(Z34))=IFERROR(INDEX(Key!$C$2:$C$263,MATCH($D34*100+14,Key!$G$2:$G$263,0)),"#"),1,0))</f>
        <v/>
      </c>
      <c r="BF34">
        <f>IF(OR($D34="",AA34="",15&gt;$F34),0,IF(UPPER(TRIM(AA34))=IFERROR(INDEX(Key!$C$2:$C$263,MATCH($D34*100+15,Key!$G$2:$G$263,0)),"#"),1,0))</f>
        <v/>
      </c>
      <c r="BG34">
        <f>IF(OR($D34="",AB34="",16&gt;$F34),0,IF(UPPER(TRIM(AB34))=IFERROR(INDEX(Key!$C$2:$C$263,MATCH($D34*100+16,Key!$G$2:$G$263,0)),"#"),1,0))</f>
        <v/>
      </c>
      <c r="BH34">
        <f>IF(OR($D34="",AC34="",17&gt;$F34),0,IF(UPPER(TRIM(AC34))=IFERROR(INDEX(Key!$C$2:$C$263,MATCH($D34*100+17,Key!$G$2:$G$263,0)),"#"),1,0))</f>
        <v/>
      </c>
      <c r="BI34">
        <f>IF(OR($D34="",AD34="",18&gt;$F34),0,IF(UPPER(TRIM(AD34))=IFERROR(INDEX(Key!$C$2:$C$263,MATCH($D34*100+18,Key!$G$2:$G$263,0)),"#"),1,0))</f>
        <v/>
      </c>
      <c r="BJ34">
        <f>IF(OR($D34="",AE34="",19&gt;$F34),0,IF(UPPER(TRIM(AE34))=IFERROR(INDEX(Key!$C$2:$C$263,MATCH($D34*100+19,Key!$G$2:$G$263,0)),"#"),1,0))</f>
        <v/>
      </c>
      <c r="BK34">
        <f>IF(OR($D34="",AF34="",20&gt;$F34),0,IF(UPPER(TRIM(AF34))=IFERROR(INDEX(Key!$C$2:$C$263,MATCH($D34*100+20,Key!$G$2:$G$263,0)),"#"),1,0))</f>
        <v/>
      </c>
      <c r="BL34">
        <f>IF(OR($D34="",AG34="",21&gt;$F34),0,IF(UPPER(TRIM(AG34))=IFERROR(INDEX(Key!$C$2:$C$263,MATCH($D34*100+21,Key!$G$2:$G$263,0)),"#"),1,0))</f>
        <v/>
      </c>
      <c r="BM34">
        <f>IF(OR($D34="",AH34="",22&gt;$F34),0,IF(UPPER(TRIM(AH34))=IFERROR(INDEX(Key!$C$2:$C$263,MATCH($D34*100+22,Key!$G$2:$G$263,0)),"#"),1,0))</f>
        <v/>
      </c>
      <c r="BN34">
        <f>IF(OR($D34="",AI34="",23&gt;$F34),0,IF(UPPER(TRIM(AI34))=IFERROR(INDEX(Key!$C$2:$C$263,MATCH($D34*100+23,Key!$G$2:$G$263,0)),"#"),1,0))</f>
        <v/>
      </c>
      <c r="BO34">
        <f>IF(OR($D34="",AJ34="",24&gt;$F34),0,IF(UPPER(TRIM(AJ34))=IFERROR(INDEX(Key!$C$2:$C$263,MATCH($D34*100+24,Key!$G$2:$G$263,0)),"#"),1,0))</f>
        <v/>
      </c>
      <c r="BP34">
        <f>IF(OR($D34="",AK34="",25&gt;$F34),0,IF(UPPER(TRIM(AK34))=IFERROR(INDEX(Key!$C$2:$C$263,MATCH($D34*100+25,Key!$G$2:$G$263,0)),"#"),1,0))</f>
        <v/>
      </c>
      <c r="BQ34">
        <f>IF(OR($D34="",AL34="",26&gt;$F34),0,IF(UPPER(TRIM(AL34))=IFERROR(INDEX(Key!$C$2:$C$263,MATCH($D34*100+26,Key!$G$2:$G$263,0)),"#"),1,0))</f>
        <v/>
      </c>
      <c r="BR34">
        <f>IF(OR($D34="",AM34="",27&gt;$F34),0,IF(UPPER(TRIM(AM34))=IFERROR(INDEX(Key!$C$2:$C$263,MATCH($D34*100+27,Key!$G$2:$G$263,0)),"#"),1,0))</f>
        <v/>
      </c>
      <c r="BS34">
        <f>IF(OR($D34="",AN34="",28&gt;$F34),0,IF(UPPER(TRIM(AN34))=IFERROR(INDEX(Key!$C$2:$C$263,MATCH($D34*100+28,Key!$G$2:$G$263,0)),"#"),1,0))</f>
        <v/>
      </c>
      <c r="BT34">
        <f>IF(OR($D34="",AO34="",29&gt;$F34),0,IF(UPPER(TRIM(AO34))=IFERROR(INDEX(Key!$C$2:$C$263,MATCH($D34*100+29,Key!$G$2:$G$263,0)),"#"),1,0))</f>
        <v/>
      </c>
      <c r="BU34">
        <f>IF(OR($D34="",AP34="",30&gt;$F34),0,IF(UPPER(TRIM(AP34))=IFERROR(INDEX(Key!$C$2:$C$263,MATCH($D34*100+30,Key!$G$2:$G$263,0)),"#"),1,0))</f>
        <v/>
      </c>
    </row>
    <row r="35">
      <c r="A35" s="6" t="n"/>
      <c r="B35" s="6" t="n"/>
      <c r="C35" s="6" t="n"/>
      <c r="D35" s="6" t="n"/>
      <c r="E35" s="7">
        <f>IF($D35="","",IFERROR(INDEX(Papers!$B$2:$B$12,MATCH($D35,Papers!$A$2:$A$12,0)),"?"))</f>
        <v/>
      </c>
      <c r="F35" s="7">
        <f>IF($D35="","",IFERROR(INDEX(Papers!$C$2:$C$12,MATCH($D35,Papers!$A$2:$A$12,0)),0))</f>
        <v/>
      </c>
      <c r="G35" s="7">
        <f>IF($D35="","",COUNTIF(M35:AP35,"?*"))</f>
        <v/>
      </c>
      <c r="H35" s="7">
        <f>IF($D35="","",SUM(AR35:BU35))</f>
        <v/>
      </c>
      <c r="I35" s="7">
        <f>IF($D35="","",G35-H35)</f>
        <v/>
      </c>
      <c r="J35" s="7">
        <f>IF($D35="","",F35-G35)</f>
        <v/>
      </c>
      <c r="K35" s="7">
        <f>IF($D35="","",H35)</f>
        <v/>
      </c>
      <c r="L35" s="7">
        <f>IF($D35="","",IF(F35=0,"",ROUND(H35/F35*100,1)))</f>
        <v/>
      </c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R35">
        <f>IF(OR($D35="",M35="",1&gt;$F35),0,IF(UPPER(TRIM(M35))=IFERROR(INDEX(Key!$C$2:$C$263,MATCH($D35*100+1,Key!$G$2:$G$263,0)),"#"),1,0))</f>
        <v/>
      </c>
      <c r="AS35">
        <f>IF(OR($D35="",N35="",2&gt;$F35),0,IF(UPPER(TRIM(N35))=IFERROR(INDEX(Key!$C$2:$C$263,MATCH($D35*100+2,Key!$G$2:$G$263,0)),"#"),1,0))</f>
        <v/>
      </c>
      <c r="AT35">
        <f>IF(OR($D35="",O35="",3&gt;$F35),0,IF(UPPER(TRIM(O35))=IFERROR(INDEX(Key!$C$2:$C$263,MATCH($D35*100+3,Key!$G$2:$G$263,0)),"#"),1,0))</f>
        <v/>
      </c>
      <c r="AU35">
        <f>IF(OR($D35="",P35="",4&gt;$F35),0,IF(UPPER(TRIM(P35))=IFERROR(INDEX(Key!$C$2:$C$263,MATCH($D35*100+4,Key!$G$2:$G$263,0)),"#"),1,0))</f>
        <v/>
      </c>
      <c r="AV35">
        <f>IF(OR($D35="",Q35="",5&gt;$F35),0,IF(UPPER(TRIM(Q35))=IFERROR(INDEX(Key!$C$2:$C$263,MATCH($D35*100+5,Key!$G$2:$G$263,0)),"#"),1,0))</f>
        <v/>
      </c>
      <c r="AW35">
        <f>IF(OR($D35="",R35="",6&gt;$F35),0,IF(UPPER(TRIM(R35))=IFERROR(INDEX(Key!$C$2:$C$263,MATCH($D35*100+6,Key!$G$2:$G$263,0)),"#"),1,0))</f>
        <v/>
      </c>
      <c r="AX35">
        <f>IF(OR($D35="",S35="",7&gt;$F35),0,IF(UPPER(TRIM(S35))=IFERROR(INDEX(Key!$C$2:$C$263,MATCH($D35*100+7,Key!$G$2:$G$263,0)),"#"),1,0))</f>
        <v/>
      </c>
      <c r="AY35">
        <f>IF(OR($D35="",T35="",8&gt;$F35),0,IF(UPPER(TRIM(T35))=IFERROR(INDEX(Key!$C$2:$C$263,MATCH($D35*100+8,Key!$G$2:$G$263,0)),"#"),1,0))</f>
        <v/>
      </c>
      <c r="AZ35">
        <f>IF(OR($D35="",U35="",9&gt;$F35),0,IF(UPPER(TRIM(U35))=IFERROR(INDEX(Key!$C$2:$C$263,MATCH($D35*100+9,Key!$G$2:$G$263,0)),"#"),1,0))</f>
        <v/>
      </c>
      <c r="BA35">
        <f>IF(OR($D35="",V35="",10&gt;$F35),0,IF(UPPER(TRIM(V35))=IFERROR(INDEX(Key!$C$2:$C$263,MATCH($D35*100+10,Key!$G$2:$G$263,0)),"#"),1,0))</f>
        <v/>
      </c>
      <c r="BB35">
        <f>IF(OR($D35="",W35="",11&gt;$F35),0,IF(UPPER(TRIM(W35))=IFERROR(INDEX(Key!$C$2:$C$263,MATCH($D35*100+11,Key!$G$2:$G$263,0)),"#"),1,0))</f>
        <v/>
      </c>
      <c r="BC35">
        <f>IF(OR($D35="",X35="",12&gt;$F35),0,IF(UPPER(TRIM(X35))=IFERROR(INDEX(Key!$C$2:$C$263,MATCH($D35*100+12,Key!$G$2:$G$263,0)),"#"),1,0))</f>
        <v/>
      </c>
      <c r="BD35">
        <f>IF(OR($D35="",Y35="",13&gt;$F35),0,IF(UPPER(TRIM(Y35))=IFERROR(INDEX(Key!$C$2:$C$263,MATCH($D35*100+13,Key!$G$2:$G$263,0)),"#"),1,0))</f>
        <v/>
      </c>
      <c r="BE35">
        <f>IF(OR($D35="",Z35="",14&gt;$F35),0,IF(UPPER(TRIM(Z35))=IFERROR(INDEX(Key!$C$2:$C$263,MATCH($D35*100+14,Key!$G$2:$G$263,0)),"#"),1,0))</f>
        <v/>
      </c>
      <c r="BF35">
        <f>IF(OR($D35="",AA35="",15&gt;$F35),0,IF(UPPER(TRIM(AA35))=IFERROR(INDEX(Key!$C$2:$C$263,MATCH($D35*100+15,Key!$G$2:$G$263,0)),"#"),1,0))</f>
        <v/>
      </c>
      <c r="BG35">
        <f>IF(OR($D35="",AB35="",16&gt;$F35),0,IF(UPPER(TRIM(AB35))=IFERROR(INDEX(Key!$C$2:$C$263,MATCH($D35*100+16,Key!$G$2:$G$263,0)),"#"),1,0))</f>
        <v/>
      </c>
      <c r="BH35">
        <f>IF(OR($D35="",AC35="",17&gt;$F35),0,IF(UPPER(TRIM(AC35))=IFERROR(INDEX(Key!$C$2:$C$263,MATCH($D35*100+17,Key!$G$2:$G$263,0)),"#"),1,0))</f>
        <v/>
      </c>
      <c r="BI35">
        <f>IF(OR($D35="",AD35="",18&gt;$F35),0,IF(UPPER(TRIM(AD35))=IFERROR(INDEX(Key!$C$2:$C$263,MATCH($D35*100+18,Key!$G$2:$G$263,0)),"#"),1,0))</f>
        <v/>
      </c>
      <c r="BJ35">
        <f>IF(OR($D35="",AE35="",19&gt;$F35),0,IF(UPPER(TRIM(AE35))=IFERROR(INDEX(Key!$C$2:$C$263,MATCH($D35*100+19,Key!$G$2:$G$263,0)),"#"),1,0))</f>
        <v/>
      </c>
      <c r="BK35">
        <f>IF(OR($D35="",AF35="",20&gt;$F35),0,IF(UPPER(TRIM(AF35))=IFERROR(INDEX(Key!$C$2:$C$263,MATCH($D35*100+20,Key!$G$2:$G$263,0)),"#"),1,0))</f>
        <v/>
      </c>
      <c r="BL35">
        <f>IF(OR($D35="",AG35="",21&gt;$F35),0,IF(UPPER(TRIM(AG35))=IFERROR(INDEX(Key!$C$2:$C$263,MATCH($D35*100+21,Key!$G$2:$G$263,0)),"#"),1,0))</f>
        <v/>
      </c>
      <c r="BM35">
        <f>IF(OR($D35="",AH35="",22&gt;$F35),0,IF(UPPER(TRIM(AH35))=IFERROR(INDEX(Key!$C$2:$C$263,MATCH($D35*100+22,Key!$G$2:$G$263,0)),"#"),1,0))</f>
        <v/>
      </c>
      <c r="BN35">
        <f>IF(OR($D35="",AI35="",23&gt;$F35),0,IF(UPPER(TRIM(AI35))=IFERROR(INDEX(Key!$C$2:$C$263,MATCH($D35*100+23,Key!$G$2:$G$263,0)),"#"),1,0))</f>
        <v/>
      </c>
      <c r="BO35">
        <f>IF(OR($D35="",AJ35="",24&gt;$F35),0,IF(UPPER(TRIM(AJ35))=IFERROR(INDEX(Key!$C$2:$C$263,MATCH($D35*100+24,Key!$G$2:$G$263,0)),"#"),1,0))</f>
        <v/>
      </c>
      <c r="BP35">
        <f>IF(OR($D35="",AK35="",25&gt;$F35),0,IF(UPPER(TRIM(AK35))=IFERROR(INDEX(Key!$C$2:$C$263,MATCH($D35*100+25,Key!$G$2:$G$263,0)),"#"),1,0))</f>
        <v/>
      </c>
      <c r="BQ35">
        <f>IF(OR($D35="",AL35="",26&gt;$F35),0,IF(UPPER(TRIM(AL35))=IFERROR(INDEX(Key!$C$2:$C$263,MATCH($D35*100+26,Key!$G$2:$G$263,0)),"#"),1,0))</f>
        <v/>
      </c>
      <c r="BR35">
        <f>IF(OR($D35="",AM35="",27&gt;$F35),0,IF(UPPER(TRIM(AM35))=IFERROR(INDEX(Key!$C$2:$C$263,MATCH($D35*100+27,Key!$G$2:$G$263,0)),"#"),1,0))</f>
        <v/>
      </c>
      <c r="BS35">
        <f>IF(OR($D35="",AN35="",28&gt;$F35),0,IF(UPPER(TRIM(AN35))=IFERROR(INDEX(Key!$C$2:$C$263,MATCH($D35*100+28,Key!$G$2:$G$263,0)),"#"),1,0))</f>
        <v/>
      </c>
      <c r="BT35">
        <f>IF(OR($D35="",AO35="",29&gt;$F35),0,IF(UPPER(TRIM(AO35))=IFERROR(INDEX(Key!$C$2:$C$263,MATCH($D35*100+29,Key!$G$2:$G$263,0)),"#"),1,0))</f>
        <v/>
      </c>
      <c r="BU35">
        <f>IF(OR($D35="",AP35="",30&gt;$F35),0,IF(UPPER(TRIM(AP35))=IFERROR(INDEX(Key!$C$2:$C$263,MATCH($D35*100+30,Key!$G$2:$G$263,0)),"#"),1,0))</f>
        <v/>
      </c>
    </row>
    <row r="36">
      <c r="A36" s="6" t="n"/>
      <c r="B36" s="6" t="n"/>
      <c r="C36" s="6" t="n"/>
      <c r="D36" s="6" t="n"/>
      <c r="E36" s="7">
        <f>IF($D36="","",IFERROR(INDEX(Papers!$B$2:$B$12,MATCH($D36,Papers!$A$2:$A$12,0)),"?"))</f>
        <v/>
      </c>
      <c r="F36" s="7">
        <f>IF($D36="","",IFERROR(INDEX(Papers!$C$2:$C$12,MATCH($D36,Papers!$A$2:$A$12,0)),0))</f>
        <v/>
      </c>
      <c r="G36" s="7">
        <f>IF($D36="","",COUNTIF(M36:AP36,"?*"))</f>
        <v/>
      </c>
      <c r="H36" s="7">
        <f>IF($D36="","",SUM(AR36:BU36))</f>
        <v/>
      </c>
      <c r="I36" s="7">
        <f>IF($D36="","",G36-H36)</f>
        <v/>
      </c>
      <c r="J36" s="7">
        <f>IF($D36="","",F36-G36)</f>
        <v/>
      </c>
      <c r="K36" s="7">
        <f>IF($D36="","",H36)</f>
        <v/>
      </c>
      <c r="L36" s="7">
        <f>IF($D36="","",IF(F36=0,"",ROUND(H36/F36*100,1)))</f>
        <v/>
      </c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R36">
        <f>IF(OR($D36="",M36="",1&gt;$F36),0,IF(UPPER(TRIM(M36))=IFERROR(INDEX(Key!$C$2:$C$263,MATCH($D36*100+1,Key!$G$2:$G$263,0)),"#"),1,0))</f>
        <v/>
      </c>
      <c r="AS36">
        <f>IF(OR($D36="",N36="",2&gt;$F36),0,IF(UPPER(TRIM(N36))=IFERROR(INDEX(Key!$C$2:$C$263,MATCH($D36*100+2,Key!$G$2:$G$263,0)),"#"),1,0))</f>
        <v/>
      </c>
      <c r="AT36">
        <f>IF(OR($D36="",O36="",3&gt;$F36),0,IF(UPPER(TRIM(O36))=IFERROR(INDEX(Key!$C$2:$C$263,MATCH($D36*100+3,Key!$G$2:$G$263,0)),"#"),1,0))</f>
        <v/>
      </c>
      <c r="AU36">
        <f>IF(OR($D36="",P36="",4&gt;$F36),0,IF(UPPER(TRIM(P36))=IFERROR(INDEX(Key!$C$2:$C$263,MATCH($D36*100+4,Key!$G$2:$G$263,0)),"#"),1,0))</f>
        <v/>
      </c>
      <c r="AV36">
        <f>IF(OR($D36="",Q36="",5&gt;$F36),0,IF(UPPER(TRIM(Q36))=IFERROR(INDEX(Key!$C$2:$C$263,MATCH($D36*100+5,Key!$G$2:$G$263,0)),"#"),1,0))</f>
        <v/>
      </c>
      <c r="AW36">
        <f>IF(OR($D36="",R36="",6&gt;$F36),0,IF(UPPER(TRIM(R36))=IFERROR(INDEX(Key!$C$2:$C$263,MATCH($D36*100+6,Key!$G$2:$G$263,0)),"#"),1,0))</f>
        <v/>
      </c>
      <c r="AX36">
        <f>IF(OR($D36="",S36="",7&gt;$F36),0,IF(UPPER(TRIM(S36))=IFERROR(INDEX(Key!$C$2:$C$263,MATCH($D36*100+7,Key!$G$2:$G$263,0)),"#"),1,0))</f>
        <v/>
      </c>
      <c r="AY36">
        <f>IF(OR($D36="",T36="",8&gt;$F36),0,IF(UPPER(TRIM(T36))=IFERROR(INDEX(Key!$C$2:$C$263,MATCH($D36*100+8,Key!$G$2:$G$263,0)),"#"),1,0))</f>
        <v/>
      </c>
      <c r="AZ36">
        <f>IF(OR($D36="",U36="",9&gt;$F36),0,IF(UPPER(TRIM(U36))=IFERROR(INDEX(Key!$C$2:$C$263,MATCH($D36*100+9,Key!$G$2:$G$263,0)),"#"),1,0))</f>
        <v/>
      </c>
      <c r="BA36">
        <f>IF(OR($D36="",V36="",10&gt;$F36),0,IF(UPPER(TRIM(V36))=IFERROR(INDEX(Key!$C$2:$C$263,MATCH($D36*100+10,Key!$G$2:$G$263,0)),"#"),1,0))</f>
        <v/>
      </c>
      <c r="BB36">
        <f>IF(OR($D36="",W36="",11&gt;$F36),0,IF(UPPER(TRIM(W36))=IFERROR(INDEX(Key!$C$2:$C$263,MATCH($D36*100+11,Key!$G$2:$G$263,0)),"#"),1,0))</f>
        <v/>
      </c>
      <c r="BC36">
        <f>IF(OR($D36="",X36="",12&gt;$F36),0,IF(UPPER(TRIM(X36))=IFERROR(INDEX(Key!$C$2:$C$263,MATCH($D36*100+12,Key!$G$2:$G$263,0)),"#"),1,0))</f>
        <v/>
      </c>
      <c r="BD36">
        <f>IF(OR($D36="",Y36="",13&gt;$F36),0,IF(UPPER(TRIM(Y36))=IFERROR(INDEX(Key!$C$2:$C$263,MATCH($D36*100+13,Key!$G$2:$G$263,0)),"#"),1,0))</f>
        <v/>
      </c>
      <c r="BE36">
        <f>IF(OR($D36="",Z36="",14&gt;$F36),0,IF(UPPER(TRIM(Z36))=IFERROR(INDEX(Key!$C$2:$C$263,MATCH($D36*100+14,Key!$G$2:$G$263,0)),"#"),1,0))</f>
        <v/>
      </c>
      <c r="BF36">
        <f>IF(OR($D36="",AA36="",15&gt;$F36),0,IF(UPPER(TRIM(AA36))=IFERROR(INDEX(Key!$C$2:$C$263,MATCH($D36*100+15,Key!$G$2:$G$263,0)),"#"),1,0))</f>
        <v/>
      </c>
      <c r="BG36">
        <f>IF(OR($D36="",AB36="",16&gt;$F36),0,IF(UPPER(TRIM(AB36))=IFERROR(INDEX(Key!$C$2:$C$263,MATCH($D36*100+16,Key!$G$2:$G$263,0)),"#"),1,0))</f>
        <v/>
      </c>
      <c r="BH36">
        <f>IF(OR($D36="",AC36="",17&gt;$F36),0,IF(UPPER(TRIM(AC36))=IFERROR(INDEX(Key!$C$2:$C$263,MATCH($D36*100+17,Key!$G$2:$G$263,0)),"#"),1,0))</f>
        <v/>
      </c>
      <c r="BI36">
        <f>IF(OR($D36="",AD36="",18&gt;$F36),0,IF(UPPER(TRIM(AD36))=IFERROR(INDEX(Key!$C$2:$C$263,MATCH($D36*100+18,Key!$G$2:$G$263,0)),"#"),1,0))</f>
        <v/>
      </c>
      <c r="BJ36">
        <f>IF(OR($D36="",AE36="",19&gt;$F36),0,IF(UPPER(TRIM(AE36))=IFERROR(INDEX(Key!$C$2:$C$263,MATCH($D36*100+19,Key!$G$2:$G$263,0)),"#"),1,0))</f>
        <v/>
      </c>
      <c r="BK36">
        <f>IF(OR($D36="",AF36="",20&gt;$F36),0,IF(UPPER(TRIM(AF36))=IFERROR(INDEX(Key!$C$2:$C$263,MATCH($D36*100+20,Key!$G$2:$G$263,0)),"#"),1,0))</f>
        <v/>
      </c>
      <c r="BL36">
        <f>IF(OR($D36="",AG36="",21&gt;$F36),0,IF(UPPER(TRIM(AG36))=IFERROR(INDEX(Key!$C$2:$C$263,MATCH($D36*100+21,Key!$G$2:$G$263,0)),"#"),1,0))</f>
        <v/>
      </c>
      <c r="BM36">
        <f>IF(OR($D36="",AH36="",22&gt;$F36),0,IF(UPPER(TRIM(AH36))=IFERROR(INDEX(Key!$C$2:$C$263,MATCH($D36*100+22,Key!$G$2:$G$263,0)),"#"),1,0))</f>
        <v/>
      </c>
      <c r="BN36">
        <f>IF(OR($D36="",AI36="",23&gt;$F36),0,IF(UPPER(TRIM(AI36))=IFERROR(INDEX(Key!$C$2:$C$263,MATCH($D36*100+23,Key!$G$2:$G$263,0)),"#"),1,0))</f>
        <v/>
      </c>
      <c r="BO36">
        <f>IF(OR($D36="",AJ36="",24&gt;$F36),0,IF(UPPER(TRIM(AJ36))=IFERROR(INDEX(Key!$C$2:$C$263,MATCH($D36*100+24,Key!$G$2:$G$263,0)),"#"),1,0))</f>
        <v/>
      </c>
      <c r="BP36">
        <f>IF(OR($D36="",AK36="",25&gt;$F36),0,IF(UPPER(TRIM(AK36))=IFERROR(INDEX(Key!$C$2:$C$263,MATCH($D36*100+25,Key!$G$2:$G$263,0)),"#"),1,0))</f>
        <v/>
      </c>
      <c r="BQ36">
        <f>IF(OR($D36="",AL36="",26&gt;$F36),0,IF(UPPER(TRIM(AL36))=IFERROR(INDEX(Key!$C$2:$C$263,MATCH($D36*100+26,Key!$G$2:$G$263,0)),"#"),1,0))</f>
        <v/>
      </c>
      <c r="BR36">
        <f>IF(OR($D36="",AM36="",27&gt;$F36),0,IF(UPPER(TRIM(AM36))=IFERROR(INDEX(Key!$C$2:$C$263,MATCH($D36*100+27,Key!$G$2:$G$263,0)),"#"),1,0))</f>
        <v/>
      </c>
      <c r="BS36">
        <f>IF(OR($D36="",AN36="",28&gt;$F36),0,IF(UPPER(TRIM(AN36))=IFERROR(INDEX(Key!$C$2:$C$263,MATCH($D36*100+28,Key!$G$2:$G$263,0)),"#"),1,0))</f>
        <v/>
      </c>
      <c r="BT36">
        <f>IF(OR($D36="",AO36="",29&gt;$F36),0,IF(UPPER(TRIM(AO36))=IFERROR(INDEX(Key!$C$2:$C$263,MATCH($D36*100+29,Key!$G$2:$G$263,0)),"#"),1,0))</f>
        <v/>
      </c>
      <c r="BU36">
        <f>IF(OR($D36="",AP36="",30&gt;$F36),0,IF(UPPER(TRIM(AP36))=IFERROR(INDEX(Key!$C$2:$C$263,MATCH($D36*100+30,Key!$G$2:$G$263,0)),"#"),1,0))</f>
        <v/>
      </c>
    </row>
    <row r="37">
      <c r="A37" s="6" t="n"/>
      <c r="B37" s="6" t="n"/>
      <c r="C37" s="6" t="n"/>
      <c r="D37" s="6" t="n"/>
      <c r="E37" s="7">
        <f>IF($D37="","",IFERROR(INDEX(Papers!$B$2:$B$12,MATCH($D37,Papers!$A$2:$A$12,0)),"?"))</f>
        <v/>
      </c>
      <c r="F37" s="7">
        <f>IF($D37="","",IFERROR(INDEX(Papers!$C$2:$C$12,MATCH($D37,Papers!$A$2:$A$12,0)),0))</f>
        <v/>
      </c>
      <c r="G37" s="7">
        <f>IF($D37="","",COUNTIF(M37:AP37,"?*"))</f>
        <v/>
      </c>
      <c r="H37" s="7">
        <f>IF($D37="","",SUM(AR37:BU37))</f>
        <v/>
      </c>
      <c r="I37" s="7">
        <f>IF($D37="","",G37-H37)</f>
        <v/>
      </c>
      <c r="J37" s="7">
        <f>IF($D37="","",F37-G37)</f>
        <v/>
      </c>
      <c r="K37" s="7">
        <f>IF($D37="","",H37)</f>
        <v/>
      </c>
      <c r="L37" s="7">
        <f>IF($D37="","",IF(F37=0,"",ROUND(H37/F37*100,1)))</f>
        <v/>
      </c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R37">
        <f>IF(OR($D37="",M37="",1&gt;$F37),0,IF(UPPER(TRIM(M37))=IFERROR(INDEX(Key!$C$2:$C$263,MATCH($D37*100+1,Key!$G$2:$G$263,0)),"#"),1,0))</f>
        <v/>
      </c>
      <c r="AS37">
        <f>IF(OR($D37="",N37="",2&gt;$F37),0,IF(UPPER(TRIM(N37))=IFERROR(INDEX(Key!$C$2:$C$263,MATCH($D37*100+2,Key!$G$2:$G$263,0)),"#"),1,0))</f>
        <v/>
      </c>
      <c r="AT37">
        <f>IF(OR($D37="",O37="",3&gt;$F37),0,IF(UPPER(TRIM(O37))=IFERROR(INDEX(Key!$C$2:$C$263,MATCH($D37*100+3,Key!$G$2:$G$263,0)),"#"),1,0))</f>
        <v/>
      </c>
      <c r="AU37">
        <f>IF(OR($D37="",P37="",4&gt;$F37),0,IF(UPPER(TRIM(P37))=IFERROR(INDEX(Key!$C$2:$C$263,MATCH($D37*100+4,Key!$G$2:$G$263,0)),"#"),1,0))</f>
        <v/>
      </c>
      <c r="AV37">
        <f>IF(OR($D37="",Q37="",5&gt;$F37),0,IF(UPPER(TRIM(Q37))=IFERROR(INDEX(Key!$C$2:$C$263,MATCH($D37*100+5,Key!$G$2:$G$263,0)),"#"),1,0))</f>
        <v/>
      </c>
      <c r="AW37">
        <f>IF(OR($D37="",R37="",6&gt;$F37),0,IF(UPPER(TRIM(R37))=IFERROR(INDEX(Key!$C$2:$C$263,MATCH($D37*100+6,Key!$G$2:$G$263,0)),"#"),1,0))</f>
        <v/>
      </c>
      <c r="AX37">
        <f>IF(OR($D37="",S37="",7&gt;$F37),0,IF(UPPER(TRIM(S37))=IFERROR(INDEX(Key!$C$2:$C$263,MATCH($D37*100+7,Key!$G$2:$G$263,0)),"#"),1,0))</f>
        <v/>
      </c>
      <c r="AY37">
        <f>IF(OR($D37="",T37="",8&gt;$F37),0,IF(UPPER(TRIM(T37))=IFERROR(INDEX(Key!$C$2:$C$263,MATCH($D37*100+8,Key!$G$2:$G$263,0)),"#"),1,0))</f>
        <v/>
      </c>
      <c r="AZ37">
        <f>IF(OR($D37="",U37="",9&gt;$F37),0,IF(UPPER(TRIM(U37))=IFERROR(INDEX(Key!$C$2:$C$263,MATCH($D37*100+9,Key!$G$2:$G$263,0)),"#"),1,0))</f>
        <v/>
      </c>
      <c r="BA37">
        <f>IF(OR($D37="",V37="",10&gt;$F37),0,IF(UPPER(TRIM(V37))=IFERROR(INDEX(Key!$C$2:$C$263,MATCH($D37*100+10,Key!$G$2:$G$263,0)),"#"),1,0))</f>
        <v/>
      </c>
      <c r="BB37">
        <f>IF(OR($D37="",W37="",11&gt;$F37),0,IF(UPPER(TRIM(W37))=IFERROR(INDEX(Key!$C$2:$C$263,MATCH($D37*100+11,Key!$G$2:$G$263,0)),"#"),1,0))</f>
        <v/>
      </c>
      <c r="BC37">
        <f>IF(OR($D37="",X37="",12&gt;$F37),0,IF(UPPER(TRIM(X37))=IFERROR(INDEX(Key!$C$2:$C$263,MATCH($D37*100+12,Key!$G$2:$G$263,0)),"#"),1,0))</f>
        <v/>
      </c>
      <c r="BD37">
        <f>IF(OR($D37="",Y37="",13&gt;$F37),0,IF(UPPER(TRIM(Y37))=IFERROR(INDEX(Key!$C$2:$C$263,MATCH($D37*100+13,Key!$G$2:$G$263,0)),"#"),1,0))</f>
        <v/>
      </c>
      <c r="BE37">
        <f>IF(OR($D37="",Z37="",14&gt;$F37),0,IF(UPPER(TRIM(Z37))=IFERROR(INDEX(Key!$C$2:$C$263,MATCH($D37*100+14,Key!$G$2:$G$263,0)),"#"),1,0))</f>
        <v/>
      </c>
      <c r="BF37">
        <f>IF(OR($D37="",AA37="",15&gt;$F37),0,IF(UPPER(TRIM(AA37))=IFERROR(INDEX(Key!$C$2:$C$263,MATCH($D37*100+15,Key!$G$2:$G$263,0)),"#"),1,0))</f>
        <v/>
      </c>
      <c r="BG37">
        <f>IF(OR($D37="",AB37="",16&gt;$F37),0,IF(UPPER(TRIM(AB37))=IFERROR(INDEX(Key!$C$2:$C$263,MATCH($D37*100+16,Key!$G$2:$G$263,0)),"#"),1,0))</f>
        <v/>
      </c>
      <c r="BH37">
        <f>IF(OR($D37="",AC37="",17&gt;$F37),0,IF(UPPER(TRIM(AC37))=IFERROR(INDEX(Key!$C$2:$C$263,MATCH($D37*100+17,Key!$G$2:$G$263,0)),"#"),1,0))</f>
        <v/>
      </c>
      <c r="BI37">
        <f>IF(OR($D37="",AD37="",18&gt;$F37),0,IF(UPPER(TRIM(AD37))=IFERROR(INDEX(Key!$C$2:$C$263,MATCH($D37*100+18,Key!$G$2:$G$263,0)),"#"),1,0))</f>
        <v/>
      </c>
      <c r="BJ37">
        <f>IF(OR($D37="",AE37="",19&gt;$F37),0,IF(UPPER(TRIM(AE37))=IFERROR(INDEX(Key!$C$2:$C$263,MATCH($D37*100+19,Key!$G$2:$G$263,0)),"#"),1,0))</f>
        <v/>
      </c>
      <c r="BK37">
        <f>IF(OR($D37="",AF37="",20&gt;$F37),0,IF(UPPER(TRIM(AF37))=IFERROR(INDEX(Key!$C$2:$C$263,MATCH($D37*100+20,Key!$G$2:$G$263,0)),"#"),1,0))</f>
        <v/>
      </c>
      <c r="BL37">
        <f>IF(OR($D37="",AG37="",21&gt;$F37),0,IF(UPPER(TRIM(AG37))=IFERROR(INDEX(Key!$C$2:$C$263,MATCH($D37*100+21,Key!$G$2:$G$263,0)),"#"),1,0))</f>
        <v/>
      </c>
      <c r="BM37">
        <f>IF(OR($D37="",AH37="",22&gt;$F37),0,IF(UPPER(TRIM(AH37))=IFERROR(INDEX(Key!$C$2:$C$263,MATCH($D37*100+22,Key!$G$2:$G$263,0)),"#"),1,0))</f>
        <v/>
      </c>
      <c r="BN37">
        <f>IF(OR($D37="",AI37="",23&gt;$F37),0,IF(UPPER(TRIM(AI37))=IFERROR(INDEX(Key!$C$2:$C$263,MATCH($D37*100+23,Key!$G$2:$G$263,0)),"#"),1,0))</f>
        <v/>
      </c>
      <c r="BO37">
        <f>IF(OR($D37="",AJ37="",24&gt;$F37),0,IF(UPPER(TRIM(AJ37))=IFERROR(INDEX(Key!$C$2:$C$263,MATCH($D37*100+24,Key!$G$2:$G$263,0)),"#"),1,0))</f>
        <v/>
      </c>
      <c r="BP37">
        <f>IF(OR($D37="",AK37="",25&gt;$F37),0,IF(UPPER(TRIM(AK37))=IFERROR(INDEX(Key!$C$2:$C$263,MATCH($D37*100+25,Key!$G$2:$G$263,0)),"#"),1,0))</f>
        <v/>
      </c>
      <c r="BQ37">
        <f>IF(OR($D37="",AL37="",26&gt;$F37),0,IF(UPPER(TRIM(AL37))=IFERROR(INDEX(Key!$C$2:$C$263,MATCH($D37*100+26,Key!$G$2:$G$263,0)),"#"),1,0))</f>
        <v/>
      </c>
      <c r="BR37">
        <f>IF(OR($D37="",AM37="",27&gt;$F37),0,IF(UPPER(TRIM(AM37))=IFERROR(INDEX(Key!$C$2:$C$263,MATCH($D37*100+27,Key!$G$2:$G$263,0)),"#"),1,0))</f>
        <v/>
      </c>
      <c r="BS37">
        <f>IF(OR($D37="",AN37="",28&gt;$F37),0,IF(UPPER(TRIM(AN37))=IFERROR(INDEX(Key!$C$2:$C$263,MATCH($D37*100+28,Key!$G$2:$G$263,0)),"#"),1,0))</f>
        <v/>
      </c>
      <c r="BT37">
        <f>IF(OR($D37="",AO37="",29&gt;$F37),0,IF(UPPER(TRIM(AO37))=IFERROR(INDEX(Key!$C$2:$C$263,MATCH($D37*100+29,Key!$G$2:$G$263,0)),"#"),1,0))</f>
        <v/>
      </c>
      <c r="BU37">
        <f>IF(OR($D37="",AP37="",30&gt;$F37),0,IF(UPPER(TRIM(AP37))=IFERROR(INDEX(Key!$C$2:$C$263,MATCH($D37*100+30,Key!$G$2:$G$263,0)),"#"),1,0))</f>
        <v/>
      </c>
    </row>
    <row r="38">
      <c r="A38" s="6" t="n"/>
      <c r="B38" s="6" t="n"/>
      <c r="C38" s="6" t="n"/>
      <c r="D38" s="6" t="n"/>
      <c r="E38" s="7">
        <f>IF($D38="","",IFERROR(INDEX(Papers!$B$2:$B$12,MATCH($D38,Papers!$A$2:$A$12,0)),"?"))</f>
        <v/>
      </c>
      <c r="F38" s="7">
        <f>IF($D38="","",IFERROR(INDEX(Papers!$C$2:$C$12,MATCH($D38,Papers!$A$2:$A$12,0)),0))</f>
        <v/>
      </c>
      <c r="G38" s="7">
        <f>IF($D38="","",COUNTIF(M38:AP38,"?*"))</f>
        <v/>
      </c>
      <c r="H38" s="7">
        <f>IF($D38="","",SUM(AR38:BU38))</f>
        <v/>
      </c>
      <c r="I38" s="7">
        <f>IF($D38="","",G38-H38)</f>
        <v/>
      </c>
      <c r="J38" s="7">
        <f>IF($D38="","",F38-G38)</f>
        <v/>
      </c>
      <c r="K38" s="7">
        <f>IF($D38="","",H38)</f>
        <v/>
      </c>
      <c r="L38" s="7">
        <f>IF($D38="","",IF(F38=0,"",ROUND(H38/F38*100,1)))</f>
        <v/>
      </c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R38">
        <f>IF(OR($D38="",M38="",1&gt;$F38),0,IF(UPPER(TRIM(M38))=IFERROR(INDEX(Key!$C$2:$C$263,MATCH($D38*100+1,Key!$G$2:$G$263,0)),"#"),1,0))</f>
        <v/>
      </c>
      <c r="AS38">
        <f>IF(OR($D38="",N38="",2&gt;$F38),0,IF(UPPER(TRIM(N38))=IFERROR(INDEX(Key!$C$2:$C$263,MATCH($D38*100+2,Key!$G$2:$G$263,0)),"#"),1,0))</f>
        <v/>
      </c>
      <c r="AT38">
        <f>IF(OR($D38="",O38="",3&gt;$F38),0,IF(UPPER(TRIM(O38))=IFERROR(INDEX(Key!$C$2:$C$263,MATCH($D38*100+3,Key!$G$2:$G$263,0)),"#"),1,0))</f>
        <v/>
      </c>
      <c r="AU38">
        <f>IF(OR($D38="",P38="",4&gt;$F38),0,IF(UPPER(TRIM(P38))=IFERROR(INDEX(Key!$C$2:$C$263,MATCH($D38*100+4,Key!$G$2:$G$263,0)),"#"),1,0))</f>
        <v/>
      </c>
      <c r="AV38">
        <f>IF(OR($D38="",Q38="",5&gt;$F38),0,IF(UPPER(TRIM(Q38))=IFERROR(INDEX(Key!$C$2:$C$263,MATCH($D38*100+5,Key!$G$2:$G$263,0)),"#"),1,0))</f>
        <v/>
      </c>
      <c r="AW38">
        <f>IF(OR($D38="",R38="",6&gt;$F38),0,IF(UPPER(TRIM(R38))=IFERROR(INDEX(Key!$C$2:$C$263,MATCH($D38*100+6,Key!$G$2:$G$263,0)),"#"),1,0))</f>
        <v/>
      </c>
      <c r="AX38">
        <f>IF(OR($D38="",S38="",7&gt;$F38),0,IF(UPPER(TRIM(S38))=IFERROR(INDEX(Key!$C$2:$C$263,MATCH($D38*100+7,Key!$G$2:$G$263,0)),"#"),1,0))</f>
        <v/>
      </c>
      <c r="AY38">
        <f>IF(OR($D38="",T38="",8&gt;$F38),0,IF(UPPER(TRIM(T38))=IFERROR(INDEX(Key!$C$2:$C$263,MATCH($D38*100+8,Key!$G$2:$G$263,0)),"#"),1,0))</f>
        <v/>
      </c>
      <c r="AZ38">
        <f>IF(OR($D38="",U38="",9&gt;$F38),0,IF(UPPER(TRIM(U38))=IFERROR(INDEX(Key!$C$2:$C$263,MATCH($D38*100+9,Key!$G$2:$G$263,0)),"#"),1,0))</f>
        <v/>
      </c>
      <c r="BA38">
        <f>IF(OR($D38="",V38="",10&gt;$F38),0,IF(UPPER(TRIM(V38))=IFERROR(INDEX(Key!$C$2:$C$263,MATCH($D38*100+10,Key!$G$2:$G$263,0)),"#"),1,0))</f>
        <v/>
      </c>
      <c r="BB38">
        <f>IF(OR($D38="",W38="",11&gt;$F38),0,IF(UPPER(TRIM(W38))=IFERROR(INDEX(Key!$C$2:$C$263,MATCH($D38*100+11,Key!$G$2:$G$263,0)),"#"),1,0))</f>
        <v/>
      </c>
      <c r="BC38">
        <f>IF(OR($D38="",X38="",12&gt;$F38),0,IF(UPPER(TRIM(X38))=IFERROR(INDEX(Key!$C$2:$C$263,MATCH($D38*100+12,Key!$G$2:$G$263,0)),"#"),1,0))</f>
        <v/>
      </c>
      <c r="BD38">
        <f>IF(OR($D38="",Y38="",13&gt;$F38),0,IF(UPPER(TRIM(Y38))=IFERROR(INDEX(Key!$C$2:$C$263,MATCH($D38*100+13,Key!$G$2:$G$263,0)),"#"),1,0))</f>
        <v/>
      </c>
      <c r="BE38">
        <f>IF(OR($D38="",Z38="",14&gt;$F38),0,IF(UPPER(TRIM(Z38))=IFERROR(INDEX(Key!$C$2:$C$263,MATCH($D38*100+14,Key!$G$2:$G$263,0)),"#"),1,0))</f>
        <v/>
      </c>
      <c r="BF38">
        <f>IF(OR($D38="",AA38="",15&gt;$F38),0,IF(UPPER(TRIM(AA38))=IFERROR(INDEX(Key!$C$2:$C$263,MATCH($D38*100+15,Key!$G$2:$G$263,0)),"#"),1,0))</f>
        <v/>
      </c>
      <c r="BG38">
        <f>IF(OR($D38="",AB38="",16&gt;$F38),0,IF(UPPER(TRIM(AB38))=IFERROR(INDEX(Key!$C$2:$C$263,MATCH($D38*100+16,Key!$G$2:$G$263,0)),"#"),1,0))</f>
        <v/>
      </c>
      <c r="BH38">
        <f>IF(OR($D38="",AC38="",17&gt;$F38),0,IF(UPPER(TRIM(AC38))=IFERROR(INDEX(Key!$C$2:$C$263,MATCH($D38*100+17,Key!$G$2:$G$263,0)),"#"),1,0))</f>
        <v/>
      </c>
      <c r="BI38">
        <f>IF(OR($D38="",AD38="",18&gt;$F38),0,IF(UPPER(TRIM(AD38))=IFERROR(INDEX(Key!$C$2:$C$263,MATCH($D38*100+18,Key!$G$2:$G$263,0)),"#"),1,0))</f>
        <v/>
      </c>
      <c r="BJ38">
        <f>IF(OR($D38="",AE38="",19&gt;$F38),0,IF(UPPER(TRIM(AE38))=IFERROR(INDEX(Key!$C$2:$C$263,MATCH($D38*100+19,Key!$G$2:$G$263,0)),"#"),1,0))</f>
        <v/>
      </c>
      <c r="BK38">
        <f>IF(OR($D38="",AF38="",20&gt;$F38),0,IF(UPPER(TRIM(AF38))=IFERROR(INDEX(Key!$C$2:$C$263,MATCH($D38*100+20,Key!$G$2:$G$263,0)),"#"),1,0))</f>
        <v/>
      </c>
      <c r="BL38">
        <f>IF(OR($D38="",AG38="",21&gt;$F38),0,IF(UPPER(TRIM(AG38))=IFERROR(INDEX(Key!$C$2:$C$263,MATCH($D38*100+21,Key!$G$2:$G$263,0)),"#"),1,0))</f>
        <v/>
      </c>
      <c r="BM38">
        <f>IF(OR($D38="",AH38="",22&gt;$F38),0,IF(UPPER(TRIM(AH38))=IFERROR(INDEX(Key!$C$2:$C$263,MATCH($D38*100+22,Key!$G$2:$G$263,0)),"#"),1,0))</f>
        <v/>
      </c>
      <c r="BN38">
        <f>IF(OR($D38="",AI38="",23&gt;$F38),0,IF(UPPER(TRIM(AI38))=IFERROR(INDEX(Key!$C$2:$C$263,MATCH($D38*100+23,Key!$G$2:$G$263,0)),"#"),1,0))</f>
        <v/>
      </c>
      <c r="BO38">
        <f>IF(OR($D38="",AJ38="",24&gt;$F38),0,IF(UPPER(TRIM(AJ38))=IFERROR(INDEX(Key!$C$2:$C$263,MATCH($D38*100+24,Key!$G$2:$G$263,0)),"#"),1,0))</f>
        <v/>
      </c>
      <c r="BP38">
        <f>IF(OR($D38="",AK38="",25&gt;$F38),0,IF(UPPER(TRIM(AK38))=IFERROR(INDEX(Key!$C$2:$C$263,MATCH($D38*100+25,Key!$G$2:$G$263,0)),"#"),1,0))</f>
        <v/>
      </c>
      <c r="BQ38">
        <f>IF(OR($D38="",AL38="",26&gt;$F38),0,IF(UPPER(TRIM(AL38))=IFERROR(INDEX(Key!$C$2:$C$263,MATCH($D38*100+26,Key!$G$2:$G$263,0)),"#"),1,0))</f>
        <v/>
      </c>
      <c r="BR38">
        <f>IF(OR($D38="",AM38="",27&gt;$F38),0,IF(UPPER(TRIM(AM38))=IFERROR(INDEX(Key!$C$2:$C$263,MATCH($D38*100+27,Key!$G$2:$G$263,0)),"#"),1,0))</f>
        <v/>
      </c>
      <c r="BS38">
        <f>IF(OR($D38="",AN38="",28&gt;$F38),0,IF(UPPER(TRIM(AN38))=IFERROR(INDEX(Key!$C$2:$C$263,MATCH($D38*100+28,Key!$G$2:$G$263,0)),"#"),1,0))</f>
        <v/>
      </c>
      <c r="BT38">
        <f>IF(OR($D38="",AO38="",29&gt;$F38),0,IF(UPPER(TRIM(AO38))=IFERROR(INDEX(Key!$C$2:$C$263,MATCH($D38*100+29,Key!$G$2:$G$263,0)),"#"),1,0))</f>
        <v/>
      </c>
      <c r="BU38">
        <f>IF(OR($D38="",AP38="",30&gt;$F38),0,IF(UPPER(TRIM(AP38))=IFERROR(INDEX(Key!$C$2:$C$263,MATCH($D38*100+30,Key!$G$2:$G$263,0)),"#"),1,0))</f>
        <v/>
      </c>
    </row>
    <row r="39">
      <c r="A39" s="6" t="n"/>
      <c r="B39" s="6" t="n"/>
      <c r="C39" s="6" t="n"/>
      <c r="D39" s="6" t="n"/>
      <c r="E39" s="7">
        <f>IF($D39="","",IFERROR(INDEX(Papers!$B$2:$B$12,MATCH($D39,Papers!$A$2:$A$12,0)),"?"))</f>
        <v/>
      </c>
      <c r="F39" s="7">
        <f>IF($D39="","",IFERROR(INDEX(Papers!$C$2:$C$12,MATCH($D39,Papers!$A$2:$A$12,0)),0))</f>
        <v/>
      </c>
      <c r="G39" s="7">
        <f>IF($D39="","",COUNTIF(M39:AP39,"?*"))</f>
        <v/>
      </c>
      <c r="H39" s="7">
        <f>IF($D39="","",SUM(AR39:BU39))</f>
        <v/>
      </c>
      <c r="I39" s="7">
        <f>IF($D39="","",G39-H39)</f>
        <v/>
      </c>
      <c r="J39" s="7">
        <f>IF($D39="","",F39-G39)</f>
        <v/>
      </c>
      <c r="K39" s="7">
        <f>IF($D39="","",H39)</f>
        <v/>
      </c>
      <c r="L39" s="7">
        <f>IF($D39="","",IF(F39=0,"",ROUND(H39/F39*100,1)))</f>
        <v/>
      </c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R39">
        <f>IF(OR($D39="",M39="",1&gt;$F39),0,IF(UPPER(TRIM(M39))=IFERROR(INDEX(Key!$C$2:$C$263,MATCH($D39*100+1,Key!$G$2:$G$263,0)),"#"),1,0))</f>
        <v/>
      </c>
      <c r="AS39">
        <f>IF(OR($D39="",N39="",2&gt;$F39),0,IF(UPPER(TRIM(N39))=IFERROR(INDEX(Key!$C$2:$C$263,MATCH($D39*100+2,Key!$G$2:$G$263,0)),"#"),1,0))</f>
        <v/>
      </c>
      <c r="AT39">
        <f>IF(OR($D39="",O39="",3&gt;$F39),0,IF(UPPER(TRIM(O39))=IFERROR(INDEX(Key!$C$2:$C$263,MATCH($D39*100+3,Key!$G$2:$G$263,0)),"#"),1,0))</f>
        <v/>
      </c>
      <c r="AU39">
        <f>IF(OR($D39="",P39="",4&gt;$F39),0,IF(UPPER(TRIM(P39))=IFERROR(INDEX(Key!$C$2:$C$263,MATCH($D39*100+4,Key!$G$2:$G$263,0)),"#"),1,0))</f>
        <v/>
      </c>
      <c r="AV39">
        <f>IF(OR($D39="",Q39="",5&gt;$F39),0,IF(UPPER(TRIM(Q39))=IFERROR(INDEX(Key!$C$2:$C$263,MATCH($D39*100+5,Key!$G$2:$G$263,0)),"#"),1,0))</f>
        <v/>
      </c>
      <c r="AW39">
        <f>IF(OR($D39="",R39="",6&gt;$F39),0,IF(UPPER(TRIM(R39))=IFERROR(INDEX(Key!$C$2:$C$263,MATCH($D39*100+6,Key!$G$2:$G$263,0)),"#"),1,0))</f>
        <v/>
      </c>
      <c r="AX39">
        <f>IF(OR($D39="",S39="",7&gt;$F39),0,IF(UPPER(TRIM(S39))=IFERROR(INDEX(Key!$C$2:$C$263,MATCH($D39*100+7,Key!$G$2:$G$263,0)),"#"),1,0))</f>
        <v/>
      </c>
      <c r="AY39">
        <f>IF(OR($D39="",T39="",8&gt;$F39),0,IF(UPPER(TRIM(T39))=IFERROR(INDEX(Key!$C$2:$C$263,MATCH($D39*100+8,Key!$G$2:$G$263,0)),"#"),1,0))</f>
        <v/>
      </c>
      <c r="AZ39">
        <f>IF(OR($D39="",U39="",9&gt;$F39),0,IF(UPPER(TRIM(U39))=IFERROR(INDEX(Key!$C$2:$C$263,MATCH($D39*100+9,Key!$G$2:$G$263,0)),"#"),1,0))</f>
        <v/>
      </c>
      <c r="BA39">
        <f>IF(OR($D39="",V39="",10&gt;$F39),0,IF(UPPER(TRIM(V39))=IFERROR(INDEX(Key!$C$2:$C$263,MATCH($D39*100+10,Key!$G$2:$G$263,0)),"#"),1,0))</f>
        <v/>
      </c>
      <c r="BB39">
        <f>IF(OR($D39="",W39="",11&gt;$F39),0,IF(UPPER(TRIM(W39))=IFERROR(INDEX(Key!$C$2:$C$263,MATCH($D39*100+11,Key!$G$2:$G$263,0)),"#"),1,0))</f>
        <v/>
      </c>
      <c r="BC39">
        <f>IF(OR($D39="",X39="",12&gt;$F39),0,IF(UPPER(TRIM(X39))=IFERROR(INDEX(Key!$C$2:$C$263,MATCH($D39*100+12,Key!$G$2:$G$263,0)),"#"),1,0))</f>
        <v/>
      </c>
      <c r="BD39">
        <f>IF(OR($D39="",Y39="",13&gt;$F39),0,IF(UPPER(TRIM(Y39))=IFERROR(INDEX(Key!$C$2:$C$263,MATCH($D39*100+13,Key!$G$2:$G$263,0)),"#"),1,0))</f>
        <v/>
      </c>
      <c r="BE39">
        <f>IF(OR($D39="",Z39="",14&gt;$F39),0,IF(UPPER(TRIM(Z39))=IFERROR(INDEX(Key!$C$2:$C$263,MATCH($D39*100+14,Key!$G$2:$G$263,0)),"#"),1,0))</f>
        <v/>
      </c>
      <c r="BF39">
        <f>IF(OR($D39="",AA39="",15&gt;$F39),0,IF(UPPER(TRIM(AA39))=IFERROR(INDEX(Key!$C$2:$C$263,MATCH($D39*100+15,Key!$G$2:$G$263,0)),"#"),1,0))</f>
        <v/>
      </c>
      <c r="BG39">
        <f>IF(OR($D39="",AB39="",16&gt;$F39),0,IF(UPPER(TRIM(AB39))=IFERROR(INDEX(Key!$C$2:$C$263,MATCH($D39*100+16,Key!$G$2:$G$263,0)),"#"),1,0))</f>
        <v/>
      </c>
      <c r="BH39">
        <f>IF(OR($D39="",AC39="",17&gt;$F39),0,IF(UPPER(TRIM(AC39))=IFERROR(INDEX(Key!$C$2:$C$263,MATCH($D39*100+17,Key!$G$2:$G$263,0)),"#"),1,0))</f>
        <v/>
      </c>
      <c r="BI39">
        <f>IF(OR($D39="",AD39="",18&gt;$F39),0,IF(UPPER(TRIM(AD39))=IFERROR(INDEX(Key!$C$2:$C$263,MATCH($D39*100+18,Key!$G$2:$G$263,0)),"#"),1,0))</f>
        <v/>
      </c>
      <c r="BJ39">
        <f>IF(OR($D39="",AE39="",19&gt;$F39),0,IF(UPPER(TRIM(AE39))=IFERROR(INDEX(Key!$C$2:$C$263,MATCH($D39*100+19,Key!$G$2:$G$263,0)),"#"),1,0))</f>
        <v/>
      </c>
      <c r="BK39">
        <f>IF(OR($D39="",AF39="",20&gt;$F39),0,IF(UPPER(TRIM(AF39))=IFERROR(INDEX(Key!$C$2:$C$263,MATCH($D39*100+20,Key!$G$2:$G$263,0)),"#"),1,0))</f>
        <v/>
      </c>
      <c r="BL39">
        <f>IF(OR($D39="",AG39="",21&gt;$F39),0,IF(UPPER(TRIM(AG39))=IFERROR(INDEX(Key!$C$2:$C$263,MATCH($D39*100+21,Key!$G$2:$G$263,0)),"#"),1,0))</f>
        <v/>
      </c>
      <c r="BM39">
        <f>IF(OR($D39="",AH39="",22&gt;$F39),0,IF(UPPER(TRIM(AH39))=IFERROR(INDEX(Key!$C$2:$C$263,MATCH($D39*100+22,Key!$G$2:$G$263,0)),"#"),1,0))</f>
        <v/>
      </c>
      <c r="BN39">
        <f>IF(OR($D39="",AI39="",23&gt;$F39),0,IF(UPPER(TRIM(AI39))=IFERROR(INDEX(Key!$C$2:$C$263,MATCH($D39*100+23,Key!$G$2:$G$263,0)),"#"),1,0))</f>
        <v/>
      </c>
      <c r="BO39">
        <f>IF(OR($D39="",AJ39="",24&gt;$F39),0,IF(UPPER(TRIM(AJ39))=IFERROR(INDEX(Key!$C$2:$C$263,MATCH($D39*100+24,Key!$G$2:$G$263,0)),"#"),1,0))</f>
        <v/>
      </c>
      <c r="BP39">
        <f>IF(OR($D39="",AK39="",25&gt;$F39),0,IF(UPPER(TRIM(AK39))=IFERROR(INDEX(Key!$C$2:$C$263,MATCH($D39*100+25,Key!$G$2:$G$263,0)),"#"),1,0))</f>
        <v/>
      </c>
      <c r="BQ39">
        <f>IF(OR($D39="",AL39="",26&gt;$F39),0,IF(UPPER(TRIM(AL39))=IFERROR(INDEX(Key!$C$2:$C$263,MATCH($D39*100+26,Key!$G$2:$G$263,0)),"#"),1,0))</f>
        <v/>
      </c>
      <c r="BR39">
        <f>IF(OR($D39="",AM39="",27&gt;$F39),0,IF(UPPER(TRIM(AM39))=IFERROR(INDEX(Key!$C$2:$C$263,MATCH($D39*100+27,Key!$G$2:$G$263,0)),"#"),1,0))</f>
        <v/>
      </c>
      <c r="BS39">
        <f>IF(OR($D39="",AN39="",28&gt;$F39),0,IF(UPPER(TRIM(AN39))=IFERROR(INDEX(Key!$C$2:$C$263,MATCH($D39*100+28,Key!$G$2:$G$263,0)),"#"),1,0))</f>
        <v/>
      </c>
      <c r="BT39">
        <f>IF(OR($D39="",AO39="",29&gt;$F39),0,IF(UPPER(TRIM(AO39))=IFERROR(INDEX(Key!$C$2:$C$263,MATCH($D39*100+29,Key!$G$2:$G$263,0)),"#"),1,0))</f>
        <v/>
      </c>
      <c r="BU39">
        <f>IF(OR($D39="",AP39="",30&gt;$F39),0,IF(UPPER(TRIM(AP39))=IFERROR(INDEX(Key!$C$2:$C$263,MATCH($D39*100+30,Key!$G$2:$G$263,0)),"#"),1,0))</f>
        <v/>
      </c>
    </row>
    <row r="40">
      <c r="A40" s="6" t="n"/>
      <c r="B40" s="6" t="n"/>
      <c r="C40" s="6" t="n"/>
      <c r="D40" s="6" t="n"/>
      <c r="E40" s="7">
        <f>IF($D40="","",IFERROR(INDEX(Papers!$B$2:$B$12,MATCH($D40,Papers!$A$2:$A$12,0)),"?"))</f>
        <v/>
      </c>
      <c r="F40" s="7">
        <f>IF($D40="","",IFERROR(INDEX(Papers!$C$2:$C$12,MATCH($D40,Papers!$A$2:$A$12,0)),0))</f>
        <v/>
      </c>
      <c r="G40" s="7">
        <f>IF($D40="","",COUNTIF(M40:AP40,"?*"))</f>
        <v/>
      </c>
      <c r="H40" s="7">
        <f>IF($D40="","",SUM(AR40:BU40))</f>
        <v/>
      </c>
      <c r="I40" s="7">
        <f>IF($D40="","",G40-H40)</f>
        <v/>
      </c>
      <c r="J40" s="7">
        <f>IF($D40="","",F40-G40)</f>
        <v/>
      </c>
      <c r="K40" s="7">
        <f>IF($D40="","",H40)</f>
        <v/>
      </c>
      <c r="L40" s="7">
        <f>IF($D40="","",IF(F40=0,"",ROUND(H40/F40*100,1)))</f>
        <v/>
      </c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R40">
        <f>IF(OR($D40="",M40="",1&gt;$F40),0,IF(UPPER(TRIM(M40))=IFERROR(INDEX(Key!$C$2:$C$263,MATCH($D40*100+1,Key!$G$2:$G$263,0)),"#"),1,0))</f>
        <v/>
      </c>
      <c r="AS40">
        <f>IF(OR($D40="",N40="",2&gt;$F40),0,IF(UPPER(TRIM(N40))=IFERROR(INDEX(Key!$C$2:$C$263,MATCH($D40*100+2,Key!$G$2:$G$263,0)),"#"),1,0))</f>
        <v/>
      </c>
      <c r="AT40">
        <f>IF(OR($D40="",O40="",3&gt;$F40),0,IF(UPPER(TRIM(O40))=IFERROR(INDEX(Key!$C$2:$C$263,MATCH($D40*100+3,Key!$G$2:$G$263,0)),"#"),1,0))</f>
        <v/>
      </c>
      <c r="AU40">
        <f>IF(OR($D40="",P40="",4&gt;$F40),0,IF(UPPER(TRIM(P40))=IFERROR(INDEX(Key!$C$2:$C$263,MATCH($D40*100+4,Key!$G$2:$G$263,0)),"#"),1,0))</f>
        <v/>
      </c>
      <c r="AV40">
        <f>IF(OR($D40="",Q40="",5&gt;$F40),0,IF(UPPER(TRIM(Q40))=IFERROR(INDEX(Key!$C$2:$C$263,MATCH($D40*100+5,Key!$G$2:$G$263,0)),"#"),1,0))</f>
        <v/>
      </c>
      <c r="AW40">
        <f>IF(OR($D40="",R40="",6&gt;$F40),0,IF(UPPER(TRIM(R40))=IFERROR(INDEX(Key!$C$2:$C$263,MATCH($D40*100+6,Key!$G$2:$G$263,0)),"#"),1,0))</f>
        <v/>
      </c>
      <c r="AX40">
        <f>IF(OR($D40="",S40="",7&gt;$F40),0,IF(UPPER(TRIM(S40))=IFERROR(INDEX(Key!$C$2:$C$263,MATCH($D40*100+7,Key!$G$2:$G$263,0)),"#"),1,0))</f>
        <v/>
      </c>
      <c r="AY40">
        <f>IF(OR($D40="",T40="",8&gt;$F40),0,IF(UPPER(TRIM(T40))=IFERROR(INDEX(Key!$C$2:$C$263,MATCH($D40*100+8,Key!$G$2:$G$263,0)),"#"),1,0))</f>
        <v/>
      </c>
      <c r="AZ40">
        <f>IF(OR($D40="",U40="",9&gt;$F40),0,IF(UPPER(TRIM(U40))=IFERROR(INDEX(Key!$C$2:$C$263,MATCH($D40*100+9,Key!$G$2:$G$263,0)),"#"),1,0))</f>
        <v/>
      </c>
      <c r="BA40">
        <f>IF(OR($D40="",V40="",10&gt;$F40),0,IF(UPPER(TRIM(V40))=IFERROR(INDEX(Key!$C$2:$C$263,MATCH($D40*100+10,Key!$G$2:$G$263,0)),"#"),1,0))</f>
        <v/>
      </c>
      <c r="BB40">
        <f>IF(OR($D40="",W40="",11&gt;$F40),0,IF(UPPER(TRIM(W40))=IFERROR(INDEX(Key!$C$2:$C$263,MATCH($D40*100+11,Key!$G$2:$G$263,0)),"#"),1,0))</f>
        <v/>
      </c>
      <c r="BC40">
        <f>IF(OR($D40="",X40="",12&gt;$F40),0,IF(UPPER(TRIM(X40))=IFERROR(INDEX(Key!$C$2:$C$263,MATCH($D40*100+12,Key!$G$2:$G$263,0)),"#"),1,0))</f>
        <v/>
      </c>
      <c r="BD40">
        <f>IF(OR($D40="",Y40="",13&gt;$F40),0,IF(UPPER(TRIM(Y40))=IFERROR(INDEX(Key!$C$2:$C$263,MATCH($D40*100+13,Key!$G$2:$G$263,0)),"#"),1,0))</f>
        <v/>
      </c>
      <c r="BE40">
        <f>IF(OR($D40="",Z40="",14&gt;$F40),0,IF(UPPER(TRIM(Z40))=IFERROR(INDEX(Key!$C$2:$C$263,MATCH($D40*100+14,Key!$G$2:$G$263,0)),"#"),1,0))</f>
        <v/>
      </c>
      <c r="BF40">
        <f>IF(OR($D40="",AA40="",15&gt;$F40),0,IF(UPPER(TRIM(AA40))=IFERROR(INDEX(Key!$C$2:$C$263,MATCH($D40*100+15,Key!$G$2:$G$263,0)),"#"),1,0))</f>
        <v/>
      </c>
      <c r="BG40">
        <f>IF(OR($D40="",AB40="",16&gt;$F40),0,IF(UPPER(TRIM(AB40))=IFERROR(INDEX(Key!$C$2:$C$263,MATCH($D40*100+16,Key!$G$2:$G$263,0)),"#"),1,0))</f>
        <v/>
      </c>
      <c r="BH40">
        <f>IF(OR($D40="",AC40="",17&gt;$F40),0,IF(UPPER(TRIM(AC40))=IFERROR(INDEX(Key!$C$2:$C$263,MATCH($D40*100+17,Key!$G$2:$G$263,0)),"#"),1,0))</f>
        <v/>
      </c>
      <c r="BI40">
        <f>IF(OR($D40="",AD40="",18&gt;$F40),0,IF(UPPER(TRIM(AD40))=IFERROR(INDEX(Key!$C$2:$C$263,MATCH($D40*100+18,Key!$G$2:$G$263,0)),"#"),1,0))</f>
        <v/>
      </c>
      <c r="BJ40">
        <f>IF(OR($D40="",AE40="",19&gt;$F40),0,IF(UPPER(TRIM(AE40))=IFERROR(INDEX(Key!$C$2:$C$263,MATCH($D40*100+19,Key!$G$2:$G$263,0)),"#"),1,0))</f>
        <v/>
      </c>
      <c r="BK40">
        <f>IF(OR($D40="",AF40="",20&gt;$F40),0,IF(UPPER(TRIM(AF40))=IFERROR(INDEX(Key!$C$2:$C$263,MATCH($D40*100+20,Key!$G$2:$G$263,0)),"#"),1,0))</f>
        <v/>
      </c>
      <c r="BL40">
        <f>IF(OR($D40="",AG40="",21&gt;$F40),0,IF(UPPER(TRIM(AG40))=IFERROR(INDEX(Key!$C$2:$C$263,MATCH($D40*100+21,Key!$G$2:$G$263,0)),"#"),1,0))</f>
        <v/>
      </c>
      <c r="BM40">
        <f>IF(OR($D40="",AH40="",22&gt;$F40),0,IF(UPPER(TRIM(AH40))=IFERROR(INDEX(Key!$C$2:$C$263,MATCH($D40*100+22,Key!$G$2:$G$263,0)),"#"),1,0))</f>
        <v/>
      </c>
      <c r="BN40">
        <f>IF(OR($D40="",AI40="",23&gt;$F40),0,IF(UPPER(TRIM(AI40))=IFERROR(INDEX(Key!$C$2:$C$263,MATCH($D40*100+23,Key!$G$2:$G$263,0)),"#"),1,0))</f>
        <v/>
      </c>
      <c r="BO40">
        <f>IF(OR($D40="",AJ40="",24&gt;$F40),0,IF(UPPER(TRIM(AJ40))=IFERROR(INDEX(Key!$C$2:$C$263,MATCH($D40*100+24,Key!$G$2:$G$263,0)),"#"),1,0))</f>
        <v/>
      </c>
      <c r="BP40">
        <f>IF(OR($D40="",AK40="",25&gt;$F40),0,IF(UPPER(TRIM(AK40))=IFERROR(INDEX(Key!$C$2:$C$263,MATCH($D40*100+25,Key!$G$2:$G$263,0)),"#"),1,0))</f>
        <v/>
      </c>
      <c r="BQ40">
        <f>IF(OR($D40="",AL40="",26&gt;$F40),0,IF(UPPER(TRIM(AL40))=IFERROR(INDEX(Key!$C$2:$C$263,MATCH($D40*100+26,Key!$G$2:$G$263,0)),"#"),1,0))</f>
        <v/>
      </c>
      <c r="BR40">
        <f>IF(OR($D40="",AM40="",27&gt;$F40),0,IF(UPPER(TRIM(AM40))=IFERROR(INDEX(Key!$C$2:$C$263,MATCH($D40*100+27,Key!$G$2:$G$263,0)),"#"),1,0))</f>
        <v/>
      </c>
      <c r="BS40">
        <f>IF(OR($D40="",AN40="",28&gt;$F40),0,IF(UPPER(TRIM(AN40))=IFERROR(INDEX(Key!$C$2:$C$263,MATCH($D40*100+28,Key!$G$2:$G$263,0)),"#"),1,0))</f>
        <v/>
      </c>
      <c r="BT40">
        <f>IF(OR($D40="",AO40="",29&gt;$F40),0,IF(UPPER(TRIM(AO40))=IFERROR(INDEX(Key!$C$2:$C$263,MATCH($D40*100+29,Key!$G$2:$G$263,0)),"#"),1,0))</f>
        <v/>
      </c>
      <c r="BU40">
        <f>IF(OR($D40="",AP40="",30&gt;$F40),0,IF(UPPER(TRIM(AP40))=IFERROR(INDEX(Key!$C$2:$C$263,MATCH($D40*100+30,Key!$G$2:$G$263,0)),"#"),1,0))</f>
        <v/>
      </c>
    </row>
    <row r="41">
      <c r="A41" s="6" t="n"/>
      <c r="B41" s="6" t="n"/>
      <c r="C41" s="6" t="n"/>
      <c r="D41" s="6" t="n"/>
      <c r="E41" s="7">
        <f>IF($D41="","",IFERROR(INDEX(Papers!$B$2:$B$12,MATCH($D41,Papers!$A$2:$A$12,0)),"?"))</f>
        <v/>
      </c>
      <c r="F41" s="7">
        <f>IF($D41="","",IFERROR(INDEX(Papers!$C$2:$C$12,MATCH($D41,Papers!$A$2:$A$12,0)),0))</f>
        <v/>
      </c>
      <c r="G41" s="7">
        <f>IF($D41="","",COUNTIF(M41:AP41,"?*"))</f>
        <v/>
      </c>
      <c r="H41" s="7">
        <f>IF($D41="","",SUM(AR41:BU41))</f>
        <v/>
      </c>
      <c r="I41" s="7">
        <f>IF($D41="","",G41-H41)</f>
        <v/>
      </c>
      <c r="J41" s="7">
        <f>IF($D41="","",F41-G41)</f>
        <v/>
      </c>
      <c r="K41" s="7">
        <f>IF($D41="","",H41)</f>
        <v/>
      </c>
      <c r="L41" s="7">
        <f>IF($D41="","",IF(F41=0,"",ROUND(H41/F41*100,1)))</f>
        <v/>
      </c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R41">
        <f>IF(OR($D41="",M41="",1&gt;$F41),0,IF(UPPER(TRIM(M41))=IFERROR(INDEX(Key!$C$2:$C$263,MATCH($D41*100+1,Key!$G$2:$G$263,0)),"#"),1,0))</f>
        <v/>
      </c>
      <c r="AS41">
        <f>IF(OR($D41="",N41="",2&gt;$F41),0,IF(UPPER(TRIM(N41))=IFERROR(INDEX(Key!$C$2:$C$263,MATCH($D41*100+2,Key!$G$2:$G$263,0)),"#"),1,0))</f>
        <v/>
      </c>
      <c r="AT41">
        <f>IF(OR($D41="",O41="",3&gt;$F41),0,IF(UPPER(TRIM(O41))=IFERROR(INDEX(Key!$C$2:$C$263,MATCH($D41*100+3,Key!$G$2:$G$263,0)),"#"),1,0))</f>
        <v/>
      </c>
      <c r="AU41">
        <f>IF(OR($D41="",P41="",4&gt;$F41),0,IF(UPPER(TRIM(P41))=IFERROR(INDEX(Key!$C$2:$C$263,MATCH($D41*100+4,Key!$G$2:$G$263,0)),"#"),1,0))</f>
        <v/>
      </c>
      <c r="AV41">
        <f>IF(OR($D41="",Q41="",5&gt;$F41),0,IF(UPPER(TRIM(Q41))=IFERROR(INDEX(Key!$C$2:$C$263,MATCH($D41*100+5,Key!$G$2:$G$263,0)),"#"),1,0))</f>
        <v/>
      </c>
      <c r="AW41">
        <f>IF(OR($D41="",R41="",6&gt;$F41),0,IF(UPPER(TRIM(R41))=IFERROR(INDEX(Key!$C$2:$C$263,MATCH($D41*100+6,Key!$G$2:$G$263,0)),"#"),1,0))</f>
        <v/>
      </c>
      <c r="AX41">
        <f>IF(OR($D41="",S41="",7&gt;$F41),0,IF(UPPER(TRIM(S41))=IFERROR(INDEX(Key!$C$2:$C$263,MATCH($D41*100+7,Key!$G$2:$G$263,0)),"#"),1,0))</f>
        <v/>
      </c>
      <c r="AY41">
        <f>IF(OR($D41="",T41="",8&gt;$F41),0,IF(UPPER(TRIM(T41))=IFERROR(INDEX(Key!$C$2:$C$263,MATCH($D41*100+8,Key!$G$2:$G$263,0)),"#"),1,0))</f>
        <v/>
      </c>
      <c r="AZ41">
        <f>IF(OR($D41="",U41="",9&gt;$F41),0,IF(UPPER(TRIM(U41))=IFERROR(INDEX(Key!$C$2:$C$263,MATCH($D41*100+9,Key!$G$2:$G$263,0)),"#"),1,0))</f>
        <v/>
      </c>
      <c r="BA41">
        <f>IF(OR($D41="",V41="",10&gt;$F41),0,IF(UPPER(TRIM(V41))=IFERROR(INDEX(Key!$C$2:$C$263,MATCH($D41*100+10,Key!$G$2:$G$263,0)),"#"),1,0))</f>
        <v/>
      </c>
      <c r="BB41">
        <f>IF(OR($D41="",W41="",11&gt;$F41),0,IF(UPPER(TRIM(W41))=IFERROR(INDEX(Key!$C$2:$C$263,MATCH($D41*100+11,Key!$G$2:$G$263,0)),"#"),1,0))</f>
        <v/>
      </c>
      <c r="BC41">
        <f>IF(OR($D41="",X41="",12&gt;$F41),0,IF(UPPER(TRIM(X41))=IFERROR(INDEX(Key!$C$2:$C$263,MATCH($D41*100+12,Key!$G$2:$G$263,0)),"#"),1,0))</f>
        <v/>
      </c>
      <c r="BD41">
        <f>IF(OR($D41="",Y41="",13&gt;$F41),0,IF(UPPER(TRIM(Y41))=IFERROR(INDEX(Key!$C$2:$C$263,MATCH($D41*100+13,Key!$G$2:$G$263,0)),"#"),1,0))</f>
        <v/>
      </c>
      <c r="BE41">
        <f>IF(OR($D41="",Z41="",14&gt;$F41),0,IF(UPPER(TRIM(Z41))=IFERROR(INDEX(Key!$C$2:$C$263,MATCH($D41*100+14,Key!$G$2:$G$263,0)),"#"),1,0))</f>
        <v/>
      </c>
      <c r="BF41">
        <f>IF(OR($D41="",AA41="",15&gt;$F41),0,IF(UPPER(TRIM(AA41))=IFERROR(INDEX(Key!$C$2:$C$263,MATCH($D41*100+15,Key!$G$2:$G$263,0)),"#"),1,0))</f>
        <v/>
      </c>
      <c r="BG41">
        <f>IF(OR($D41="",AB41="",16&gt;$F41),0,IF(UPPER(TRIM(AB41))=IFERROR(INDEX(Key!$C$2:$C$263,MATCH($D41*100+16,Key!$G$2:$G$263,0)),"#"),1,0))</f>
        <v/>
      </c>
      <c r="BH41">
        <f>IF(OR($D41="",AC41="",17&gt;$F41),0,IF(UPPER(TRIM(AC41))=IFERROR(INDEX(Key!$C$2:$C$263,MATCH($D41*100+17,Key!$G$2:$G$263,0)),"#"),1,0))</f>
        <v/>
      </c>
      <c r="BI41">
        <f>IF(OR($D41="",AD41="",18&gt;$F41),0,IF(UPPER(TRIM(AD41))=IFERROR(INDEX(Key!$C$2:$C$263,MATCH($D41*100+18,Key!$G$2:$G$263,0)),"#"),1,0))</f>
        <v/>
      </c>
      <c r="BJ41">
        <f>IF(OR($D41="",AE41="",19&gt;$F41),0,IF(UPPER(TRIM(AE41))=IFERROR(INDEX(Key!$C$2:$C$263,MATCH($D41*100+19,Key!$G$2:$G$263,0)),"#"),1,0))</f>
        <v/>
      </c>
      <c r="BK41">
        <f>IF(OR($D41="",AF41="",20&gt;$F41),0,IF(UPPER(TRIM(AF41))=IFERROR(INDEX(Key!$C$2:$C$263,MATCH($D41*100+20,Key!$G$2:$G$263,0)),"#"),1,0))</f>
        <v/>
      </c>
      <c r="BL41">
        <f>IF(OR($D41="",AG41="",21&gt;$F41),0,IF(UPPER(TRIM(AG41))=IFERROR(INDEX(Key!$C$2:$C$263,MATCH($D41*100+21,Key!$G$2:$G$263,0)),"#"),1,0))</f>
        <v/>
      </c>
      <c r="BM41">
        <f>IF(OR($D41="",AH41="",22&gt;$F41),0,IF(UPPER(TRIM(AH41))=IFERROR(INDEX(Key!$C$2:$C$263,MATCH($D41*100+22,Key!$G$2:$G$263,0)),"#"),1,0))</f>
        <v/>
      </c>
      <c r="BN41">
        <f>IF(OR($D41="",AI41="",23&gt;$F41),0,IF(UPPER(TRIM(AI41))=IFERROR(INDEX(Key!$C$2:$C$263,MATCH($D41*100+23,Key!$G$2:$G$263,0)),"#"),1,0))</f>
        <v/>
      </c>
      <c r="BO41">
        <f>IF(OR($D41="",AJ41="",24&gt;$F41),0,IF(UPPER(TRIM(AJ41))=IFERROR(INDEX(Key!$C$2:$C$263,MATCH($D41*100+24,Key!$G$2:$G$263,0)),"#"),1,0))</f>
        <v/>
      </c>
      <c r="BP41">
        <f>IF(OR($D41="",AK41="",25&gt;$F41),0,IF(UPPER(TRIM(AK41))=IFERROR(INDEX(Key!$C$2:$C$263,MATCH($D41*100+25,Key!$G$2:$G$263,0)),"#"),1,0))</f>
        <v/>
      </c>
      <c r="BQ41">
        <f>IF(OR($D41="",AL41="",26&gt;$F41),0,IF(UPPER(TRIM(AL41))=IFERROR(INDEX(Key!$C$2:$C$263,MATCH($D41*100+26,Key!$G$2:$G$263,0)),"#"),1,0))</f>
        <v/>
      </c>
      <c r="BR41">
        <f>IF(OR($D41="",AM41="",27&gt;$F41),0,IF(UPPER(TRIM(AM41))=IFERROR(INDEX(Key!$C$2:$C$263,MATCH($D41*100+27,Key!$G$2:$G$263,0)),"#"),1,0))</f>
        <v/>
      </c>
      <c r="BS41">
        <f>IF(OR($D41="",AN41="",28&gt;$F41),0,IF(UPPER(TRIM(AN41))=IFERROR(INDEX(Key!$C$2:$C$263,MATCH($D41*100+28,Key!$G$2:$G$263,0)),"#"),1,0))</f>
        <v/>
      </c>
      <c r="BT41">
        <f>IF(OR($D41="",AO41="",29&gt;$F41),0,IF(UPPER(TRIM(AO41))=IFERROR(INDEX(Key!$C$2:$C$263,MATCH($D41*100+29,Key!$G$2:$G$263,0)),"#"),1,0))</f>
        <v/>
      </c>
      <c r="BU41">
        <f>IF(OR($D41="",AP41="",30&gt;$F41),0,IF(UPPER(TRIM(AP41))=IFERROR(INDEX(Key!$C$2:$C$263,MATCH($D41*100+30,Key!$G$2:$G$263,0)),"#"),1,0))</f>
        <v/>
      </c>
    </row>
    <row r="42">
      <c r="A42" s="6" t="n"/>
      <c r="B42" s="6" t="n"/>
      <c r="C42" s="6" t="n"/>
      <c r="D42" s="6" t="n"/>
      <c r="E42" s="7">
        <f>IF($D42="","",IFERROR(INDEX(Papers!$B$2:$B$12,MATCH($D42,Papers!$A$2:$A$12,0)),"?"))</f>
        <v/>
      </c>
      <c r="F42" s="7">
        <f>IF($D42="","",IFERROR(INDEX(Papers!$C$2:$C$12,MATCH($D42,Papers!$A$2:$A$12,0)),0))</f>
        <v/>
      </c>
      <c r="G42" s="7">
        <f>IF($D42="","",COUNTIF(M42:AP42,"?*"))</f>
        <v/>
      </c>
      <c r="H42" s="7">
        <f>IF($D42="","",SUM(AR42:BU42))</f>
        <v/>
      </c>
      <c r="I42" s="7">
        <f>IF($D42="","",G42-H42)</f>
        <v/>
      </c>
      <c r="J42" s="7">
        <f>IF($D42="","",F42-G42)</f>
        <v/>
      </c>
      <c r="K42" s="7">
        <f>IF($D42="","",H42)</f>
        <v/>
      </c>
      <c r="L42" s="7">
        <f>IF($D42="","",IF(F42=0,"",ROUND(H42/F42*100,1)))</f>
        <v/>
      </c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R42">
        <f>IF(OR($D42="",M42="",1&gt;$F42),0,IF(UPPER(TRIM(M42))=IFERROR(INDEX(Key!$C$2:$C$263,MATCH($D42*100+1,Key!$G$2:$G$263,0)),"#"),1,0))</f>
        <v/>
      </c>
      <c r="AS42">
        <f>IF(OR($D42="",N42="",2&gt;$F42),0,IF(UPPER(TRIM(N42))=IFERROR(INDEX(Key!$C$2:$C$263,MATCH($D42*100+2,Key!$G$2:$G$263,0)),"#"),1,0))</f>
        <v/>
      </c>
      <c r="AT42">
        <f>IF(OR($D42="",O42="",3&gt;$F42),0,IF(UPPER(TRIM(O42))=IFERROR(INDEX(Key!$C$2:$C$263,MATCH($D42*100+3,Key!$G$2:$G$263,0)),"#"),1,0))</f>
        <v/>
      </c>
      <c r="AU42">
        <f>IF(OR($D42="",P42="",4&gt;$F42),0,IF(UPPER(TRIM(P42))=IFERROR(INDEX(Key!$C$2:$C$263,MATCH($D42*100+4,Key!$G$2:$G$263,0)),"#"),1,0))</f>
        <v/>
      </c>
      <c r="AV42">
        <f>IF(OR($D42="",Q42="",5&gt;$F42),0,IF(UPPER(TRIM(Q42))=IFERROR(INDEX(Key!$C$2:$C$263,MATCH($D42*100+5,Key!$G$2:$G$263,0)),"#"),1,0))</f>
        <v/>
      </c>
      <c r="AW42">
        <f>IF(OR($D42="",R42="",6&gt;$F42),0,IF(UPPER(TRIM(R42))=IFERROR(INDEX(Key!$C$2:$C$263,MATCH($D42*100+6,Key!$G$2:$G$263,0)),"#"),1,0))</f>
        <v/>
      </c>
      <c r="AX42">
        <f>IF(OR($D42="",S42="",7&gt;$F42),0,IF(UPPER(TRIM(S42))=IFERROR(INDEX(Key!$C$2:$C$263,MATCH($D42*100+7,Key!$G$2:$G$263,0)),"#"),1,0))</f>
        <v/>
      </c>
      <c r="AY42">
        <f>IF(OR($D42="",T42="",8&gt;$F42),0,IF(UPPER(TRIM(T42))=IFERROR(INDEX(Key!$C$2:$C$263,MATCH($D42*100+8,Key!$G$2:$G$263,0)),"#"),1,0))</f>
        <v/>
      </c>
      <c r="AZ42">
        <f>IF(OR($D42="",U42="",9&gt;$F42),0,IF(UPPER(TRIM(U42))=IFERROR(INDEX(Key!$C$2:$C$263,MATCH($D42*100+9,Key!$G$2:$G$263,0)),"#"),1,0))</f>
        <v/>
      </c>
      <c r="BA42">
        <f>IF(OR($D42="",V42="",10&gt;$F42),0,IF(UPPER(TRIM(V42))=IFERROR(INDEX(Key!$C$2:$C$263,MATCH($D42*100+10,Key!$G$2:$G$263,0)),"#"),1,0))</f>
        <v/>
      </c>
      <c r="BB42">
        <f>IF(OR($D42="",W42="",11&gt;$F42),0,IF(UPPER(TRIM(W42))=IFERROR(INDEX(Key!$C$2:$C$263,MATCH($D42*100+11,Key!$G$2:$G$263,0)),"#"),1,0))</f>
        <v/>
      </c>
      <c r="BC42">
        <f>IF(OR($D42="",X42="",12&gt;$F42),0,IF(UPPER(TRIM(X42))=IFERROR(INDEX(Key!$C$2:$C$263,MATCH($D42*100+12,Key!$G$2:$G$263,0)),"#"),1,0))</f>
        <v/>
      </c>
      <c r="BD42">
        <f>IF(OR($D42="",Y42="",13&gt;$F42),0,IF(UPPER(TRIM(Y42))=IFERROR(INDEX(Key!$C$2:$C$263,MATCH($D42*100+13,Key!$G$2:$G$263,0)),"#"),1,0))</f>
        <v/>
      </c>
      <c r="BE42">
        <f>IF(OR($D42="",Z42="",14&gt;$F42),0,IF(UPPER(TRIM(Z42))=IFERROR(INDEX(Key!$C$2:$C$263,MATCH($D42*100+14,Key!$G$2:$G$263,0)),"#"),1,0))</f>
        <v/>
      </c>
      <c r="BF42">
        <f>IF(OR($D42="",AA42="",15&gt;$F42),0,IF(UPPER(TRIM(AA42))=IFERROR(INDEX(Key!$C$2:$C$263,MATCH($D42*100+15,Key!$G$2:$G$263,0)),"#"),1,0))</f>
        <v/>
      </c>
      <c r="BG42">
        <f>IF(OR($D42="",AB42="",16&gt;$F42),0,IF(UPPER(TRIM(AB42))=IFERROR(INDEX(Key!$C$2:$C$263,MATCH($D42*100+16,Key!$G$2:$G$263,0)),"#"),1,0))</f>
        <v/>
      </c>
      <c r="BH42">
        <f>IF(OR($D42="",AC42="",17&gt;$F42),0,IF(UPPER(TRIM(AC42))=IFERROR(INDEX(Key!$C$2:$C$263,MATCH($D42*100+17,Key!$G$2:$G$263,0)),"#"),1,0))</f>
        <v/>
      </c>
      <c r="BI42">
        <f>IF(OR($D42="",AD42="",18&gt;$F42),0,IF(UPPER(TRIM(AD42))=IFERROR(INDEX(Key!$C$2:$C$263,MATCH($D42*100+18,Key!$G$2:$G$263,0)),"#"),1,0))</f>
        <v/>
      </c>
      <c r="BJ42">
        <f>IF(OR($D42="",AE42="",19&gt;$F42),0,IF(UPPER(TRIM(AE42))=IFERROR(INDEX(Key!$C$2:$C$263,MATCH($D42*100+19,Key!$G$2:$G$263,0)),"#"),1,0))</f>
        <v/>
      </c>
      <c r="BK42">
        <f>IF(OR($D42="",AF42="",20&gt;$F42),0,IF(UPPER(TRIM(AF42))=IFERROR(INDEX(Key!$C$2:$C$263,MATCH($D42*100+20,Key!$G$2:$G$263,0)),"#"),1,0))</f>
        <v/>
      </c>
      <c r="BL42">
        <f>IF(OR($D42="",AG42="",21&gt;$F42),0,IF(UPPER(TRIM(AG42))=IFERROR(INDEX(Key!$C$2:$C$263,MATCH($D42*100+21,Key!$G$2:$G$263,0)),"#"),1,0))</f>
        <v/>
      </c>
      <c r="BM42">
        <f>IF(OR($D42="",AH42="",22&gt;$F42),0,IF(UPPER(TRIM(AH42))=IFERROR(INDEX(Key!$C$2:$C$263,MATCH($D42*100+22,Key!$G$2:$G$263,0)),"#"),1,0))</f>
        <v/>
      </c>
      <c r="BN42">
        <f>IF(OR($D42="",AI42="",23&gt;$F42),0,IF(UPPER(TRIM(AI42))=IFERROR(INDEX(Key!$C$2:$C$263,MATCH($D42*100+23,Key!$G$2:$G$263,0)),"#"),1,0))</f>
        <v/>
      </c>
      <c r="BO42">
        <f>IF(OR($D42="",AJ42="",24&gt;$F42),0,IF(UPPER(TRIM(AJ42))=IFERROR(INDEX(Key!$C$2:$C$263,MATCH($D42*100+24,Key!$G$2:$G$263,0)),"#"),1,0))</f>
        <v/>
      </c>
      <c r="BP42">
        <f>IF(OR($D42="",AK42="",25&gt;$F42),0,IF(UPPER(TRIM(AK42))=IFERROR(INDEX(Key!$C$2:$C$263,MATCH($D42*100+25,Key!$G$2:$G$263,0)),"#"),1,0))</f>
        <v/>
      </c>
      <c r="BQ42">
        <f>IF(OR($D42="",AL42="",26&gt;$F42),0,IF(UPPER(TRIM(AL42))=IFERROR(INDEX(Key!$C$2:$C$263,MATCH($D42*100+26,Key!$G$2:$G$263,0)),"#"),1,0))</f>
        <v/>
      </c>
      <c r="BR42">
        <f>IF(OR($D42="",AM42="",27&gt;$F42),0,IF(UPPER(TRIM(AM42))=IFERROR(INDEX(Key!$C$2:$C$263,MATCH($D42*100+27,Key!$G$2:$G$263,0)),"#"),1,0))</f>
        <v/>
      </c>
      <c r="BS42">
        <f>IF(OR($D42="",AN42="",28&gt;$F42),0,IF(UPPER(TRIM(AN42))=IFERROR(INDEX(Key!$C$2:$C$263,MATCH($D42*100+28,Key!$G$2:$G$263,0)),"#"),1,0))</f>
        <v/>
      </c>
      <c r="BT42">
        <f>IF(OR($D42="",AO42="",29&gt;$F42),0,IF(UPPER(TRIM(AO42))=IFERROR(INDEX(Key!$C$2:$C$263,MATCH($D42*100+29,Key!$G$2:$G$263,0)),"#"),1,0))</f>
        <v/>
      </c>
      <c r="BU42">
        <f>IF(OR($D42="",AP42="",30&gt;$F42),0,IF(UPPER(TRIM(AP42))=IFERROR(INDEX(Key!$C$2:$C$263,MATCH($D42*100+30,Key!$G$2:$G$263,0)),"#"),1,0))</f>
        <v/>
      </c>
    </row>
    <row r="43">
      <c r="A43" s="6" t="n"/>
      <c r="B43" s="6" t="n"/>
      <c r="C43" s="6" t="n"/>
      <c r="D43" s="6" t="n"/>
      <c r="E43" s="7">
        <f>IF($D43="","",IFERROR(INDEX(Papers!$B$2:$B$12,MATCH($D43,Papers!$A$2:$A$12,0)),"?"))</f>
        <v/>
      </c>
      <c r="F43" s="7">
        <f>IF($D43="","",IFERROR(INDEX(Papers!$C$2:$C$12,MATCH($D43,Papers!$A$2:$A$12,0)),0))</f>
        <v/>
      </c>
      <c r="G43" s="7">
        <f>IF($D43="","",COUNTIF(M43:AP43,"?*"))</f>
        <v/>
      </c>
      <c r="H43" s="7">
        <f>IF($D43="","",SUM(AR43:BU43))</f>
        <v/>
      </c>
      <c r="I43" s="7">
        <f>IF($D43="","",G43-H43)</f>
        <v/>
      </c>
      <c r="J43" s="7">
        <f>IF($D43="","",F43-G43)</f>
        <v/>
      </c>
      <c r="K43" s="7">
        <f>IF($D43="","",H43)</f>
        <v/>
      </c>
      <c r="L43" s="7">
        <f>IF($D43="","",IF(F43=0,"",ROUND(H43/F43*100,1)))</f>
        <v/>
      </c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R43">
        <f>IF(OR($D43="",M43="",1&gt;$F43),0,IF(UPPER(TRIM(M43))=IFERROR(INDEX(Key!$C$2:$C$263,MATCH($D43*100+1,Key!$G$2:$G$263,0)),"#"),1,0))</f>
        <v/>
      </c>
      <c r="AS43">
        <f>IF(OR($D43="",N43="",2&gt;$F43),0,IF(UPPER(TRIM(N43))=IFERROR(INDEX(Key!$C$2:$C$263,MATCH($D43*100+2,Key!$G$2:$G$263,0)),"#"),1,0))</f>
        <v/>
      </c>
      <c r="AT43">
        <f>IF(OR($D43="",O43="",3&gt;$F43),0,IF(UPPER(TRIM(O43))=IFERROR(INDEX(Key!$C$2:$C$263,MATCH($D43*100+3,Key!$G$2:$G$263,0)),"#"),1,0))</f>
        <v/>
      </c>
      <c r="AU43">
        <f>IF(OR($D43="",P43="",4&gt;$F43),0,IF(UPPER(TRIM(P43))=IFERROR(INDEX(Key!$C$2:$C$263,MATCH($D43*100+4,Key!$G$2:$G$263,0)),"#"),1,0))</f>
        <v/>
      </c>
      <c r="AV43">
        <f>IF(OR($D43="",Q43="",5&gt;$F43),0,IF(UPPER(TRIM(Q43))=IFERROR(INDEX(Key!$C$2:$C$263,MATCH($D43*100+5,Key!$G$2:$G$263,0)),"#"),1,0))</f>
        <v/>
      </c>
      <c r="AW43">
        <f>IF(OR($D43="",R43="",6&gt;$F43),0,IF(UPPER(TRIM(R43))=IFERROR(INDEX(Key!$C$2:$C$263,MATCH($D43*100+6,Key!$G$2:$G$263,0)),"#"),1,0))</f>
        <v/>
      </c>
      <c r="AX43">
        <f>IF(OR($D43="",S43="",7&gt;$F43),0,IF(UPPER(TRIM(S43))=IFERROR(INDEX(Key!$C$2:$C$263,MATCH($D43*100+7,Key!$G$2:$G$263,0)),"#"),1,0))</f>
        <v/>
      </c>
      <c r="AY43">
        <f>IF(OR($D43="",T43="",8&gt;$F43),0,IF(UPPER(TRIM(T43))=IFERROR(INDEX(Key!$C$2:$C$263,MATCH($D43*100+8,Key!$G$2:$G$263,0)),"#"),1,0))</f>
        <v/>
      </c>
      <c r="AZ43">
        <f>IF(OR($D43="",U43="",9&gt;$F43),0,IF(UPPER(TRIM(U43))=IFERROR(INDEX(Key!$C$2:$C$263,MATCH($D43*100+9,Key!$G$2:$G$263,0)),"#"),1,0))</f>
        <v/>
      </c>
      <c r="BA43">
        <f>IF(OR($D43="",V43="",10&gt;$F43),0,IF(UPPER(TRIM(V43))=IFERROR(INDEX(Key!$C$2:$C$263,MATCH($D43*100+10,Key!$G$2:$G$263,0)),"#"),1,0))</f>
        <v/>
      </c>
      <c r="BB43">
        <f>IF(OR($D43="",W43="",11&gt;$F43),0,IF(UPPER(TRIM(W43))=IFERROR(INDEX(Key!$C$2:$C$263,MATCH($D43*100+11,Key!$G$2:$G$263,0)),"#"),1,0))</f>
        <v/>
      </c>
      <c r="BC43">
        <f>IF(OR($D43="",X43="",12&gt;$F43),0,IF(UPPER(TRIM(X43))=IFERROR(INDEX(Key!$C$2:$C$263,MATCH($D43*100+12,Key!$G$2:$G$263,0)),"#"),1,0))</f>
        <v/>
      </c>
      <c r="BD43">
        <f>IF(OR($D43="",Y43="",13&gt;$F43),0,IF(UPPER(TRIM(Y43))=IFERROR(INDEX(Key!$C$2:$C$263,MATCH($D43*100+13,Key!$G$2:$G$263,0)),"#"),1,0))</f>
        <v/>
      </c>
      <c r="BE43">
        <f>IF(OR($D43="",Z43="",14&gt;$F43),0,IF(UPPER(TRIM(Z43))=IFERROR(INDEX(Key!$C$2:$C$263,MATCH($D43*100+14,Key!$G$2:$G$263,0)),"#"),1,0))</f>
        <v/>
      </c>
      <c r="BF43">
        <f>IF(OR($D43="",AA43="",15&gt;$F43),0,IF(UPPER(TRIM(AA43))=IFERROR(INDEX(Key!$C$2:$C$263,MATCH($D43*100+15,Key!$G$2:$G$263,0)),"#"),1,0))</f>
        <v/>
      </c>
      <c r="BG43">
        <f>IF(OR($D43="",AB43="",16&gt;$F43),0,IF(UPPER(TRIM(AB43))=IFERROR(INDEX(Key!$C$2:$C$263,MATCH($D43*100+16,Key!$G$2:$G$263,0)),"#"),1,0))</f>
        <v/>
      </c>
      <c r="BH43">
        <f>IF(OR($D43="",AC43="",17&gt;$F43),0,IF(UPPER(TRIM(AC43))=IFERROR(INDEX(Key!$C$2:$C$263,MATCH($D43*100+17,Key!$G$2:$G$263,0)),"#"),1,0))</f>
        <v/>
      </c>
      <c r="BI43">
        <f>IF(OR($D43="",AD43="",18&gt;$F43),0,IF(UPPER(TRIM(AD43))=IFERROR(INDEX(Key!$C$2:$C$263,MATCH($D43*100+18,Key!$G$2:$G$263,0)),"#"),1,0))</f>
        <v/>
      </c>
      <c r="BJ43">
        <f>IF(OR($D43="",AE43="",19&gt;$F43),0,IF(UPPER(TRIM(AE43))=IFERROR(INDEX(Key!$C$2:$C$263,MATCH($D43*100+19,Key!$G$2:$G$263,0)),"#"),1,0))</f>
        <v/>
      </c>
      <c r="BK43">
        <f>IF(OR($D43="",AF43="",20&gt;$F43),0,IF(UPPER(TRIM(AF43))=IFERROR(INDEX(Key!$C$2:$C$263,MATCH($D43*100+20,Key!$G$2:$G$263,0)),"#"),1,0))</f>
        <v/>
      </c>
      <c r="BL43">
        <f>IF(OR($D43="",AG43="",21&gt;$F43),0,IF(UPPER(TRIM(AG43))=IFERROR(INDEX(Key!$C$2:$C$263,MATCH($D43*100+21,Key!$G$2:$G$263,0)),"#"),1,0))</f>
        <v/>
      </c>
      <c r="BM43">
        <f>IF(OR($D43="",AH43="",22&gt;$F43),0,IF(UPPER(TRIM(AH43))=IFERROR(INDEX(Key!$C$2:$C$263,MATCH($D43*100+22,Key!$G$2:$G$263,0)),"#"),1,0))</f>
        <v/>
      </c>
      <c r="BN43">
        <f>IF(OR($D43="",AI43="",23&gt;$F43),0,IF(UPPER(TRIM(AI43))=IFERROR(INDEX(Key!$C$2:$C$263,MATCH($D43*100+23,Key!$G$2:$G$263,0)),"#"),1,0))</f>
        <v/>
      </c>
      <c r="BO43">
        <f>IF(OR($D43="",AJ43="",24&gt;$F43),0,IF(UPPER(TRIM(AJ43))=IFERROR(INDEX(Key!$C$2:$C$263,MATCH($D43*100+24,Key!$G$2:$G$263,0)),"#"),1,0))</f>
        <v/>
      </c>
      <c r="BP43">
        <f>IF(OR($D43="",AK43="",25&gt;$F43),0,IF(UPPER(TRIM(AK43))=IFERROR(INDEX(Key!$C$2:$C$263,MATCH($D43*100+25,Key!$G$2:$G$263,0)),"#"),1,0))</f>
        <v/>
      </c>
      <c r="BQ43">
        <f>IF(OR($D43="",AL43="",26&gt;$F43),0,IF(UPPER(TRIM(AL43))=IFERROR(INDEX(Key!$C$2:$C$263,MATCH($D43*100+26,Key!$G$2:$G$263,0)),"#"),1,0))</f>
        <v/>
      </c>
      <c r="BR43">
        <f>IF(OR($D43="",AM43="",27&gt;$F43),0,IF(UPPER(TRIM(AM43))=IFERROR(INDEX(Key!$C$2:$C$263,MATCH($D43*100+27,Key!$G$2:$G$263,0)),"#"),1,0))</f>
        <v/>
      </c>
      <c r="BS43">
        <f>IF(OR($D43="",AN43="",28&gt;$F43),0,IF(UPPER(TRIM(AN43))=IFERROR(INDEX(Key!$C$2:$C$263,MATCH($D43*100+28,Key!$G$2:$G$263,0)),"#"),1,0))</f>
        <v/>
      </c>
      <c r="BT43">
        <f>IF(OR($D43="",AO43="",29&gt;$F43),0,IF(UPPER(TRIM(AO43))=IFERROR(INDEX(Key!$C$2:$C$263,MATCH($D43*100+29,Key!$G$2:$G$263,0)),"#"),1,0))</f>
        <v/>
      </c>
      <c r="BU43">
        <f>IF(OR($D43="",AP43="",30&gt;$F43),0,IF(UPPER(TRIM(AP43))=IFERROR(INDEX(Key!$C$2:$C$263,MATCH($D43*100+30,Key!$G$2:$G$263,0)),"#"),1,0))</f>
        <v/>
      </c>
    </row>
    <row r="44">
      <c r="A44" s="6" t="n"/>
      <c r="B44" s="6" t="n"/>
      <c r="C44" s="6" t="n"/>
      <c r="D44" s="6" t="n"/>
      <c r="E44" s="7">
        <f>IF($D44="","",IFERROR(INDEX(Papers!$B$2:$B$12,MATCH($D44,Papers!$A$2:$A$12,0)),"?"))</f>
        <v/>
      </c>
      <c r="F44" s="7">
        <f>IF($D44="","",IFERROR(INDEX(Papers!$C$2:$C$12,MATCH($D44,Papers!$A$2:$A$12,0)),0))</f>
        <v/>
      </c>
      <c r="G44" s="7">
        <f>IF($D44="","",COUNTIF(M44:AP44,"?*"))</f>
        <v/>
      </c>
      <c r="H44" s="7">
        <f>IF($D44="","",SUM(AR44:BU44))</f>
        <v/>
      </c>
      <c r="I44" s="7">
        <f>IF($D44="","",G44-H44)</f>
        <v/>
      </c>
      <c r="J44" s="7">
        <f>IF($D44="","",F44-G44)</f>
        <v/>
      </c>
      <c r="K44" s="7">
        <f>IF($D44="","",H44)</f>
        <v/>
      </c>
      <c r="L44" s="7">
        <f>IF($D44="","",IF(F44=0,"",ROUND(H44/F44*100,1)))</f>
        <v/>
      </c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R44">
        <f>IF(OR($D44="",M44="",1&gt;$F44),0,IF(UPPER(TRIM(M44))=IFERROR(INDEX(Key!$C$2:$C$263,MATCH($D44*100+1,Key!$G$2:$G$263,0)),"#"),1,0))</f>
        <v/>
      </c>
      <c r="AS44">
        <f>IF(OR($D44="",N44="",2&gt;$F44),0,IF(UPPER(TRIM(N44))=IFERROR(INDEX(Key!$C$2:$C$263,MATCH($D44*100+2,Key!$G$2:$G$263,0)),"#"),1,0))</f>
        <v/>
      </c>
      <c r="AT44">
        <f>IF(OR($D44="",O44="",3&gt;$F44),0,IF(UPPER(TRIM(O44))=IFERROR(INDEX(Key!$C$2:$C$263,MATCH($D44*100+3,Key!$G$2:$G$263,0)),"#"),1,0))</f>
        <v/>
      </c>
      <c r="AU44">
        <f>IF(OR($D44="",P44="",4&gt;$F44),0,IF(UPPER(TRIM(P44))=IFERROR(INDEX(Key!$C$2:$C$263,MATCH($D44*100+4,Key!$G$2:$G$263,0)),"#"),1,0))</f>
        <v/>
      </c>
      <c r="AV44">
        <f>IF(OR($D44="",Q44="",5&gt;$F44),0,IF(UPPER(TRIM(Q44))=IFERROR(INDEX(Key!$C$2:$C$263,MATCH($D44*100+5,Key!$G$2:$G$263,0)),"#"),1,0))</f>
        <v/>
      </c>
      <c r="AW44">
        <f>IF(OR($D44="",R44="",6&gt;$F44),0,IF(UPPER(TRIM(R44))=IFERROR(INDEX(Key!$C$2:$C$263,MATCH($D44*100+6,Key!$G$2:$G$263,0)),"#"),1,0))</f>
        <v/>
      </c>
      <c r="AX44">
        <f>IF(OR($D44="",S44="",7&gt;$F44),0,IF(UPPER(TRIM(S44))=IFERROR(INDEX(Key!$C$2:$C$263,MATCH($D44*100+7,Key!$G$2:$G$263,0)),"#"),1,0))</f>
        <v/>
      </c>
      <c r="AY44">
        <f>IF(OR($D44="",T44="",8&gt;$F44),0,IF(UPPER(TRIM(T44))=IFERROR(INDEX(Key!$C$2:$C$263,MATCH($D44*100+8,Key!$G$2:$G$263,0)),"#"),1,0))</f>
        <v/>
      </c>
      <c r="AZ44">
        <f>IF(OR($D44="",U44="",9&gt;$F44),0,IF(UPPER(TRIM(U44))=IFERROR(INDEX(Key!$C$2:$C$263,MATCH($D44*100+9,Key!$G$2:$G$263,0)),"#"),1,0))</f>
        <v/>
      </c>
      <c r="BA44">
        <f>IF(OR($D44="",V44="",10&gt;$F44),0,IF(UPPER(TRIM(V44))=IFERROR(INDEX(Key!$C$2:$C$263,MATCH($D44*100+10,Key!$G$2:$G$263,0)),"#"),1,0))</f>
        <v/>
      </c>
      <c r="BB44">
        <f>IF(OR($D44="",W44="",11&gt;$F44),0,IF(UPPER(TRIM(W44))=IFERROR(INDEX(Key!$C$2:$C$263,MATCH($D44*100+11,Key!$G$2:$G$263,0)),"#"),1,0))</f>
        <v/>
      </c>
      <c r="BC44">
        <f>IF(OR($D44="",X44="",12&gt;$F44),0,IF(UPPER(TRIM(X44))=IFERROR(INDEX(Key!$C$2:$C$263,MATCH($D44*100+12,Key!$G$2:$G$263,0)),"#"),1,0))</f>
        <v/>
      </c>
      <c r="BD44">
        <f>IF(OR($D44="",Y44="",13&gt;$F44),0,IF(UPPER(TRIM(Y44))=IFERROR(INDEX(Key!$C$2:$C$263,MATCH($D44*100+13,Key!$G$2:$G$263,0)),"#"),1,0))</f>
        <v/>
      </c>
      <c r="BE44">
        <f>IF(OR($D44="",Z44="",14&gt;$F44),0,IF(UPPER(TRIM(Z44))=IFERROR(INDEX(Key!$C$2:$C$263,MATCH($D44*100+14,Key!$G$2:$G$263,0)),"#"),1,0))</f>
        <v/>
      </c>
      <c r="BF44">
        <f>IF(OR($D44="",AA44="",15&gt;$F44),0,IF(UPPER(TRIM(AA44))=IFERROR(INDEX(Key!$C$2:$C$263,MATCH($D44*100+15,Key!$G$2:$G$263,0)),"#"),1,0))</f>
        <v/>
      </c>
      <c r="BG44">
        <f>IF(OR($D44="",AB44="",16&gt;$F44),0,IF(UPPER(TRIM(AB44))=IFERROR(INDEX(Key!$C$2:$C$263,MATCH($D44*100+16,Key!$G$2:$G$263,0)),"#"),1,0))</f>
        <v/>
      </c>
      <c r="BH44">
        <f>IF(OR($D44="",AC44="",17&gt;$F44),0,IF(UPPER(TRIM(AC44))=IFERROR(INDEX(Key!$C$2:$C$263,MATCH($D44*100+17,Key!$G$2:$G$263,0)),"#"),1,0))</f>
        <v/>
      </c>
      <c r="BI44">
        <f>IF(OR($D44="",AD44="",18&gt;$F44),0,IF(UPPER(TRIM(AD44))=IFERROR(INDEX(Key!$C$2:$C$263,MATCH($D44*100+18,Key!$G$2:$G$263,0)),"#"),1,0))</f>
        <v/>
      </c>
      <c r="BJ44">
        <f>IF(OR($D44="",AE44="",19&gt;$F44),0,IF(UPPER(TRIM(AE44))=IFERROR(INDEX(Key!$C$2:$C$263,MATCH($D44*100+19,Key!$G$2:$G$263,0)),"#"),1,0))</f>
        <v/>
      </c>
      <c r="BK44">
        <f>IF(OR($D44="",AF44="",20&gt;$F44),0,IF(UPPER(TRIM(AF44))=IFERROR(INDEX(Key!$C$2:$C$263,MATCH($D44*100+20,Key!$G$2:$G$263,0)),"#"),1,0))</f>
        <v/>
      </c>
      <c r="BL44">
        <f>IF(OR($D44="",AG44="",21&gt;$F44),0,IF(UPPER(TRIM(AG44))=IFERROR(INDEX(Key!$C$2:$C$263,MATCH($D44*100+21,Key!$G$2:$G$263,0)),"#"),1,0))</f>
        <v/>
      </c>
      <c r="BM44">
        <f>IF(OR($D44="",AH44="",22&gt;$F44),0,IF(UPPER(TRIM(AH44))=IFERROR(INDEX(Key!$C$2:$C$263,MATCH($D44*100+22,Key!$G$2:$G$263,0)),"#"),1,0))</f>
        <v/>
      </c>
      <c r="BN44">
        <f>IF(OR($D44="",AI44="",23&gt;$F44),0,IF(UPPER(TRIM(AI44))=IFERROR(INDEX(Key!$C$2:$C$263,MATCH($D44*100+23,Key!$G$2:$G$263,0)),"#"),1,0))</f>
        <v/>
      </c>
      <c r="BO44">
        <f>IF(OR($D44="",AJ44="",24&gt;$F44),0,IF(UPPER(TRIM(AJ44))=IFERROR(INDEX(Key!$C$2:$C$263,MATCH($D44*100+24,Key!$G$2:$G$263,0)),"#"),1,0))</f>
        <v/>
      </c>
      <c r="BP44">
        <f>IF(OR($D44="",AK44="",25&gt;$F44),0,IF(UPPER(TRIM(AK44))=IFERROR(INDEX(Key!$C$2:$C$263,MATCH($D44*100+25,Key!$G$2:$G$263,0)),"#"),1,0))</f>
        <v/>
      </c>
      <c r="BQ44">
        <f>IF(OR($D44="",AL44="",26&gt;$F44),0,IF(UPPER(TRIM(AL44))=IFERROR(INDEX(Key!$C$2:$C$263,MATCH($D44*100+26,Key!$G$2:$G$263,0)),"#"),1,0))</f>
        <v/>
      </c>
      <c r="BR44">
        <f>IF(OR($D44="",AM44="",27&gt;$F44),0,IF(UPPER(TRIM(AM44))=IFERROR(INDEX(Key!$C$2:$C$263,MATCH($D44*100+27,Key!$G$2:$G$263,0)),"#"),1,0))</f>
        <v/>
      </c>
      <c r="BS44">
        <f>IF(OR($D44="",AN44="",28&gt;$F44),0,IF(UPPER(TRIM(AN44))=IFERROR(INDEX(Key!$C$2:$C$263,MATCH($D44*100+28,Key!$G$2:$G$263,0)),"#"),1,0))</f>
        <v/>
      </c>
      <c r="BT44">
        <f>IF(OR($D44="",AO44="",29&gt;$F44),0,IF(UPPER(TRIM(AO44))=IFERROR(INDEX(Key!$C$2:$C$263,MATCH($D44*100+29,Key!$G$2:$G$263,0)),"#"),1,0))</f>
        <v/>
      </c>
      <c r="BU44">
        <f>IF(OR($D44="",AP44="",30&gt;$F44),0,IF(UPPER(TRIM(AP44))=IFERROR(INDEX(Key!$C$2:$C$263,MATCH($D44*100+30,Key!$G$2:$G$263,0)),"#"),1,0))</f>
        <v/>
      </c>
    </row>
    <row r="45">
      <c r="A45" s="6" t="n"/>
      <c r="B45" s="6" t="n"/>
      <c r="C45" s="6" t="n"/>
      <c r="D45" s="6" t="n"/>
      <c r="E45" s="7">
        <f>IF($D45="","",IFERROR(INDEX(Papers!$B$2:$B$12,MATCH($D45,Papers!$A$2:$A$12,0)),"?"))</f>
        <v/>
      </c>
      <c r="F45" s="7">
        <f>IF($D45="","",IFERROR(INDEX(Papers!$C$2:$C$12,MATCH($D45,Papers!$A$2:$A$12,0)),0))</f>
        <v/>
      </c>
      <c r="G45" s="7">
        <f>IF($D45="","",COUNTIF(M45:AP45,"?*"))</f>
        <v/>
      </c>
      <c r="H45" s="7">
        <f>IF($D45="","",SUM(AR45:BU45))</f>
        <v/>
      </c>
      <c r="I45" s="7">
        <f>IF($D45="","",G45-H45)</f>
        <v/>
      </c>
      <c r="J45" s="7">
        <f>IF($D45="","",F45-G45)</f>
        <v/>
      </c>
      <c r="K45" s="7">
        <f>IF($D45="","",H45)</f>
        <v/>
      </c>
      <c r="L45" s="7">
        <f>IF($D45="","",IF(F45=0,"",ROUND(H45/F45*100,1)))</f>
        <v/>
      </c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R45">
        <f>IF(OR($D45="",M45="",1&gt;$F45),0,IF(UPPER(TRIM(M45))=IFERROR(INDEX(Key!$C$2:$C$263,MATCH($D45*100+1,Key!$G$2:$G$263,0)),"#"),1,0))</f>
        <v/>
      </c>
      <c r="AS45">
        <f>IF(OR($D45="",N45="",2&gt;$F45),0,IF(UPPER(TRIM(N45))=IFERROR(INDEX(Key!$C$2:$C$263,MATCH($D45*100+2,Key!$G$2:$G$263,0)),"#"),1,0))</f>
        <v/>
      </c>
      <c r="AT45">
        <f>IF(OR($D45="",O45="",3&gt;$F45),0,IF(UPPER(TRIM(O45))=IFERROR(INDEX(Key!$C$2:$C$263,MATCH($D45*100+3,Key!$G$2:$G$263,0)),"#"),1,0))</f>
        <v/>
      </c>
      <c r="AU45">
        <f>IF(OR($D45="",P45="",4&gt;$F45),0,IF(UPPER(TRIM(P45))=IFERROR(INDEX(Key!$C$2:$C$263,MATCH($D45*100+4,Key!$G$2:$G$263,0)),"#"),1,0))</f>
        <v/>
      </c>
      <c r="AV45">
        <f>IF(OR($D45="",Q45="",5&gt;$F45),0,IF(UPPER(TRIM(Q45))=IFERROR(INDEX(Key!$C$2:$C$263,MATCH($D45*100+5,Key!$G$2:$G$263,0)),"#"),1,0))</f>
        <v/>
      </c>
      <c r="AW45">
        <f>IF(OR($D45="",R45="",6&gt;$F45),0,IF(UPPER(TRIM(R45))=IFERROR(INDEX(Key!$C$2:$C$263,MATCH($D45*100+6,Key!$G$2:$G$263,0)),"#"),1,0))</f>
        <v/>
      </c>
      <c r="AX45">
        <f>IF(OR($D45="",S45="",7&gt;$F45),0,IF(UPPER(TRIM(S45))=IFERROR(INDEX(Key!$C$2:$C$263,MATCH($D45*100+7,Key!$G$2:$G$263,0)),"#"),1,0))</f>
        <v/>
      </c>
      <c r="AY45">
        <f>IF(OR($D45="",T45="",8&gt;$F45),0,IF(UPPER(TRIM(T45))=IFERROR(INDEX(Key!$C$2:$C$263,MATCH($D45*100+8,Key!$G$2:$G$263,0)),"#"),1,0))</f>
        <v/>
      </c>
      <c r="AZ45">
        <f>IF(OR($D45="",U45="",9&gt;$F45),0,IF(UPPER(TRIM(U45))=IFERROR(INDEX(Key!$C$2:$C$263,MATCH($D45*100+9,Key!$G$2:$G$263,0)),"#"),1,0))</f>
        <v/>
      </c>
      <c r="BA45">
        <f>IF(OR($D45="",V45="",10&gt;$F45),0,IF(UPPER(TRIM(V45))=IFERROR(INDEX(Key!$C$2:$C$263,MATCH($D45*100+10,Key!$G$2:$G$263,0)),"#"),1,0))</f>
        <v/>
      </c>
      <c r="BB45">
        <f>IF(OR($D45="",W45="",11&gt;$F45),0,IF(UPPER(TRIM(W45))=IFERROR(INDEX(Key!$C$2:$C$263,MATCH($D45*100+11,Key!$G$2:$G$263,0)),"#"),1,0))</f>
        <v/>
      </c>
      <c r="BC45">
        <f>IF(OR($D45="",X45="",12&gt;$F45),0,IF(UPPER(TRIM(X45))=IFERROR(INDEX(Key!$C$2:$C$263,MATCH($D45*100+12,Key!$G$2:$G$263,0)),"#"),1,0))</f>
        <v/>
      </c>
      <c r="BD45">
        <f>IF(OR($D45="",Y45="",13&gt;$F45),0,IF(UPPER(TRIM(Y45))=IFERROR(INDEX(Key!$C$2:$C$263,MATCH($D45*100+13,Key!$G$2:$G$263,0)),"#"),1,0))</f>
        <v/>
      </c>
      <c r="BE45">
        <f>IF(OR($D45="",Z45="",14&gt;$F45),0,IF(UPPER(TRIM(Z45))=IFERROR(INDEX(Key!$C$2:$C$263,MATCH($D45*100+14,Key!$G$2:$G$263,0)),"#"),1,0))</f>
        <v/>
      </c>
      <c r="BF45">
        <f>IF(OR($D45="",AA45="",15&gt;$F45),0,IF(UPPER(TRIM(AA45))=IFERROR(INDEX(Key!$C$2:$C$263,MATCH($D45*100+15,Key!$G$2:$G$263,0)),"#"),1,0))</f>
        <v/>
      </c>
      <c r="BG45">
        <f>IF(OR($D45="",AB45="",16&gt;$F45),0,IF(UPPER(TRIM(AB45))=IFERROR(INDEX(Key!$C$2:$C$263,MATCH($D45*100+16,Key!$G$2:$G$263,0)),"#"),1,0))</f>
        <v/>
      </c>
      <c r="BH45">
        <f>IF(OR($D45="",AC45="",17&gt;$F45),0,IF(UPPER(TRIM(AC45))=IFERROR(INDEX(Key!$C$2:$C$263,MATCH($D45*100+17,Key!$G$2:$G$263,0)),"#"),1,0))</f>
        <v/>
      </c>
      <c r="BI45">
        <f>IF(OR($D45="",AD45="",18&gt;$F45),0,IF(UPPER(TRIM(AD45))=IFERROR(INDEX(Key!$C$2:$C$263,MATCH($D45*100+18,Key!$G$2:$G$263,0)),"#"),1,0))</f>
        <v/>
      </c>
      <c r="BJ45">
        <f>IF(OR($D45="",AE45="",19&gt;$F45),0,IF(UPPER(TRIM(AE45))=IFERROR(INDEX(Key!$C$2:$C$263,MATCH($D45*100+19,Key!$G$2:$G$263,0)),"#"),1,0))</f>
        <v/>
      </c>
      <c r="BK45">
        <f>IF(OR($D45="",AF45="",20&gt;$F45),0,IF(UPPER(TRIM(AF45))=IFERROR(INDEX(Key!$C$2:$C$263,MATCH($D45*100+20,Key!$G$2:$G$263,0)),"#"),1,0))</f>
        <v/>
      </c>
      <c r="BL45">
        <f>IF(OR($D45="",AG45="",21&gt;$F45),0,IF(UPPER(TRIM(AG45))=IFERROR(INDEX(Key!$C$2:$C$263,MATCH($D45*100+21,Key!$G$2:$G$263,0)),"#"),1,0))</f>
        <v/>
      </c>
      <c r="BM45">
        <f>IF(OR($D45="",AH45="",22&gt;$F45),0,IF(UPPER(TRIM(AH45))=IFERROR(INDEX(Key!$C$2:$C$263,MATCH($D45*100+22,Key!$G$2:$G$263,0)),"#"),1,0))</f>
        <v/>
      </c>
      <c r="BN45">
        <f>IF(OR($D45="",AI45="",23&gt;$F45),0,IF(UPPER(TRIM(AI45))=IFERROR(INDEX(Key!$C$2:$C$263,MATCH($D45*100+23,Key!$G$2:$G$263,0)),"#"),1,0))</f>
        <v/>
      </c>
      <c r="BO45">
        <f>IF(OR($D45="",AJ45="",24&gt;$F45),0,IF(UPPER(TRIM(AJ45))=IFERROR(INDEX(Key!$C$2:$C$263,MATCH($D45*100+24,Key!$G$2:$G$263,0)),"#"),1,0))</f>
        <v/>
      </c>
      <c r="BP45">
        <f>IF(OR($D45="",AK45="",25&gt;$F45),0,IF(UPPER(TRIM(AK45))=IFERROR(INDEX(Key!$C$2:$C$263,MATCH($D45*100+25,Key!$G$2:$G$263,0)),"#"),1,0))</f>
        <v/>
      </c>
      <c r="BQ45">
        <f>IF(OR($D45="",AL45="",26&gt;$F45),0,IF(UPPER(TRIM(AL45))=IFERROR(INDEX(Key!$C$2:$C$263,MATCH($D45*100+26,Key!$G$2:$G$263,0)),"#"),1,0))</f>
        <v/>
      </c>
      <c r="BR45">
        <f>IF(OR($D45="",AM45="",27&gt;$F45),0,IF(UPPER(TRIM(AM45))=IFERROR(INDEX(Key!$C$2:$C$263,MATCH($D45*100+27,Key!$G$2:$G$263,0)),"#"),1,0))</f>
        <v/>
      </c>
      <c r="BS45">
        <f>IF(OR($D45="",AN45="",28&gt;$F45),0,IF(UPPER(TRIM(AN45))=IFERROR(INDEX(Key!$C$2:$C$263,MATCH($D45*100+28,Key!$G$2:$G$263,0)),"#"),1,0))</f>
        <v/>
      </c>
      <c r="BT45">
        <f>IF(OR($D45="",AO45="",29&gt;$F45),0,IF(UPPER(TRIM(AO45))=IFERROR(INDEX(Key!$C$2:$C$263,MATCH($D45*100+29,Key!$G$2:$G$263,0)),"#"),1,0))</f>
        <v/>
      </c>
      <c r="BU45">
        <f>IF(OR($D45="",AP45="",30&gt;$F45),0,IF(UPPER(TRIM(AP45))=IFERROR(INDEX(Key!$C$2:$C$263,MATCH($D45*100+30,Key!$G$2:$G$263,0)),"#"),1,0))</f>
        <v/>
      </c>
    </row>
    <row r="46">
      <c r="A46" s="6" t="n"/>
      <c r="B46" s="6" t="n"/>
      <c r="C46" s="6" t="n"/>
      <c r="D46" s="6" t="n"/>
      <c r="E46" s="7">
        <f>IF($D46="","",IFERROR(INDEX(Papers!$B$2:$B$12,MATCH($D46,Papers!$A$2:$A$12,0)),"?"))</f>
        <v/>
      </c>
      <c r="F46" s="7">
        <f>IF($D46="","",IFERROR(INDEX(Papers!$C$2:$C$12,MATCH($D46,Papers!$A$2:$A$12,0)),0))</f>
        <v/>
      </c>
      <c r="G46" s="7">
        <f>IF($D46="","",COUNTIF(M46:AP46,"?*"))</f>
        <v/>
      </c>
      <c r="H46" s="7">
        <f>IF($D46="","",SUM(AR46:BU46))</f>
        <v/>
      </c>
      <c r="I46" s="7">
        <f>IF($D46="","",G46-H46)</f>
        <v/>
      </c>
      <c r="J46" s="7">
        <f>IF($D46="","",F46-G46)</f>
        <v/>
      </c>
      <c r="K46" s="7">
        <f>IF($D46="","",H46)</f>
        <v/>
      </c>
      <c r="L46" s="7">
        <f>IF($D46="","",IF(F46=0,"",ROUND(H46/F46*100,1)))</f>
        <v/>
      </c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R46">
        <f>IF(OR($D46="",M46="",1&gt;$F46),0,IF(UPPER(TRIM(M46))=IFERROR(INDEX(Key!$C$2:$C$263,MATCH($D46*100+1,Key!$G$2:$G$263,0)),"#"),1,0))</f>
        <v/>
      </c>
      <c r="AS46">
        <f>IF(OR($D46="",N46="",2&gt;$F46),0,IF(UPPER(TRIM(N46))=IFERROR(INDEX(Key!$C$2:$C$263,MATCH($D46*100+2,Key!$G$2:$G$263,0)),"#"),1,0))</f>
        <v/>
      </c>
      <c r="AT46">
        <f>IF(OR($D46="",O46="",3&gt;$F46),0,IF(UPPER(TRIM(O46))=IFERROR(INDEX(Key!$C$2:$C$263,MATCH($D46*100+3,Key!$G$2:$G$263,0)),"#"),1,0))</f>
        <v/>
      </c>
      <c r="AU46">
        <f>IF(OR($D46="",P46="",4&gt;$F46),0,IF(UPPER(TRIM(P46))=IFERROR(INDEX(Key!$C$2:$C$263,MATCH($D46*100+4,Key!$G$2:$G$263,0)),"#"),1,0))</f>
        <v/>
      </c>
      <c r="AV46">
        <f>IF(OR($D46="",Q46="",5&gt;$F46),0,IF(UPPER(TRIM(Q46))=IFERROR(INDEX(Key!$C$2:$C$263,MATCH($D46*100+5,Key!$G$2:$G$263,0)),"#"),1,0))</f>
        <v/>
      </c>
      <c r="AW46">
        <f>IF(OR($D46="",R46="",6&gt;$F46),0,IF(UPPER(TRIM(R46))=IFERROR(INDEX(Key!$C$2:$C$263,MATCH($D46*100+6,Key!$G$2:$G$263,0)),"#"),1,0))</f>
        <v/>
      </c>
      <c r="AX46">
        <f>IF(OR($D46="",S46="",7&gt;$F46),0,IF(UPPER(TRIM(S46))=IFERROR(INDEX(Key!$C$2:$C$263,MATCH($D46*100+7,Key!$G$2:$G$263,0)),"#"),1,0))</f>
        <v/>
      </c>
      <c r="AY46">
        <f>IF(OR($D46="",T46="",8&gt;$F46),0,IF(UPPER(TRIM(T46))=IFERROR(INDEX(Key!$C$2:$C$263,MATCH($D46*100+8,Key!$G$2:$G$263,0)),"#"),1,0))</f>
        <v/>
      </c>
      <c r="AZ46">
        <f>IF(OR($D46="",U46="",9&gt;$F46),0,IF(UPPER(TRIM(U46))=IFERROR(INDEX(Key!$C$2:$C$263,MATCH($D46*100+9,Key!$G$2:$G$263,0)),"#"),1,0))</f>
        <v/>
      </c>
      <c r="BA46">
        <f>IF(OR($D46="",V46="",10&gt;$F46),0,IF(UPPER(TRIM(V46))=IFERROR(INDEX(Key!$C$2:$C$263,MATCH($D46*100+10,Key!$G$2:$G$263,0)),"#"),1,0))</f>
        <v/>
      </c>
      <c r="BB46">
        <f>IF(OR($D46="",W46="",11&gt;$F46),0,IF(UPPER(TRIM(W46))=IFERROR(INDEX(Key!$C$2:$C$263,MATCH($D46*100+11,Key!$G$2:$G$263,0)),"#"),1,0))</f>
        <v/>
      </c>
      <c r="BC46">
        <f>IF(OR($D46="",X46="",12&gt;$F46),0,IF(UPPER(TRIM(X46))=IFERROR(INDEX(Key!$C$2:$C$263,MATCH($D46*100+12,Key!$G$2:$G$263,0)),"#"),1,0))</f>
        <v/>
      </c>
      <c r="BD46">
        <f>IF(OR($D46="",Y46="",13&gt;$F46),0,IF(UPPER(TRIM(Y46))=IFERROR(INDEX(Key!$C$2:$C$263,MATCH($D46*100+13,Key!$G$2:$G$263,0)),"#"),1,0))</f>
        <v/>
      </c>
      <c r="BE46">
        <f>IF(OR($D46="",Z46="",14&gt;$F46),0,IF(UPPER(TRIM(Z46))=IFERROR(INDEX(Key!$C$2:$C$263,MATCH($D46*100+14,Key!$G$2:$G$263,0)),"#"),1,0))</f>
        <v/>
      </c>
      <c r="BF46">
        <f>IF(OR($D46="",AA46="",15&gt;$F46),0,IF(UPPER(TRIM(AA46))=IFERROR(INDEX(Key!$C$2:$C$263,MATCH($D46*100+15,Key!$G$2:$G$263,0)),"#"),1,0))</f>
        <v/>
      </c>
      <c r="BG46">
        <f>IF(OR($D46="",AB46="",16&gt;$F46),0,IF(UPPER(TRIM(AB46))=IFERROR(INDEX(Key!$C$2:$C$263,MATCH($D46*100+16,Key!$G$2:$G$263,0)),"#"),1,0))</f>
        <v/>
      </c>
      <c r="BH46">
        <f>IF(OR($D46="",AC46="",17&gt;$F46),0,IF(UPPER(TRIM(AC46))=IFERROR(INDEX(Key!$C$2:$C$263,MATCH($D46*100+17,Key!$G$2:$G$263,0)),"#"),1,0))</f>
        <v/>
      </c>
      <c r="BI46">
        <f>IF(OR($D46="",AD46="",18&gt;$F46),0,IF(UPPER(TRIM(AD46))=IFERROR(INDEX(Key!$C$2:$C$263,MATCH($D46*100+18,Key!$G$2:$G$263,0)),"#"),1,0))</f>
        <v/>
      </c>
      <c r="BJ46">
        <f>IF(OR($D46="",AE46="",19&gt;$F46),0,IF(UPPER(TRIM(AE46))=IFERROR(INDEX(Key!$C$2:$C$263,MATCH($D46*100+19,Key!$G$2:$G$263,0)),"#"),1,0))</f>
        <v/>
      </c>
      <c r="BK46">
        <f>IF(OR($D46="",AF46="",20&gt;$F46),0,IF(UPPER(TRIM(AF46))=IFERROR(INDEX(Key!$C$2:$C$263,MATCH($D46*100+20,Key!$G$2:$G$263,0)),"#"),1,0))</f>
        <v/>
      </c>
      <c r="BL46">
        <f>IF(OR($D46="",AG46="",21&gt;$F46),0,IF(UPPER(TRIM(AG46))=IFERROR(INDEX(Key!$C$2:$C$263,MATCH($D46*100+21,Key!$G$2:$G$263,0)),"#"),1,0))</f>
        <v/>
      </c>
      <c r="BM46">
        <f>IF(OR($D46="",AH46="",22&gt;$F46),0,IF(UPPER(TRIM(AH46))=IFERROR(INDEX(Key!$C$2:$C$263,MATCH($D46*100+22,Key!$G$2:$G$263,0)),"#"),1,0))</f>
        <v/>
      </c>
      <c r="BN46">
        <f>IF(OR($D46="",AI46="",23&gt;$F46),0,IF(UPPER(TRIM(AI46))=IFERROR(INDEX(Key!$C$2:$C$263,MATCH($D46*100+23,Key!$G$2:$G$263,0)),"#"),1,0))</f>
        <v/>
      </c>
      <c r="BO46">
        <f>IF(OR($D46="",AJ46="",24&gt;$F46),0,IF(UPPER(TRIM(AJ46))=IFERROR(INDEX(Key!$C$2:$C$263,MATCH($D46*100+24,Key!$G$2:$G$263,0)),"#"),1,0))</f>
        <v/>
      </c>
      <c r="BP46">
        <f>IF(OR($D46="",AK46="",25&gt;$F46),0,IF(UPPER(TRIM(AK46))=IFERROR(INDEX(Key!$C$2:$C$263,MATCH($D46*100+25,Key!$G$2:$G$263,0)),"#"),1,0))</f>
        <v/>
      </c>
      <c r="BQ46">
        <f>IF(OR($D46="",AL46="",26&gt;$F46),0,IF(UPPER(TRIM(AL46))=IFERROR(INDEX(Key!$C$2:$C$263,MATCH($D46*100+26,Key!$G$2:$G$263,0)),"#"),1,0))</f>
        <v/>
      </c>
      <c r="BR46">
        <f>IF(OR($D46="",AM46="",27&gt;$F46),0,IF(UPPER(TRIM(AM46))=IFERROR(INDEX(Key!$C$2:$C$263,MATCH($D46*100+27,Key!$G$2:$G$263,0)),"#"),1,0))</f>
        <v/>
      </c>
      <c r="BS46">
        <f>IF(OR($D46="",AN46="",28&gt;$F46),0,IF(UPPER(TRIM(AN46))=IFERROR(INDEX(Key!$C$2:$C$263,MATCH($D46*100+28,Key!$G$2:$G$263,0)),"#"),1,0))</f>
        <v/>
      </c>
      <c r="BT46">
        <f>IF(OR($D46="",AO46="",29&gt;$F46),0,IF(UPPER(TRIM(AO46))=IFERROR(INDEX(Key!$C$2:$C$263,MATCH($D46*100+29,Key!$G$2:$G$263,0)),"#"),1,0))</f>
        <v/>
      </c>
      <c r="BU46">
        <f>IF(OR($D46="",AP46="",30&gt;$F46),0,IF(UPPER(TRIM(AP46))=IFERROR(INDEX(Key!$C$2:$C$263,MATCH($D46*100+30,Key!$G$2:$G$263,0)),"#"),1,0))</f>
        <v/>
      </c>
    </row>
    <row r="47">
      <c r="A47" s="6" t="n"/>
      <c r="B47" s="6" t="n"/>
      <c r="C47" s="6" t="n"/>
      <c r="D47" s="6" t="n"/>
      <c r="E47" s="7">
        <f>IF($D47="","",IFERROR(INDEX(Papers!$B$2:$B$12,MATCH($D47,Papers!$A$2:$A$12,0)),"?"))</f>
        <v/>
      </c>
      <c r="F47" s="7">
        <f>IF($D47="","",IFERROR(INDEX(Papers!$C$2:$C$12,MATCH($D47,Papers!$A$2:$A$12,0)),0))</f>
        <v/>
      </c>
      <c r="G47" s="7">
        <f>IF($D47="","",COUNTIF(M47:AP47,"?*"))</f>
        <v/>
      </c>
      <c r="H47" s="7">
        <f>IF($D47="","",SUM(AR47:BU47))</f>
        <v/>
      </c>
      <c r="I47" s="7">
        <f>IF($D47="","",G47-H47)</f>
        <v/>
      </c>
      <c r="J47" s="7">
        <f>IF($D47="","",F47-G47)</f>
        <v/>
      </c>
      <c r="K47" s="7">
        <f>IF($D47="","",H47)</f>
        <v/>
      </c>
      <c r="L47" s="7">
        <f>IF($D47="","",IF(F47=0,"",ROUND(H47/F47*100,1)))</f>
        <v/>
      </c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R47">
        <f>IF(OR($D47="",M47="",1&gt;$F47),0,IF(UPPER(TRIM(M47))=IFERROR(INDEX(Key!$C$2:$C$263,MATCH($D47*100+1,Key!$G$2:$G$263,0)),"#"),1,0))</f>
        <v/>
      </c>
      <c r="AS47">
        <f>IF(OR($D47="",N47="",2&gt;$F47),0,IF(UPPER(TRIM(N47))=IFERROR(INDEX(Key!$C$2:$C$263,MATCH($D47*100+2,Key!$G$2:$G$263,0)),"#"),1,0))</f>
        <v/>
      </c>
      <c r="AT47">
        <f>IF(OR($D47="",O47="",3&gt;$F47),0,IF(UPPER(TRIM(O47))=IFERROR(INDEX(Key!$C$2:$C$263,MATCH($D47*100+3,Key!$G$2:$G$263,0)),"#"),1,0))</f>
        <v/>
      </c>
      <c r="AU47">
        <f>IF(OR($D47="",P47="",4&gt;$F47),0,IF(UPPER(TRIM(P47))=IFERROR(INDEX(Key!$C$2:$C$263,MATCH($D47*100+4,Key!$G$2:$G$263,0)),"#"),1,0))</f>
        <v/>
      </c>
      <c r="AV47">
        <f>IF(OR($D47="",Q47="",5&gt;$F47),0,IF(UPPER(TRIM(Q47))=IFERROR(INDEX(Key!$C$2:$C$263,MATCH($D47*100+5,Key!$G$2:$G$263,0)),"#"),1,0))</f>
        <v/>
      </c>
      <c r="AW47">
        <f>IF(OR($D47="",R47="",6&gt;$F47),0,IF(UPPER(TRIM(R47))=IFERROR(INDEX(Key!$C$2:$C$263,MATCH($D47*100+6,Key!$G$2:$G$263,0)),"#"),1,0))</f>
        <v/>
      </c>
      <c r="AX47">
        <f>IF(OR($D47="",S47="",7&gt;$F47),0,IF(UPPER(TRIM(S47))=IFERROR(INDEX(Key!$C$2:$C$263,MATCH($D47*100+7,Key!$G$2:$G$263,0)),"#"),1,0))</f>
        <v/>
      </c>
      <c r="AY47">
        <f>IF(OR($D47="",T47="",8&gt;$F47),0,IF(UPPER(TRIM(T47))=IFERROR(INDEX(Key!$C$2:$C$263,MATCH($D47*100+8,Key!$G$2:$G$263,0)),"#"),1,0))</f>
        <v/>
      </c>
      <c r="AZ47">
        <f>IF(OR($D47="",U47="",9&gt;$F47),0,IF(UPPER(TRIM(U47))=IFERROR(INDEX(Key!$C$2:$C$263,MATCH($D47*100+9,Key!$G$2:$G$263,0)),"#"),1,0))</f>
        <v/>
      </c>
      <c r="BA47">
        <f>IF(OR($D47="",V47="",10&gt;$F47),0,IF(UPPER(TRIM(V47))=IFERROR(INDEX(Key!$C$2:$C$263,MATCH($D47*100+10,Key!$G$2:$G$263,0)),"#"),1,0))</f>
        <v/>
      </c>
      <c r="BB47">
        <f>IF(OR($D47="",W47="",11&gt;$F47),0,IF(UPPER(TRIM(W47))=IFERROR(INDEX(Key!$C$2:$C$263,MATCH($D47*100+11,Key!$G$2:$G$263,0)),"#"),1,0))</f>
        <v/>
      </c>
      <c r="BC47">
        <f>IF(OR($D47="",X47="",12&gt;$F47),0,IF(UPPER(TRIM(X47))=IFERROR(INDEX(Key!$C$2:$C$263,MATCH($D47*100+12,Key!$G$2:$G$263,0)),"#"),1,0))</f>
        <v/>
      </c>
      <c r="BD47">
        <f>IF(OR($D47="",Y47="",13&gt;$F47),0,IF(UPPER(TRIM(Y47))=IFERROR(INDEX(Key!$C$2:$C$263,MATCH($D47*100+13,Key!$G$2:$G$263,0)),"#"),1,0))</f>
        <v/>
      </c>
      <c r="BE47">
        <f>IF(OR($D47="",Z47="",14&gt;$F47),0,IF(UPPER(TRIM(Z47))=IFERROR(INDEX(Key!$C$2:$C$263,MATCH($D47*100+14,Key!$G$2:$G$263,0)),"#"),1,0))</f>
        <v/>
      </c>
      <c r="BF47">
        <f>IF(OR($D47="",AA47="",15&gt;$F47),0,IF(UPPER(TRIM(AA47))=IFERROR(INDEX(Key!$C$2:$C$263,MATCH($D47*100+15,Key!$G$2:$G$263,0)),"#"),1,0))</f>
        <v/>
      </c>
      <c r="BG47">
        <f>IF(OR($D47="",AB47="",16&gt;$F47),0,IF(UPPER(TRIM(AB47))=IFERROR(INDEX(Key!$C$2:$C$263,MATCH($D47*100+16,Key!$G$2:$G$263,0)),"#"),1,0))</f>
        <v/>
      </c>
      <c r="BH47">
        <f>IF(OR($D47="",AC47="",17&gt;$F47),0,IF(UPPER(TRIM(AC47))=IFERROR(INDEX(Key!$C$2:$C$263,MATCH($D47*100+17,Key!$G$2:$G$263,0)),"#"),1,0))</f>
        <v/>
      </c>
      <c r="BI47">
        <f>IF(OR($D47="",AD47="",18&gt;$F47),0,IF(UPPER(TRIM(AD47))=IFERROR(INDEX(Key!$C$2:$C$263,MATCH($D47*100+18,Key!$G$2:$G$263,0)),"#"),1,0))</f>
        <v/>
      </c>
      <c r="BJ47">
        <f>IF(OR($D47="",AE47="",19&gt;$F47),0,IF(UPPER(TRIM(AE47))=IFERROR(INDEX(Key!$C$2:$C$263,MATCH($D47*100+19,Key!$G$2:$G$263,0)),"#"),1,0))</f>
        <v/>
      </c>
      <c r="BK47">
        <f>IF(OR($D47="",AF47="",20&gt;$F47),0,IF(UPPER(TRIM(AF47))=IFERROR(INDEX(Key!$C$2:$C$263,MATCH($D47*100+20,Key!$G$2:$G$263,0)),"#"),1,0))</f>
        <v/>
      </c>
      <c r="BL47">
        <f>IF(OR($D47="",AG47="",21&gt;$F47),0,IF(UPPER(TRIM(AG47))=IFERROR(INDEX(Key!$C$2:$C$263,MATCH($D47*100+21,Key!$G$2:$G$263,0)),"#"),1,0))</f>
        <v/>
      </c>
      <c r="BM47">
        <f>IF(OR($D47="",AH47="",22&gt;$F47),0,IF(UPPER(TRIM(AH47))=IFERROR(INDEX(Key!$C$2:$C$263,MATCH($D47*100+22,Key!$G$2:$G$263,0)),"#"),1,0))</f>
        <v/>
      </c>
      <c r="BN47">
        <f>IF(OR($D47="",AI47="",23&gt;$F47),0,IF(UPPER(TRIM(AI47))=IFERROR(INDEX(Key!$C$2:$C$263,MATCH($D47*100+23,Key!$G$2:$G$263,0)),"#"),1,0))</f>
        <v/>
      </c>
      <c r="BO47">
        <f>IF(OR($D47="",AJ47="",24&gt;$F47),0,IF(UPPER(TRIM(AJ47))=IFERROR(INDEX(Key!$C$2:$C$263,MATCH($D47*100+24,Key!$G$2:$G$263,0)),"#"),1,0))</f>
        <v/>
      </c>
      <c r="BP47">
        <f>IF(OR($D47="",AK47="",25&gt;$F47),0,IF(UPPER(TRIM(AK47))=IFERROR(INDEX(Key!$C$2:$C$263,MATCH($D47*100+25,Key!$G$2:$G$263,0)),"#"),1,0))</f>
        <v/>
      </c>
      <c r="BQ47">
        <f>IF(OR($D47="",AL47="",26&gt;$F47),0,IF(UPPER(TRIM(AL47))=IFERROR(INDEX(Key!$C$2:$C$263,MATCH($D47*100+26,Key!$G$2:$G$263,0)),"#"),1,0))</f>
        <v/>
      </c>
      <c r="BR47">
        <f>IF(OR($D47="",AM47="",27&gt;$F47),0,IF(UPPER(TRIM(AM47))=IFERROR(INDEX(Key!$C$2:$C$263,MATCH($D47*100+27,Key!$G$2:$G$263,0)),"#"),1,0))</f>
        <v/>
      </c>
      <c r="BS47">
        <f>IF(OR($D47="",AN47="",28&gt;$F47),0,IF(UPPER(TRIM(AN47))=IFERROR(INDEX(Key!$C$2:$C$263,MATCH($D47*100+28,Key!$G$2:$G$263,0)),"#"),1,0))</f>
        <v/>
      </c>
      <c r="BT47">
        <f>IF(OR($D47="",AO47="",29&gt;$F47),0,IF(UPPER(TRIM(AO47))=IFERROR(INDEX(Key!$C$2:$C$263,MATCH($D47*100+29,Key!$G$2:$G$263,0)),"#"),1,0))</f>
        <v/>
      </c>
      <c r="BU47">
        <f>IF(OR($D47="",AP47="",30&gt;$F47),0,IF(UPPER(TRIM(AP47))=IFERROR(INDEX(Key!$C$2:$C$263,MATCH($D47*100+30,Key!$G$2:$G$263,0)),"#"),1,0))</f>
        <v/>
      </c>
    </row>
    <row r="48">
      <c r="A48" s="6" t="n"/>
      <c r="B48" s="6" t="n"/>
      <c r="C48" s="6" t="n"/>
      <c r="D48" s="6" t="n"/>
      <c r="E48" s="7">
        <f>IF($D48="","",IFERROR(INDEX(Papers!$B$2:$B$12,MATCH($D48,Papers!$A$2:$A$12,0)),"?"))</f>
        <v/>
      </c>
      <c r="F48" s="7">
        <f>IF($D48="","",IFERROR(INDEX(Papers!$C$2:$C$12,MATCH($D48,Papers!$A$2:$A$12,0)),0))</f>
        <v/>
      </c>
      <c r="G48" s="7">
        <f>IF($D48="","",COUNTIF(M48:AP48,"?*"))</f>
        <v/>
      </c>
      <c r="H48" s="7">
        <f>IF($D48="","",SUM(AR48:BU48))</f>
        <v/>
      </c>
      <c r="I48" s="7">
        <f>IF($D48="","",G48-H48)</f>
        <v/>
      </c>
      <c r="J48" s="7">
        <f>IF($D48="","",F48-G48)</f>
        <v/>
      </c>
      <c r="K48" s="7">
        <f>IF($D48="","",H48)</f>
        <v/>
      </c>
      <c r="L48" s="7">
        <f>IF($D48="","",IF(F48=0,"",ROUND(H48/F48*100,1)))</f>
        <v/>
      </c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R48">
        <f>IF(OR($D48="",M48="",1&gt;$F48),0,IF(UPPER(TRIM(M48))=IFERROR(INDEX(Key!$C$2:$C$263,MATCH($D48*100+1,Key!$G$2:$G$263,0)),"#"),1,0))</f>
        <v/>
      </c>
      <c r="AS48">
        <f>IF(OR($D48="",N48="",2&gt;$F48),0,IF(UPPER(TRIM(N48))=IFERROR(INDEX(Key!$C$2:$C$263,MATCH($D48*100+2,Key!$G$2:$G$263,0)),"#"),1,0))</f>
        <v/>
      </c>
      <c r="AT48">
        <f>IF(OR($D48="",O48="",3&gt;$F48),0,IF(UPPER(TRIM(O48))=IFERROR(INDEX(Key!$C$2:$C$263,MATCH($D48*100+3,Key!$G$2:$G$263,0)),"#"),1,0))</f>
        <v/>
      </c>
      <c r="AU48">
        <f>IF(OR($D48="",P48="",4&gt;$F48),0,IF(UPPER(TRIM(P48))=IFERROR(INDEX(Key!$C$2:$C$263,MATCH($D48*100+4,Key!$G$2:$G$263,0)),"#"),1,0))</f>
        <v/>
      </c>
      <c r="AV48">
        <f>IF(OR($D48="",Q48="",5&gt;$F48),0,IF(UPPER(TRIM(Q48))=IFERROR(INDEX(Key!$C$2:$C$263,MATCH($D48*100+5,Key!$G$2:$G$263,0)),"#"),1,0))</f>
        <v/>
      </c>
      <c r="AW48">
        <f>IF(OR($D48="",R48="",6&gt;$F48),0,IF(UPPER(TRIM(R48))=IFERROR(INDEX(Key!$C$2:$C$263,MATCH($D48*100+6,Key!$G$2:$G$263,0)),"#"),1,0))</f>
        <v/>
      </c>
      <c r="AX48">
        <f>IF(OR($D48="",S48="",7&gt;$F48),0,IF(UPPER(TRIM(S48))=IFERROR(INDEX(Key!$C$2:$C$263,MATCH($D48*100+7,Key!$G$2:$G$263,0)),"#"),1,0))</f>
        <v/>
      </c>
      <c r="AY48">
        <f>IF(OR($D48="",T48="",8&gt;$F48),0,IF(UPPER(TRIM(T48))=IFERROR(INDEX(Key!$C$2:$C$263,MATCH($D48*100+8,Key!$G$2:$G$263,0)),"#"),1,0))</f>
        <v/>
      </c>
      <c r="AZ48">
        <f>IF(OR($D48="",U48="",9&gt;$F48),0,IF(UPPER(TRIM(U48))=IFERROR(INDEX(Key!$C$2:$C$263,MATCH($D48*100+9,Key!$G$2:$G$263,0)),"#"),1,0))</f>
        <v/>
      </c>
      <c r="BA48">
        <f>IF(OR($D48="",V48="",10&gt;$F48),0,IF(UPPER(TRIM(V48))=IFERROR(INDEX(Key!$C$2:$C$263,MATCH($D48*100+10,Key!$G$2:$G$263,0)),"#"),1,0))</f>
        <v/>
      </c>
      <c r="BB48">
        <f>IF(OR($D48="",W48="",11&gt;$F48),0,IF(UPPER(TRIM(W48))=IFERROR(INDEX(Key!$C$2:$C$263,MATCH($D48*100+11,Key!$G$2:$G$263,0)),"#"),1,0))</f>
        <v/>
      </c>
      <c r="BC48">
        <f>IF(OR($D48="",X48="",12&gt;$F48),0,IF(UPPER(TRIM(X48))=IFERROR(INDEX(Key!$C$2:$C$263,MATCH($D48*100+12,Key!$G$2:$G$263,0)),"#"),1,0))</f>
        <v/>
      </c>
      <c r="BD48">
        <f>IF(OR($D48="",Y48="",13&gt;$F48),0,IF(UPPER(TRIM(Y48))=IFERROR(INDEX(Key!$C$2:$C$263,MATCH($D48*100+13,Key!$G$2:$G$263,0)),"#"),1,0))</f>
        <v/>
      </c>
      <c r="BE48">
        <f>IF(OR($D48="",Z48="",14&gt;$F48),0,IF(UPPER(TRIM(Z48))=IFERROR(INDEX(Key!$C$2:$C$263,MATCH($D48*100+14,Key!$G$2:$G$263,0)),"#"),1,0))</f>
        <v/>
      </c>
      <c r="BF48">
        <f>IF(OR($D48="",AA48="",15&gt;$F48),0,IF(UPPER(TRIM(AA48))=IFERROR(INDEX(Key!$C$2:$C$263,MATCH($D48*100+15,Key!$G$2:$G$263,0)),"#"),1,0))</f>
        <v/>
      </c>
      <c r="BG48">
        <f>IF(OR($D48="",AB48="",16&gt;$F48),0,IF(UPPER(TRIM(AB48))=IFERROR(INDEX(Key!$C$2:$C$263,MATCH($D48*100+16,Key!$G$2:$G$263,0)),"#"),1,0))</f>
        <v/>
      </c>
      <c r="BH48">
        <f>IF(OR($D48="",AC48="",17&gt;$F48),0,IF(UPPER(TRIM(AC48))=IFERROR(INDEX(Key!$C$2:$C$263,MATCH($D48*100+17,Key!$G$2:$G$263,0)),"#"),1,0))</f>
        <v/>
      </c>
      <c r="BI48">
        <f>IF(OR($D48="",AD48="",18&gt;$F48),0,IF(UPPER(TRIM(AD48))=IFERROR(INDEX(Key!$C$2:$C$263,MATCH($D48*100+18,Key!$G$2:$G$263,0)),"#"),1,0))</f>
        <v/>
      </c>
      <c r="BJ48">
        <f>IF(OR($D48="",AE48="",19&gt;$F48),0,IF(UPPER(TRIM(AE48))=IFERROR(INDEX(Key!$C$2:$C$263,MATCH($D48*100+19,Key!$G$2:$G$263,0)),"#"),1,0))</f>
        <v/>
      </c>
      <c r="BK48">
        <f>IF(OR($D48="",AF48="",20&gt;$F48),0,IF(UPPER(TRIM(AF48))=IFERROR(INDEX(Key!$C$2:$C$263,MATCH($D48*100+20,Key!$G$2:$G$263,0)),"#"),1,0))</f>
        <v/>
      </c>
      <c r="BL48">
        <f>IF(OR($D48="",AG48="",21&gt;$F48),0,IF(UPPER(TRIM(AG48))=IFERROR(INDEX(Key!$C$2:$C$263,MATCH($D48*100+21,Key!$G$2:$G$263,0)),"#"),1,0))</f>
        <v/>
      </c>
      <c r="BM48">
        <f>IF(OR($D48="",AH48="",22&gt;$F48),0,IF(UPPER(TRIM(AH48))=IFERROR(INDEX(Key!$C$2:$C$263,MATCH($D48*100+22,Key!$G$2:$G$263,0)),"#"),1,0))</f>
        <v/>
      </c>
      <c r="BN48">
        <f>IF(OR($D48="",AI48="",23&gt;$F48),0,IF(UPPER(TRIM(AI48))=IFERROR(INDEX(Key!$C$2:$C$263,MATCH($D48*100+23,Key!$G$2:$G$263,0)),"#"),1,0))</f>
        <v/>
      </c>
      <c r="BO48">
        <f>IF(OR($D48="",AJ48="",24&gt;$F48),0,IF(UPPER(TRIM(AJ48))=IFERROR(INDEX(Key!$C$2:$C$263,MATCH($D48*100+24,Key!$G$2:$G$263,0)),"#"),1,0))</f>
        <v/>
      </c>
      <c r="BP48">
        <f>IF(OR($D48="",AK48="",25&gt;$F48),0,IF(UPPER(TRIM(AK48))=IFERROR(INDEX(Key!$C$2:$C$263,MATCH($D48*100+25,Key!$G$2:$G$263,0)),"#"),1,0))</f>
        <v/>
      </c>
      <c r="BQ48">
        <f>IF(OR($D48="",AL48="",26&gt;$F48),0,IF(UPPER(TRIM(AL48))=IFERROR(INDEX(Key!$C$2:$C$263,MATCH($D48*100+26,Key!$G$2:$G$263,0)),"#"),1,0))</f>
        <v/>
      </c>
      <c r="BR48">
        <f>IF(OR($D48="",AM48="",27&gt;$F48),0,IF(UPPER(TRIM(AM48))=IFERROR(INDEX(Key!$C$2:$C$263,MATCH($D48*100+27,Key!$G$2:$G$263,0)),"#"),1,0))</f>
        <v/>
      </c>
      <c r="BS48">
        <f>IF(OR($D48="",AN48="",28&gt;$F48),0,IF(UPPER(TRIM(AN48))=IFERROR(INDEX(Key!$C$2:$C$263,MATCH($D48*100+28,Key!$G$2:$G$263,0)),"#"),1,0))</f>
        <v/>
      </c>
      <c r="BT48">
        <f>IF(OR($D48="",AO48="",29&gt;$F48),0,IF(UPPER(TRIM(AO48))=IFERROR(INDEX(Key!$C$2:$C$263,MATCH($D48*100+29,Key!$G$2:$G$263,0)),"#"),1,0))</f>
        <v/>
      </c>
      <c r="BU48">
        <f>IF(OR($D48="",AP48="",30&gt;$F48),0,IF(UPPER(TRIM(AP48))=IFERROR(INDEX(Key!$C$2:$C$263,MATCH($D48*100+30,Key!$G$2:$G$263,0)),"#"),1,0))</f>
        <v/>
      </c>
    </row>
    <row r="49">
      <c r="A49" s="6" t="n"/>
      <c r="B49" s="6" t="n"/>
      <c r="C49" s="6" t="n"/>
      <c r="D49" s="6" t="n"/>
      <c r="E49" s="7">
        <f>IF($D49="","",IFERROR(INDEX(Papers!$B$2:$B$12,MATCH($D49,Papers!$A$2:$A$12,0)),"?"))</f>
        <v/>
      </c>
      <c r="F49" s="7">
        <f>IF($D49="","",IFERROR(INDEX(Papers!$C$2:$C$12,MATCH($D49,Papers!$A$2:$A$12,0)),0))</f>
        <v/>
      </c>
      <c r="G49" s="7">
        <f>IF($D49="","",COUNTIF(M49:AP49,"?*"))</f>
        <v/>
      </c>
      <c r="H49" s="7">
        <f>IF($D49="","",SUM(AR49:BU49))</f>
        <v/>
      </c>
      <c r="I49" s="7">
        <f>IF($D49="","",G49-H49)</f>
        <v/>
      </c>
      <c r="J49" s="7">
        <f>IF($D49="","",F49-G49)</f>
        <v/>
      </c>
      <c r="K49" s="7">
        <f>IF($D49="","",H49)</f>
        <v/>
      </c>
      <c r="L49" s="7">
        <f>IF($D49="","",IF(F49=0,"",ROUND(H49/F49*100,1)))</f>
        <v/>
      </c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R49">
        <f>IF(OR($D49="",M49="",1&gt;$F49),0,IF(UPPER(TRIM(M49))=IFERROR(INDEX(Key!$C$2:$C$263,MATCH($D49*100+1,Key!$G$2:$G$263,0)),"#"),1,0))</f>
        <v/>
      </c>
      <c r="AS49">
        <f>IF(OR($D49="",N49="",2&gt;$F49),0,IF(UPPER(TRIM(N49))=IFERROR(INDEX(Key!$C$2:$C$263,MATCH($D49*100+2,Key!$G$2:$G$263,0)),"#"),1,0))</f>
        <v/>
      </c>
      <c r="AT49">
        <f>IF(OR($D49="",O49="",3&gt;$F49),0,IF(UPPER(TRIM(O49))=IFERROR(INDEX(Key!$C$2:$C$263,MATCH($D49*100+3,Key!$G$2:$G$263,0)),"#"),1,0))</f>
        <v/>
      </c>
      <c r="AU49">
        <f>IF(OR($D49="",P49="",4&gt;$F49),0,IF(UPPER(TRIM(P49))=IFERROR(INDEX(Key!$C$2:$C$263,MATCH($D49*100+4,Key!$G$2:$G$263,0)),"#"),1,0))</f>
        <v/>
      </c>
      <c r="AV49">
        <f>IF(OR($D49="",Q49="",5&gt;$F49),0,IF(UPPER(TRIM(Q49))=IFERROR(INDEX(Key!$C$2:$C$263,MATCH($D49*100+5,Key!$G$2:$G$263,0)),"#"),1,0))</f>
        <v/>
      </c>
      <c r="AW49">
        <f>IF(OR($D49="",R49="",6&gt;$F49),0,IF(UPPER(TRIM(R49))=IFERROR(INDEX(Key!$C$2:$C$263,MATCH($D49*100+6,Key!$G$2:$G$263,0)),"#"),1,0))</f>
        <v/>
      </c>
      <c r="AX49">
        <f>IF(OR($D49="",S49="",7&gt;$F49),0,IF(UPPER(TRIM(S49))=IFERROR(INDEX(Key!$C$2:$C$263,MATCH($D49*100+7,Key!$G$2:$G$263,0)),"#"),1,0))</f>
        <v/>
      </c>
      <c r="AY49">
        <f>IF(OR($D49="",T49="",8&gt;$F49),0,IF(UPPER(TRIM(T49))=IFERROR(INDEX(Key!$C$2:$C$263,MATCH($D49*100+8,Key!$G$2:$G$263,0)),"#"),1,0))</f>
        <v/>
      </c>
      <c r="AZ49">
        <f>IF(OR($D49="",U49="",9&gt;$F49),0,IF(UPPER(TRIM(U49))=IFERROR(INDEX(Key!$C$2:$C$263,MATCH($D49*100+9,Key!$G$2:$G$263,0)),"#"),1,0))</f>
        <v/>
      </c>
      <c r="BA49">
        <f>IF(OR($D49="",V49="",10&gt;$F49),0,IF(UPPER(TRIM(V49))=IFERROR(INDEX(Key!$C$2:$C$263,MATCH($D49*100+10,Key!$G$2:$G$263,0)),"#"),1,0))</f>
        <v/>
      </c>
      <c r="BB49">
        <f>IF(OR($D49="",W49="",11&gt;$F49),0,IF(UPPER(TRIM(W49))=IFERROR(INDEX(Key!$C$2:$C$263,MATCH($D49*100+11,Key!$G$2:$G$263,0)),"#"),1,0))</f>
        <v/>
      </c>
      <c r="BC49">
        <f>IF(OR($D49="",X49="",12&gt;$F49),0,IF(UPPER(TRIM(X49))=IFERROR(INDEX(Key!$C$2:$C$263,MATCH($D49*100+12,Key!$G$2:$G$263,0)),"#"),1,0))</f>
        <v/>
      </c>
      <c r="BD49">
        <f>IF(OR($D49="",Y49="",13&gt;$F49),0,IF(UPPER(TRIM(Y49))=IFERROR(INDEX(Key!$C$2:$C$263,MATCH($D49*100+13,Key!$G$2:$G$263,0)),"#"),1,0))</f>
        <v/>
      </c>
      <c r="BE49">
        <f>IF(OR($D49="",Z49="",14&gt;$F49),0,IF(UPPER(TRIM(Z49))=IFERROR(INDEX(Key!$C$2:$C$263,MATCH($D49*100+14,Key!$G$2:$G$263,0)),"#"),1,0))</f>
        <v/>
      </c>
      <c r="BF49">
        <f>IF(OR($D49="",AA49="",15&gt;$F49),0,IF(UPPER(TRIM(AA49))=IFERROR(INDEX(Key!$C$2:$C$263,MATCH($D49*100+15,Key!$G$2:$G$263,0)),"#"),1,0))</f>
        <v/>
      </c>
      <c r="BG49">
        <f>IF(OR($D49="",AB49="",16&gt;$F49),0,IF(UPPER(TRIM(AB49))=IFERROR(INDEX(Key!$C$2:$C$263,MATCH($D49*100+16,Key!$G$2:$G$263,0)),"#"),1,0))</f>
        <v/>
      </c>
      <c r="BH49">
        <f>IF(OR($D49="",AC49="",17&gt;$F49),0,IF(UPPER(TRIM(AC49))=IFERROR(INDEX(Key!$C$2:$C$263,MATCH($D49*100+17,Key!$G$2:$G$263,0)),"#"),1,0))</f>
        <v/>
      </c>
      <c r="BI49">
        <f>IF(OR($D49="",AD49="",18&gt;$F49),0,IF(UPPER(TRIM(AD49))=IFERROR(INDEX(Key!$C$2:$C$263,MATCH($D49*100+18,Key!$G$2:$G$263,0)),"#"),1,0))</f>
        <v/>
      </c>
      <c r="BJ49">
        <f>IF(OR($D49="",AE49="",19&gt;$F49),0,IF(UPPER(TRIM(AE49))=IFERROR(INDEX(Key!$C$2:$C$263,MATCH($D49*100+19,Key!$G$2:$G$263,0)),"#"),1,0))</f>
        <v/>
      </c>
      <c r="BK49">
        <f>IF(OR($D49="",AF49="",20&gt;$F49),0,IF(UPPER(TRIM(AF49))=IFERROR(INDEX(Key!$C$2:$C$263,MATCH($D49*100+20,Key!$G$2:$G$263,0)),"#"),1,0))</f>
        <v/>
      </c>
      <c r="BL49">
        <f>IF(OR($D49="",AG49="",21&gt;$F49),0,IF(UPPER(TRIM(AG49))=IFERROR(INDEX(Key!$C$2:$C$263,MATCH($D49*100+21,Key!$G$2:$G$263,0)),"#"),1,0))</f>
        <v/>
      </c>
      <c r="BM49">
        <f>IF(OR($D49="",AH49="",22&gt;$F49),0,IF(UPPER(TRIM(AH49))=IFERROR(INDEX(Key!$C$2:$C$263,MATCH($D49*100+22,Key!$G$2:$G$263,0)),"#"),1,0))</f>
        <v/>
      </c>
      <c r="BN49">
        <f>IF(OR($D49="",AI49="",23&gt;$F49),0,IF(UPPER(TRIM(AI49))=IFERROR(INDEX(Key!$C$2:$C$263,MATCH($D49*100+23,Key!$G$2:$G$263,0)),"#"),1,0))</f>
        <v/>
      </c>
      <c r="BO49">
        <f>IF(OR($D49="",AJ49="",24&gt;$F49),0,IF(UPPER(TRIM(AJ49))=IFERROR(INDEX(Key!$C$2:$C$263,MATCH($D49*100+24,Key!$G$2:$G$263,0)),"#"),1,0))</f>
        <v/>
      </c>
      <c r="BP49">
        <f>IF(OR($D49="",AK49="",25&gt;$F49),0,IF(UPPER(TRIM(AK49))=IFERROR(INDEX(Key!$C$2:$C$263,MATCH($D49*100+25,Key!$G$2:$G$263,0)),"#"),1,0))</f>
        <v/>
      </c>
      <c r="BQ49">
        <f>IF(OR($D49="",AL49="",26&gt;$F49),0,IF(UPPER(TRIM(AL49))=IFERROR(INDEX(Key!$C$2:$C$263,MATCH($D49*100+26,Key!$G$2:$G$263,0)),"#"),1,0))</f>
        <v/>
      </c>
      <c r="BR49">
        <f>IF(OR($D49="",AM49="",27&gt;$F49),0,IF(UPPER(TRIM(AM49))=IFERROR(INDEX(Key!$C$2:$C$263,MATCH($D49*100+27,Key!$G$2:$G$263,0)),"#"),1,0))</f>
        <v/>
      </c>
      <c r="BS49">
        <f>IF(OR($D49="",AN49="",28&gt;$F49),0,IF(UPPER(TRIM(AN49))=IFERROR(INDEX(Key!$C$2:$C$263,MATCH($D49*100+28,Key!$G$2:$G$263,0)),"#"),1,0))</f>
        <v/>
      </c>
      <c r="BT49">
        <f>IF(OR($D49="",AO49="",29&gt;$F49),0,IF(UPPER(TRIM(AO49))=IFERROR(INDEX(Key!$C$2:$C$263,MATCH($D49*100+29,Key!$G$2:$G$263,0)),"#"),1,0))</f>
        <v/>
      </c>
      <c r="BU49">
        <f>IF(OR($D49="",AP49="",30&gt;$F49),0,IF(UPPER(TRIM(AP49))=IFERROR(INDEX(Key!$C$2:$C$263,MATCH($D49*100+30,Key!$G$2:$G$263,0)),"#"),1,0))</f>
        <v/>
      </c>
    </row>
    <row r="50">
      <c r="A50" s="6" t="n"/>
      <c r="B50" s="6" t="n"/>
      <c r="C50" s="6" t="n"/>
      <c r="D50" s="6" t="n"/>
      <c r="E50" s="7">
        <f>IF($D50="","",IFERROR(INDEX(Papers!$B$2:$B$12,MATCH($D50,Papers!$A$2:$A$12,0)),"?"))</f>
        <v/>
      </c>
      <c r="F50" s="7">
        <f>IF($D50="","",IFERROR(INDEX(Papers!$C$2:$C$12,MATCH($D50,Papers!$A$2:$A$12,0)),0))</f>
        <v/>
      </c>
      <c r="G50" s="7">
        <f>IF($D50="","",COUNTIF(M50:AP50,"?*"))</f>
        <v/>
      </c>
      <c r="H50" s="7">
        <f>IF($D50="","",SUM(AR50:BU50))</f>
        <v/>
      </c>
      <c r="I50" s="7">
        <f>IF($D50="","",G50-H50)</f>
        <v/>
      </c>
      <c r="J50" s="7">
        <f>IF($D50="","",F50-G50)</f>
        <v/>
      </c>
      <c r="K50" s="7">
        <f>IF($D50="","",H50)</f>
        <v/>
      </c>
      <c r="L50" s="7">
        <f>IF($D50="","",IF(F50=0,"",ROUND(H50/F50*100,1)))</f>
        <v/>
      </c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R50">
        <f>IF(OR($D50="",M50="",1&gt;$F50),0,IF(UPPER(TRIM(M50))=IFERROR(INDEX(Key!$C$2:$C$263,MATCH($D50*100+1,Key!$G$2:$G$263,0)),"#"),1,0))</f>
        <v/>
      </c>
      <c r="AS50">
        <f>IF(OR($D50="",N50="",2&gt;$F50),0,IF(UPPER(TRIM(N50))=IFERROR(INDEX(Key!$C$2:$C$263,MATCH($D50*100+2,Key!$G$2:$G$263,0)),"#"),1,0))</f>
        <v/>
      </c>
      <c r="AT50">
        <f>IF(OR($D50="",O50="",3&gt;$F50),0,IF(UPPER(TRIM(O50))=IFERROR(INDEX(Key!$C$2:$C$263,MATCH($D50*100+3,Key!$G$2:$G$263,0)),"#"),1,0))</f>
        <v/>
      </c>
      <c r="AU50">
        <f>IF(OR($D50="",P50="",4&gt;$F50),0,IF(UPPER(TRIM(P50))=IFERROR(INDEX(Key!$C$2:$C$263,MATCH($D50*100+4,Key!$G$2:$G$263,0)),"#"),1,0))</f>
        <v/>
      </c>
      <c r="AV50">
        <f>IF(OR($D50="",Q50="",5&gt;$F50),0,IF(UPPER(TRIM(Q50))=IFERROR(INDEX(Key!$C$2:$C$263,MATCH($D50*100+5,Key!$G$2:$G$263,0)),"#"),1,0))</f>
        <v/>
      </c>
      <c r="AW50">
        <f>IF(OR($D50="",R50="",6&gt;$F50),0,IF(UPPER(TRIM(R50))=IFERROR(INDEX(Key!$C$2:$C$263,MATCH($D50*100+6,Key!$G$2:$G$263,0)),"#"),1,0))</f>
        <v/>
      </c>
      <c r="AX50">
        <f>IF(OR($D50="",S50="",7&gt;$F50),0,IF(UPPER(TRIM(S50))=IFERROR(INDEX(Key!$C$2:$C$263,MATCH($D50*100+7,Key!$G$2:$G$263,0)),"#"),1,0))</f>
        <v/>
      </c>
      <c r="AY50">
        <f>IF(OR($D50="",T50="",8&gt;$F50),0,IF(UPPER(TRIM(T50))=IFERROR(INDEX(Key!$C$2:$C$263,MATCH($D50*100+8,Key!$G$2:$G$263,0)),"#"),1,0))</f>
        <v/>
      </c>
      <c r="AZ50">
        <f>IF(OR($D50="",U50="",9&gt;$F50),0,IF(UPPER(TRIM(U50))=IFERROR(INDEX(Key!$C$2:$C$263,MATCH($D50*100+9,Key!$G$2:$G$263,0)),"#"),1,0))</f>
        <v/>
      </c>
      <c r="BA50">
        <f>IF(OR($D50="",V50="",10&gt;$F50),0,IF(UPPER(TRIM(V50))=IFERROR(INDEX(Key!$C$2:$C$263,MATCH($D50*100+10,Key!$G$2:$G$263,0)),"#"),1,0))</f>
        <v/>
      </c>
      <c r="BB50">
        <f>IF(OR($D50="",W50="",11&gt;$F50),0,IF(UPPER(TRIM(W50))=IFERROR(INDEX(Key!$C$2:$C$263,MATCH($D50*100+11,Key!$G$2:$G$263,0)),"#"),1,0))</f>
        <v/>
      </c>
      <c r="BC50">
        <f>IF(OR($D50="",X50="",12&gt;$F50),0,IF(UPPER(TRIM(X50))=IFERROR(INDEX(Key!$C$2:$C$263,MATCH($D50*100+12,Key!$G$2:$G$263,0)),"#"),1,0))</f>
        <v/>
      </c>
      <c r="BD50">
        <f>IF(OR($D50="",Y50="",13&gt;$F50),0,IF(UPPER(TRIM(Y50))=IFERROR(INDEX(Key!$C$2:$C$263,MATCH($D50*100+13,Key!$G$2:$G$263,0)),"#"),1,0))</f>
        <v/>
      </c>
      <c r="BE50">
        <f>IF(OR($D50="",Z50="",14&gt;$F50),0,IF(UPPER(TRIM(Z50))=IFERROR(INDEX(Key!$C$2:$C$263,MATCH($D50*100+14,Key!$G$2:$G$263,0)),"#"),1,0))</f>
        <v/>
      </c>
      <c r="BF50">
        <f>IF(OR($D50="",AA50="",15&gt;$F50),0,IF(UPPER(TRIM(AA50))=IFERROR(INDEX(Key!$C$2:$C$263,MATCH($D50*100+15,Key!$G$2:$G$263,0)),"#"),1,0))</f>
        <v/>
      </c>
      <c r="BG50">
        <f>IF(OR($D50="",AB50="",16&gt;$F50),0,IF(UPPER(TRIM(AB50))=IFERROR(INDEX(Key!$C$2:$C$263,MATCH($D50*100+16,Key!$G$2:$G$263,0)),"#"),1,0))</f>
        <v/>
      </c>
      <c r="BH50">
        <f>IF(OR($D50="",AC50="",17&gt;$F50),0,IF(UPPER(TRIM(AC50))=IFERROR(INDEX(Key!$C$2:$C$263,MATCH($D50*100+17,Key!$G$2:$G$263,0)),"#"),1,0))</f>
        <v/>
      </c>
      <c r="BI50">
        <f>IF(OR($D50="",AD50="",18&gt;$F50),0,IF(UPPER(TRIM(AD50))=IFERROR(INDEX(Key!$C$2:$C$263,MATCH($D50*100+18,Key!$G$2:$G$263,0)),"#"),1,0))</f>
        <v/>
      </c>
      <c r="BJ50">
        <f>IF(OR($D50="",AE50="",19&gt;$F50),0,IF(UPPER(TRIM(AE50))=IFERROR(INDEX(Key!$C$2:$C$263,MATCH($D50*100+19,Key!$G$2:$G$263,0)),"#"),1,0))</f>
        <v/>
      </c>
      <c r="BK50">
        <f>IF(OR($D50="",AF50="",20&gt;$F50),0,IF(UPPER(TRIM(AF50))=IFERROR(INDEX(Key!$C$2:$C$263,MATCH($D50*100+20,Key!$G$2:$G$263,0)),"#"),1,0))</f>
        <v/>
      </c>
      <c r="BL50">
        <f>IF(OR($D50="",AG50="",21&gt;$F50),0,IF(UPPER(TRIM(AG50))=IFERROR(INDEX(Key!$C$2:$C$263,MATCH($D50*100+21,Key!$G$2:$G$263,0)),"#"),1,0))</f>
        <v/>
      </c>
      <c r="BM50">
        <f>IF(OR($D50="",AH50="",22&gt;$F50),0,IF(UPPER(TRIM(AH50))=IFERROR(INDEX(Key!$C$2:$C$263,MATCH($D50*100+22,Key!$G$2:$G$263,0)),"#"),1,0))</f>
        <v/>
      </c>
      <c r="BN50">
        <f>IF(OR($D50="",AI50="",23&gt;$F50),0,IF(UPPER(TRIM(AI50))=IFERROR(INDEX(Key!$C$2:$C$263,MATCH($D50*100+23,Key!$G$2:$G$263,0)),"#"),1,0))</f>
        <v/>
      </c>
      <c r="BO50">
        <f>IF(OR($D50="",AJ50="",24&gt;$F50),0,IF(UPPER(TRIM(AJ50))=IFERROR(INDEX(Key!$C$2:$C$263,MATCH($D50*100+24,Key!$G$2:$G$263,0)),"#"),1,0))</f>
        <v/>
      </c>
      <c r="BP50">
        <f>IF(OR($D50="",AK50="",25&gt;$F50),0,IF(UPPER(TRIM(AK50))=IFERROR(INDEX(Key!$C$2:$C$263,MATCH($D50*100+25,Key!$G$2:$G$263,0)),"#"),1,0))</f>
        <v/>
      </c>
      <c r="BQ50">
        <f>IF(OR($D50="",AL50="",26&gt;$F50),0,IF(UPPER(TRIM(AL50))=IFERROR(INDEX(Key!$C$2:$C$263,MATCH($D50*100+26,Key!$G$2:$G$263,0)),"#"),1,0))</f>
        <v/>
      </c>
      <c r="BR50">
        <f>IF(OR($D50="",AM50="",27&gt;$F50),0,IF(UPPER(TRIM(AM50))=IFERROR(INDEX(Key!$C$2:$C$263,MATCH($D50*100+27,Key!$G$2:$G$263,0)),"#"),1,0))</f>
        <v/>
      </c>
      <c r="BS50">
        <f>IF(OR($D50="",AN50="",28&gt;$F50),0,IF(UPPER(TRIM(AN50))=IFERROR(INDEX(Key!$C$2:$C$263,MATCH($D50*100+28,Key!$G$2:$G$263,0)),"#"),1,0))</f>
        <v/>
      </c>
      <c r="BT50">
        <f>IF(OR($D50="",AO50="",29&gt;$F50),0,IF(UPPER(TRIM(AO50))=IFERROR(INDEX(Key!$C$2:$C$263,MATCH($D50*100+29,Key!$G$2:$G$263,0)),"#"),1,0))</f>
        <v/>
      </c>
      <c r="BU50">
        <f>IF(OR($D50="",AP50="",30&gt;$F50),0,IF(UPPER(TRIM(AP50))=IFERROR(INDEX(Key!$C$2:$C$263,MATCH($D50*100+30,Key!$G$2:$G$263,0)),"#"),1,0))</f>
        <v/>
      </c>
    </row>
    <row r="51">
      <c r="A51" s="6" t="n"/>
      <c r="B51" s="6" t="n"/>
      <c r="C51" s="6" t="n"/>
      <c r="D51" s="6" t="n"/>
      <c r="E51" s="7">
        <f>IF($D51="","",IFERROR(INDEX(Papers!$B$2:$B$12,MATCH($D51,Papers!$A$2:$A$12,0)),"?"))</f>
        <v/>
      </c>
      <c r="F51" s="7">
        <f>IF($D51="","",IFERROR(INDEX(Papers!$C$2:$C$12,MATCH($D51,Papers!$A$2:$A$12,0)),0))</f>
        <v/>
      </c>
      <c r="G51" s="7">
        <f>IF($D51="","",COUNTIF(M51:AP51,"?*"))</f>
        <v/>
      </c>
      <c r="H51" s="7">
        <f>IF($D51="","",SUM(AR51:BU51))</f>
        <v/>
      </c>
      <c r="I51" s="7">
        <f>IF($D51="","",G51-H51)</f>
        <v/>
      </c>
      <c r="J51" s="7">
        <f>IF($D51="","",F51-G51)</f>
        <v/>
      </c>
      <c r="K51" s="7">
        <f>IF($D51="","",H51)</f>
        <v/>
      </c>
      <c r="L51" s="7">
        <f>IF($D51="","",IF(F51=0,"",ROUND(H51/F51*100,1)))</f>
        <v/>
      </c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R51">
        <f>IF(OR($D51="",M51="",1&gt;$F51),0,IF(UPPER(TRIM(M51))=IFERROR(INDEX(Key!$C$2:$C$263,MATCH($D51*100+1,Key!$G$2:$G$263,0)),"#"),1,0))</f>
        <v/>
      </c>
      <c r="AS51">
        <f>IF(OR($D51="",N51="",2&gt;$F51),0,IF(UPPER(TRIM(N51))=IFERROR(INDEX(Key!$C$2:$C$263,MATCH($D51*100+2,Key!$G$2:$G$263,0)),"#"),1,0))</f>
        <v/>
      </c>
      <c r="AT51">
        <f>IF(OR($D51="",O51="",3&gt;$F51),0,IF(UPPER(TRIM(O51))=IFERROR(INDEX(Key!$C$2:$C$263,MATCH($D51*100+3,Key!$G$2:$G$263,0)),"#"),1,0))</f>
        <v/>
      </c>
      <c r="AU51">
        <f>IF(OR($D51="",P51="",4&gt;$F51),0,IF(UPPER(TRIM(P51))=IFERROR(INDEX(Key!$C$2:$C$263,MATCH($D51*100+4,Key!$G$2:$G$263,0)),"#"),1,0))</f>
        <v/>
      </c>
      <c r="AV51">
        <f>IF(OR($D51="",Q51="",5&gt;$F51),0,IF(UPPER(TRIM(Q51))=IFERROR(INDEX(Key!$C$2:$C$263,MATCH($D51*100+5,Key!$G$2:$G$263,0)),"#"),1,0))</f>
        <v/>
      </c>
      <c r="AW51">
        <f>IF(OR($D51="",R51="",6&gt;$F51),0,IF(UPPER(TRIM(R51))=IFERROR(INDEX(Key!$C$2:$C$263,MATCH($D51*100+6,Key!$G$2:$G$263,0)),"#"),1,0))</f>
        <v/>
      </c>
      <c r="AX51">
        <f>IF(OR($D51="",S51="",7&gt;$F51),0,IF(UPPER(TRIM(S51))=IFERROR(INDEX(Key!$C$2:$C$263,MATCH($D51*100+7,Key!$G$2:$G$263,0)),"#"),1,0))</f>
        <v/>
      </c>
      <c r="AY51">
        <f>IF(OR($D51="",T51="",8&gt;$F51),0,IF(UPPER(TRIM(T51))=IFERROR(INDEX(Key!$C$2:$C$263,MATCH($D51*100+8,Key!$G$2:$G$263,0)),"#"),1,0))</f>
        <v/>
      </c>
      <c r="AZ51">
        <f>IF(OR($D51="",U51="",9&gt;$F51),0,IF(UPPER(TRIM(U51))=IFERROR(INDEX(Key!$C$2:$C$263,MATCH($D51*100+9,Key!$G$2:$G$263,0)),"#"),1,0))</f>
        <v/>
      </c>
      <c r="BA51">
        <f>IF(OR($D51="",V51="",10&gt;$F51),0,IF(UPPER(TRIM(V51))=IFERROR(INDEX(Key!$C$2:$C$263,MATCH($D51*100+10,Key!$G$2:$G$263,0)),"#"),1,0))</f>
        <v/>
      </c>
      <c r="BB51">
        <f>IF(OR($D51="",W51="",11&gt;$F51),0,IF(UPPER(TRIM(W51))=IFERROR(INDEX(Key!$C$2:$C$263,MATCH($D51*100+11,Key!$G$2:$G$263,0)),"#"),1,0))</f>
        <v/>
      </c>
      <c r="BC51">
        <f>IF(OR($D51="",X51="",12&gt;$F51),0,IF(UPPER(TRIM(X51))=IFERROR(INDEX(Key!$C$2:$C$263,MATCH($D51*100+12,Key!$G$2:$G$263,0)),"#"),1,0))</f>
        <v/>
      </c>
      <c r="BD51">
        <f>IF(OR($D51="",Y51="",13&gt;$F51),0,IF(UPPER(TRIM(Y51))=IFERROR(INDEX(Key!$C$2:$C$263,MATCH($D51*100+13,Key!$G$2:$G$263,0)),"#"),1,0))</f>
        <v/>
      </c>
      <c r="BE51">
        <f>IF(OR($D51="",Z51="",14&gt;$F51),0,IF(UPPER(TRIM(Z51))=IFERROR(INDEX(Key!$C$2:$C$263,MATCH($D51*100+14,Key!$G$2:$G$263,0)),"#"),1,0))</f>
        <v/>
      </c>
      <c r="BF51">
        <f>IF(OR($D51="",AA51="",15&gt;$F51),0,IF(UPPER(TRIM(AA51))=IFERROR(INDEX(Key!$C$2:$C$263,MATCH($D51*100+15,Key!$G$2:$G$263,0)),"#"),1,0))</f>
        <v/>
      </c>
      <c r="BG51">
        <f>IF(OR($D51="",AB51="",16&gt;$F51),0,IF(UPPER(TRIM(AB51))=IFERROR(INDEX(Key!$C$2:$C$263,MATCH($D51*100+16,Key!$G$2:$G$263,0)),"#"),1,0))</f>
        <v/>
      </c>
      <c r="BH51">
        <f>IF(OR($D51="",AC51="",17&gt;$F51),0,IF(UPPER(TRIM(AC51))=IFERROR(INDEX(Key!$C$2:$C$263,MATCH($D51*100+17,Key!$G$2:$G$263,0)),"#"),1,0))</f>
        <v/>
      </c>
      <c r="BI51">
        <f>IF(OR($D51="",AD51="",18&gt;$F51),0,IF(UPPER(TRIM(AD51))=IFERROR(INDEX(Key!$C$2:$C$263,MATCH($D51*100+18,Key!$G$2:$G$263,0)),"#"),1,0))</f>
        <v/>
      </c>
      <c r="BJ51">
        <f>IF(OR($D51="",AE51="",19&gt;$F51),0,IF(UPPER(TRIM(AE51))=IFERROR(INDEX(Key!$C$2:$C$263,MATCH($D51*100+19,Key!$G$2:$G$263,0)),"#"),1,0))</f>
        <v/>
      </c>
      <c r="BK51">
        <f>IF(OR($D51="",AF51="",20&gt;$F51),0,IF(UPPER(TRIM(AF51))=IFERROR(INDEX(Key!$C$2:$C$263,MATCH($D51*100+20,Key!$G$2:$G$263,0)),"#"),1,0))</f>
        <v/>
      </c>
      <c r="BL51">
        <f>IF(OR($D51="",AG51="",21&gt;$F51),0,IF(UPPER(TRIM(AG51))=IFERROR(INDEX(Key!$C$2:$C$263,MATCH($D51*100+21,Key!$G$2:$G$263,0)),"#"),1,0))</f>
        <v/>
      </c>
      <c r="BM51">
        <f>IF(OR($D51="",AH51="",22&gt;$F51),0,IF(UPPER(TRIM(AH51))=IFERROR(INDEX(Key!$C$2:$C$263,MATCH($D51*100+22,Key!$G$2:$G$263,0)),"#"),1,0))</f>
        <v/>
      </c>
      <c r="BN51">
        <f>IF(OR($D51="",AI51="",23&gt;$F51),0,IF(UPPER(TRIM(AI51))=IFERROR(INDEX(Key!$C$2:$C$263,MATCH($D51*100+23,Key!$G$2:$G$263,0)),"#"),1,0))</f>
        <v/>
      </c>
      <c r="BO51">
        <f>IF(OR($D51="",AJ51="",24&gt;$F51),0,IF(UPPER(TRIM(AJ51))=IFERROR(INDEX(Key!$C$2:$C$263,MATCH($D51*100+24,Key!$G$2:$G$263,0)),"#"),1,0))</f>
        <v/>
      </c>
      <c r="BP51">
        <f>IF(OR($D51="",AK51="",25&gt;$F51),0,IF(UPPER(TRIM(AK51))=IFERROR(INDEX(Key!$C$2:$C$263,MATCH($D51*100+25,Key!$G$2:$G$263,0)),"#"),1,0))</f>
        <v/>
      </c>
      <c r="BQ51">
        <f>IF(OR($D51="",AL51="",26&gt;$F51),0,IF(UPPER(TRIM(AL51))=IFERROR(INDEX(Key!$C$2:$C$263,MATCH($D51*100+26,Key!$G$2:$G$263,0)),"#"),1,0))</f>
        <v/>
      </c>
      <c r="BR51">
        <f>IF(OR($D51="",AM51="",27&gt;$F51),0,IF(UPPER(TRIM(AM51))=IFERROR(INDEX(Key!$C$2:$C$263,MATCH($D51*100+27,Key!$G$2:$G$263,0)),"#"),1,0))</f>
        <v/>
      </c>
      <c r="BS51">
        <f>IF(OR($D51="",AN51="",28&gt;$F51),0,IF(UPPER(TRIM(AN51))=IFERROR(INDEX(Key!$C$2:$C$263,MATCH($D51*100+28,Key!$G$2:$G$263,0)),"#"),1,0))</f>
        <v/>
      </c>
      <c r="BT51">
        <f>IF(OR($D51="",AO51="",29&gt;$F51),0,IF(UPPER(TRIM(AO51))=IFERROR(INDEX(Key!$C$2:$C$263,MATCH($D51*100+29,Key!$G$2:$G$263,0)),"#"),1,0))</f>
        <v/>
      </c>
      <c r="BU51">
        <f>IF(OR($D51="",AP51="",30&gt;$F51),0,IF(UPPER(TRIM(AP51))=IFERROR(INDEX(Key!$C$2:$C$263,MATCH($D51*100+30,Key!$G$2:$G$263,0)),"#"),1,0))</f>
        <v/>
      </c>
    </row>
    <row r="52">
      <c r="A52" s="6" t="n"/>
      <c r="B52" s="6" t="n"/>
      <c r="C52" s="6" t="n"/>
      <c r="D52" s="6" t="n"/>
      <c r="E52" s="7">
        <f>IF($D52="","",IFERROR(INDEX(Papers!$B$2:$B$12,MATCH($D52,Papers!$A$2:$A$12,0)),"?"))</f>
        <v/>
      </c>
      <c r="F52" s="7">
        <f>IF($D52="","",IFERROR(INDEX(Papers!$C$2:$C$12,MATCH($D52,Papers!$A$2:$A$12,0)),0))</f>
        <v/>
      </c>
      <c r="G52" s="7">
        <f>IF($D52="","",COUNTIF(M52:AP52,"?*"))</f>
        <v/>
      </c>
      <c r="H52" s="7">
        <f>IF($D52="","",SUM(AR52:BU52))</f>
        <v/>
      </c>
      <c r="I52" s="7">
        <f>IF($D52="","",G52-H52)</f>
        <v/>
      </c>
      <c r="J52" s="7">
        <f>IF($D52="","",F52-G52)</f>
        <v/>
      </c>
      <c r="K52" s="7">
        <f>IF($D52="","",H52)</f>
        <v/>
      </c>
      <c r="L52" s="7">
        <f>IF($D52="","",IF(F52=0,"",ROUND(H52/F52*100,1)))</f>
        <v/>
      </c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R52">
        <f>IF(OR($D52="",M52="",1&gt;$F52),0,IF(UPPER(TRIM(M52))=IFERROR(INDEX(Key!$C$2:$C$263,MATCH($D52*100+1,Key!$G$2:$G$263,0)),"#"),1,0))</f>
        <v/>
      </c>
      <c r="AS52">
        <f>IF(OR($D52="",N52="",2&gt;$F52),0,IF(UPPER(TRIM(N52))=IFERROR(INDEX(Key!$C$2:$C$263,MATCH($D52*100+2,Key!$G$2:$G$263,0)),"#"),1,0))</f>
        <v/>
      </c>
      <c r="AT52">
        <f>IF(OR($D52="",O52="",3&gt;$F52),0,IF(UPPER(TRIM(O52))=IFERROR(INDEX(Key!$C$2:$C$263,MATCH($D52*100+3,Key!$G$2:$G$263,0)),"#"),1,0))</f>
        <v/>
      </c>
      <c r="AU52">
        <f>IF(OR($D52="",P52="",4&gt;$F52),0,IF(UPPER(TRIM(P52))=IFERROR(INDEX(Key!$C$2:$C$263,MATCH($D52*100+4,Key!$G$2:$G$263,0)),"#"),1,0))</f>
        <v/>
      </c>
      <c r="AV52">
        <f>IF(OR($D52="",Q52="",5&gt;$F52),0,IF(UPPER(TRIM(Q52))=IFERROR(INDEX(Key!$C$2:$C$263,MATCH($D52*100+5,Key!$G$2:$G$263,0)),"#"),1,0))</f>
        <v/>
      </c>
      <c r="AW52">
        <f>IF(OR($D52="",R52="",6&gt;$F52),0,IF(UPPER(TRIM(R52))=IFERROR(INDEX(Key!$C$2:$C$263,MATCH($D52*100+6,Key!$G$2:$G$263,0)),"#"),1,0))</f>
        <v/>
      </c>
      <c r="AX52">
        <f>IF(OR($D52="",S52="",7&gt;$F52),0,IF(UPPER(TRIM(S52))=IFERROR(INDEX(Key!$C$2:$C$263,MATCH($D52*100+7,Key!$G$2:$G$263,0)),"#"),1,0))</f>
        <v/>
      </c>
      <c r="AY52">
        <f>IF(OR($D52="",T52="",8&gt;$F52),0,IF(UPPER(TRIM(T52))=IFERROR(INDEX(Key!$C$2:$C$263,MATCH($D52*100+8,Key!$G$2:$G$263,0)),"#"),1,0))</f>
        <v/>
      </c>
      <c r="AZ52">
        <f>IF(OR($D52="",U52="",9&gt;$F52),0,IF(UPPER(TRIM(U52))=IFERROR(INDEX(Key!$C$2:$C$263,MATCH($D52*100+9,Key!$G$2:$G$263,0)),"#"),1,0))</f>
        <v/>
      </c>
      <c r="BA52">
        <f>IF(OR($D52="",V52="",10&gt;$F52),0,IF(UPPER(TRIM(V52))=IFERROR(INDEX(Key!$C$2:$C$263,MATCH($D52*100+10,Key!$G$2:$G$263,0)),"#"),1,0))</f>
        <v/>
      </c>
      <c r="BB52">
        <f>IF(OR($D52="",W52="",11&gt;$F52),0,IF(UPPER(TRIM(W52))=IFERROR(INDEX(Key!$C$2:$C$263,MATCH($D52*100+11,Key!$G$2:$G$263,0)),"#"),1,0))</f>
        <v/>
      </c>
      <c r="BC52">
        <f>IF(OR($D52="",X52="",12&gt;$F52),0,IF(UPPER(TRIM(X52))=IFERROR(INDEX(Key!$C$2:$C$263,MATCH($D52*100+12,Key!$G$2:$G$263,0)),"#"),1,0))</f>
        <v/>
      </c>
      <c r="BD52">
        <f>IF(OR($D52="",Y52="",13&gt;$F52),0,IF(UPPER(TRIM(Y52))=IFERROR(INDEX(Key!$C$2:$C$263,MATCH($D52*100+13,Key!$G$2:$G$263,0)),"#"),1,0))</f>
        <v/>
      </c>
      <c r="BE52">
        <f>IF(OR($D52="",Z52="",14&gt;$F52),0,IF(UPPER(TRIM(Z52))=IFERROR(INDEX(Key!$C$2:$C$263,MATCH($D52*100+14,Key!$G$2:$G$263,0)),"#"),1,0))</f>
        <v/>
      </c>
      <c r="BF52">
        <f>IF(OR($D52="",AA52="",15&gt;$F52),0,IF(UPPER(TRIM(AA52))=IFERROR(INDEX(Key!$C$2:$C$263,MATCH($D52*100+15,Key!$G$2:$G$263,0)),"#"),1,0))</f>
        <v/>
      </c>
      <c r="BG52">
        <f>IF(OR($D52="",AB52="",16&gt;$F52),0,IF(UPPER(TRIM(AB52))=IFERROR(INDEX(Key!$C$2:$C$263,MATCH($D52*100+16,Key!$G$2:$G$263,0)),"#"),1,0))</f>
        <v/>
      </c>
      <c r="BH52">
        <f>IF(OR($D52="",AC52="",17&gt;$F52),0,IF(UPPER(TRIM(AC52))=IFERROR(INDEX(Key!$C$2:$C$263,MATCH($D52*100+17,Key!$G$2:$G$263,0)),"#"),1,0))</f>
        <v/>
      </c>
      <c r="BI52">
        <f>IF(OR($D52="",AD52="",18&gt;$F52),0,IF(UPPER(TRIM(AD52))=IFERROR(INDEX(Key!$C$2:$C$263,MATCH($D52*100+18,Key!$G$2:$G$263,0)),"#"),1,0))</f>
        <v/>
      </c>
      <c r="BJ52">
        <f>IF(OR($D52="",AE52="",19&gt;$F52),0,IF(UPPER(TRIM(AE52))=IFERROR(INDEX(Key!$C$2:$C$263,MATCH($D52*100+19,Key!$G$2:$G$263,0)),"#"),1,0))</f>
        <v/>
      </c>
      <c r="BK52">
        <f>IF(OR($D52="",AF52="",20&gt;$F52),0,IF(UPPER(TRIM(AF52))=IFERROR(INDEX(Key!$C$2:$C$263,MATCH($D52*100+20,Key!$G$2:$G$263,0)),"#"),1,0))</f>
        <v/>
      </c>
      <c r="BL52">
        <f>IF(OR($D52="",AG52="",21&gt;$F52),0,IF(UPPER(TRIM(AG52))=IFERROR(INDEX(Key!$C$2:$C$263,MATCH($D52*100+21,Key!$G$2:$G$263,0)),"#"),1,0))</f>
        <v/>
      </c>
      <c r="BM52">
        <f>IF(OR($D52="",AH52="",22&gt;$F52),0,IF(UPPER(TRIM(AH52))=IFERROR(INDEX(Key!$C$2:$C$263,MATCH($D52*100+22,Key!$G$2:$G$263,0)),"#"),1,0))</f>
        <v/>
      </c>
      <c r="BN52">
        <f>IF(OR($D52="",AI52="",23&gt;$F52),0,IF(UPPER(TRIM(AI52))=IFERROR(INDEX(Key!$C$2:$C$263,MATCH($D52*100+23,Key!$G$2:$G$263,0)),"#"),1,0))</f>
        <v/>
      </c>
      <c r="BO52">
        <f>IF(OR($D52="",AJ52="",24&gt;$F52),0,IF(UPPER(TRIM(AJ52))=IFERROR(INDEX(Key!$C$2:$C$263,MATCH($D52*100+24,Key!$G$2:$G$263,0)),"#"),1,0))</f>
        <v/>
      </c>
      <c r="BP52">
        <f>IF(OR($D52="",AK52="",25&gt;$F52),0,IF(UPPER(TRIM(AK52))=IFERROR(INDEX(Key!$C$2:$C$263,MATCH($D52*100+25,Key!$G$2:$G$263,0)),"#"),1,0))</f>
        <v/>
      </c>
      <c r="BQ52">
        <f>IF(OR($D52="",AL52="",26&gt;$F52),0,IF(UPPER(TRIM(AL52))=IFERROR(INDEX(Key!$C$2:$C$263,MATCH($D52*100+26,Key!$G$2:$G$263,0)),"#"),1,0))</f>
        <v/>
      </c>
      <c r="BR52">
        <f>IF(OR($D52="",AM52="",27&gt;$F52),0,IF(UPPER(TRIM(AM52))=IFERROR(INDEX(Key!$C$2:$C$263,MATCH($D52*100+27,Key!$G$2:$G$263,0)),"#"),1,0))</f>
        <v/>
      </c>
      <c r="BS52">
        <f>IF(OR($D52="",AN52="",28&gt;$F52),0,IF(UPPER(TRIM(AN52))=IFERROR(INDEX(Key!$C$2:$C$263,MATCH($D52*100+28,Key!$G$2:$G$263,0)),"#"),1,0))</f>
        <v/>
      </c>
      <c r="BT52">
        <f>IF(OR($D52="",AO52="",29&gt;$F52),0,IF(UPPER(TRIM(AO52))=IFERROR(INDEX(Key!$C$2:$C$263,MATCH($D52*100+29,Key!$G$2:$G$263,0)),"#"),1,0))</f>
        <v/>
      </c>
      <c r="BU52">
        <f>IF(OR($D52="",AP52="",30&gt;$F52),0,IF(UPPER(TRIM(AP52))=IFERROR(INDEX(Key!$C$2:$C$263,MATCH($D52*100+30,Key!$G$2:$G$263,0)),"#"),1,0))</f>
        <v/>
      </c>
    </row>
    <row r="53">
      <c r="A53" s="6" t="n"/>
      <c r="B53" s="6" t="n"/>
      <c r="C53" s="6" t="n"/>
      <c r="D53" s="6" t="n"/>
      <c r="E53" s="7">
        <f>IF($D53="","",IFERROR(INDEX(Papers!$B$2:$B$12,MATCH($D53,Papers!$A$2:$A$12,0)),"?"))</f>
        <v/>
      </c>
      <c r="F53" s="7">
        <f>IF($D53="","",IFERROR(INDEX(Papers!$C$2:$C$12,MATCH($D53,Papers!$A$2:$A$12,0)),0))</f>
        <v/>
      </c>
      <c r="G53" s="7">
        <f>IF($D53="","",COUNTIF(M53:AP53,"?*"))</f>
        <v/>
      </c>
      <c r="H53" s="7">
        <f>IF($D53="","",SUM(AR53:BU53))</f>
        <v/>
      </c>
      <c r="I53" s="7">
        <f>IF($D53="","",G53-H53)</f>
        <v/>
      </c>
      <c r="J53" s="7">
        <f>IF($D53="","",F53-G53)</f>
        <v/>
      </c>
      <c r="K53" s="7">
        <f>IF($D53="","",H53)</f>
        <v/>
      </c>
      <c r="L53" s="7">
        <f>IF($D53="","",IF(F53=0,"",ROUND(H53/F53*100,1)))</f>
        <v/>
      </c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R53">
        <f>IF(OR($D53="",M53="",1&gt;$F53),0,IF(UPPER(TRIM(M53))=IFERROR(INDEX(Key!$C$2:$C$263,MATCH($D53*100+1,Key!$G$2:$G$263,0)),"#"),1,0))</f>
        <v/>
      </c>
      <c r="AS53">
        <f>IF(OR($D53="",N53="",2&gt;$F53),0,IF(UPPER(TRIM(N53))=IFERROR(INDEX(Key!$C$2:$C$263,MATCH($D53*100+2,Key!$G$2:$G$263,0)),"#"),1,0))</f>
        <v/>
      </c>
      <c r="AT53">
        <f>IF(OR($D53="",O53="",3&gt;$F53),0,IF(UPPER(TRIM(O53))=IFERROR(INDEX(Key!$C$2:$C$263,MATCH($D53*100+3,Key!$G$2:$G$263,0)),"#"),1,0))</f>
        <v/>
      </c>
      <c r="AU53">
        <f>IF(OR($D53="",P53="",4&gt;$F53),0,IF(UPPER(TRIM(P53))=IFERROR(INDEX(Key!$C$2:$C$263,MATCH($D53*100+4,Key!$G$2:$G$263,0)),"#"),1,0))</f>
        <v/>
      </c>
      <c r="AV53">
        <f>IF(OR($D53="",Q53="",5&gt;$F53),0,IF(UPPER(TRIM(Q53))=IFERROR(INDEX(Key!$C$2:$C$263,MATCH($D53*100+5,Key!$G$2:$G$263,0)),"#"),1,0))</f>
        <v/>
      </c>
      <c r="AW53">
        <f>IF(OR($D53="",R53="",6&gt;$F53),0,IF(UPPER(TRIM(R53))=IFERROR(INDEX(Key!$C$2:$C$263,MATCH($D53*100+6,Key!$G$2:$G$263,0)),"#"),1,0))</f>
        <v/>
      </c>
      <c r="AX53">
        <f>IF(OR($D53="",S53="",7&gt;$F53),0,IF(UPPER(TRIM(S53))=IFERROR(INDEX(Key!$C$2:$C$263,MATCH($D53*100+7,Key!$G$2:$G$263,0)),"#"),1,0))</f>
        <v/>
      </c>
      <c r="AY53">
        <f>IF(OR($D53="",T53="",8&gt;$F53),0,IF(UPPER(TRIM(T53))=IFERROR(INDEX(Key!$C$2:$C$263,MATCH($D53*100+8,Key!$G$2:$G$263,0)),"#"),1,0))</f>
        <v/>
      </c>
      <c r="AZ53">
        <f>IF(OR($D53="",U53="",9&gt;$F53),0,IF(UPPER(TRIM(U53))=IFERROR(INDEX(Key!$C$2:$C$263,MATCH($D53*100+9,Key!$G$2:$G$263,0)),"#"),1,0))</f>
        <v/>
      </c>
      <c r="BA53">
        <f>IF(OR($D53="",V53="",10&gt;$F53),0,IF(UPPER(TRIM(V53))=IFERROR(INDEX(Key!$C$2:$C$263,MATCH($D53*100+10,Key!$G$2:$G$263,0)),"#"),1,0))</f>
        <v/>
      </c>
      <c r="BB53">
        <f>IF(OR($D53="",W53="",11&gt;$F53),0,IF(UPPER(TRIM(W53))=IFERROR(INDEX(Key!$C$2:$C$263,MATCH($D53*100+11,Key!$G$2:$G$263,0)),"#"),1,0))</f>
        <v/>
      </c>
      <c r="BC53">
        <f>IF(OR($D53="",X53="",12&gt;$F53),0,IF(UPPER(TRIM(X53))=IFERROR(INDEX(Key!$C$2:$C$263,MATCH($D53*100+12,Key!$G$2:$G$263,0)),"#"),1,0))</f>
        <v/>
      </c>
      <c r="BD53">
        <f>IF(OR($D53="",Y53="",13&gt;$F53),0,IF(UPPER(TRIM(Y53))=IFERROR(INDEX(Key!$C$2:$C$263,MATCH($D53*100+13,Key!$G$2:$G$263,0)),"#"),1,0))</f>
        <v/>
      </c>
      <c r="BE53">
        <f>IF(OR($D53="",Z53="",14&gt;$F53),0,IF(UPPER(TRIM(Z53))=IFERROR(INDEX(Key!$C$2:$C$263,MATCH($D53*100+14,Key!$G$2:$G$263,0)),"#"),1,0))</f>
        <v/>
      </c>
      <c r="BF53">
        <f>IF(OR($D53="",AA53="",15&gt;$F53),0,IF(UPPER(TRIM(AA53))=IFERROR(INDEX(Key!$C$2:$C$263,MATCH($D53*100+15,Key!$G$2:$G$263,0)),"#"),1,0))</f>
        <v/>
      </c>
      <c r="BG53">
        <f>IF(OR($D53="",AB53="",16&gt;$F53),0,IF(UPPER(TRIM(AB53))=IFERROR(INDEX(Key!$C$2:$C$263,MATCH($D53*100+16,Key!$G$2:$G$263,0)),"#"),1,0))</f>
        <v/>
      </c>
      <c r="BH53">
        <f>IF(OR($D53="",AC53="",17&gt;$F53),0,IF(UPPER(TRIM(AC53))=IFERROR(INDEX(Key!$C$2:$C$263,MATCH($D53*100+17,Key!$G$2:$G$263,0)),"#"),1,0))</f>
        <v/>
      </c>
      <c r="BI53">
        <f>IF(OR($D53="",AD53="",18&gt;$F53),0,IF(UPPER(TRIM(AD53))=IFERROR(INDEX(Key!$C$2:$C$263,MATCH($D53*100+18,Key!$G$2:$G$263,0)),"#"),1,0))</f>
        <v/>
      </c>
      <c r="BJ53">
        <f>IF(OR($D53="",AE53="",19&gt;$F53),0,IF(UPPER(TRIM(AE53))=IFERROR(INDEX(Key!$C$2:$C$263,MATCH($D53*100+19,Key!$G$2:$G$263,0)),"#"),1,0))</f>
        <v/>
      </c>
      <c r="BK53">
        <f>IF(OR($D53="",AF53="",20&gt;$F53),0,IF(UPPER(TRIM(AF53))=IFERROR(INDEX(Key!$C$2:$C$263,MATCH($D53*100+20,Key!$G$2:$G$263,0)),"#"),1,0))</f>
        <v/>
      </c>
      <c r="BL53">
        <f>IF(OR($D53="",AG53="",21&gt;$F53),0,IF(UPPER(TRIM(AG53))=IFERROR(INDEX(Key!$C$2:$C$263,MATCH($D53*100+21,Key!$G$2:$G$263,0)),"#"),1,0))</f>
        <v/>
      </c>
      <c r="BM53">
        <f>IF(OR($D53="",AH53="",22&gt;$F53),0,IF(UPPER(TRIM(AH53))=IFERROR(INDEX(Key!$C$2:$C$263,MATCH($D53*100+22,Key!$G$2:$G$263,0)),"#"),1,0))</f>
        <v/>
      </c>
      <c r="BN53">
        <f>IF(OR($D53="",AI53="",23&gt;$F53),0,IF(UPPER(TRIM(AI53))=IFERROR(INDEX(Key!$C$2:$C$263,MATCH($D53*100+23,Key!$G$2:$G$263,0)),"#"),1,0))</f>
        <v/>
      </c>
      <c r="BO53">
        <f>IF(OR($D53="",AJ53="",24&gt;$F53),0,IF(UPPER(TRIM(AJ53))=IFERROR(INDEX(Key!$C$2:$C$263,MATCH($D53*100+24,Key!$G$2:$G$263,0)),"#"),1,0))</f>
        <v/>
      </c>
      <c r="BP53">
        <f>IF(OR($D53="",AK53="",25&gt;$F53),0,IF(UPPER(TRIM(AK53))=IFERROR(INDEX(Key!$C$2:$C$263,MATCH($D53*100+25,Key!$G$2:$G$263,0)),"#"),1,0))</f>
        <v/>
      </c>
      <c r="BQ53">
        <f>IF(OR($D53="",AL53="",26&gt;$F53),0,IF(UPPER(TRIM(AL53))=IFERROR(INDEX(Key!$C$2:$C$263,MATCH($D53*100+26,Key!$G$2:$G$263,0)),"#"),1,0))</f>
        <v/>
      </c>
      <c r="BR53">
        <f>IF(OR($D53="",AM53="",27&gt;$F53),0,IF(UPPER(TRIM(AM53))=IFERROR(INDEX(Key!$C$2:$C$263,MATCH($D53*100+27,Key!$G$2:$G$263,0)),"#"),1,0))</f>
        <v/>
      </c>
      <c r="BS53">
        <f>IF(OR($D53="",AN53="",28&gt;$F53),0,IF(UPPER(TRIM(AN53))=IFERROR(INDEX(Key!$C$2:$C$263,MATCH($D53*100+28,Key!$G$2:$G$263,0)),"#"),1,0))</f>
        <v/>
      </c>
      <c r="BT53">
        <f>IF(OR($D53="",AO53="",29&gt;$F53),0,IF(UPPER(TRIM(AO53))=IFERROR(INDEX(Key!$C$2:$C$263,MATCH($D53*100+29,Key!$G$2:$G$263,0)),"#"),1,0))</f>
        <v/>
      </c>
      <c r="BU53">
        <f>IF(OR($D53="",AP53="",30&gt;$F53),0,IF(UPPER(TRIM(AP53))=IFERROR(INDEX(Key!$C$2:$C$263,MATCH($D53*100+30,Key!$G$2:$G$263,0)),"#"),1,0))</f>
        <v/>
      </c>
    </row>
    <row r="54">
      <c r="A54" s="6" t="n"/>
      <c r="B54" s="6" t="n"/>
      <c r="C54" s="6" t="n"/>
      <c r="D54" s="6" t="n"/>
      <c r="E54" s="7">
        <f>IF($D54="","",IFERROR(INDEX(Papers!$B$2:$B$12,MATCH($D54,Papers!$A$2:$A$12,0)),"?"))</f>
        <v/>
      </c>
      <c r="F54" s="7">
        <f>IF($D54="","",IFERROR(INDEX(Papers!$C$2:$C$12,MATCH($D54,Papers!$A$2:$A$12,0)),0))</f>
        <v/>
      </c>
      <c r="G54" s="7">
        <f>IF($D54="","",COUNTIF(M54:AP54,"?*"))</f>
        <v/>
      </c>
      <c r="H54" s="7">
        <f>IF($D54="","",SUM(AR54:BU54))</f>
        <v/>
      </c>
      <c r="I54" s="7">
        <f>IF($D54="","",G54-H54)</f>
        <v/>
      </c>
      <c r="J54" s="7">
        <f>IF($D54="","",F54-G54)</f>
        <v/>
      </c>
      <c r="K54" s="7">
        <f>IF($D54="","",H54)</f>
        <v/>
      </c>
      <c r="L54" s="7">
        <f>IF($D54="","",IF(F54=0,"",ROUND(H54/F54*100,1)))</f>
        <v/>
      </c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R54">
        <f>IF(OR($D54="",M54="",1&gt;$F54),0,IF(UPPER(TRIM(M54))=IFERROR(INDEX(Key!$C$2:$C$263,MATCH($D54*100+1,Key!$G$2:$G$263,0)),"#"),1,0))</f>
        <v/>
      </c>
      <c r="AS54">
        <f>IF(OR($D54="",N54="",2&gt;$F54),0,IF(UPPER(TRIM(N54))=IFERROR(INDEX(Key!$C$2:$C$263,MATCH($D54*100+2,Key!$G$2:$G$263,0)),"#"),1,0))</f>
        <v/>
      </c>
      <c r="AT54">
        <f>IF(OR($D54="",O54="",3&gt;$F54),0,IF(UPPER(TRIM(O54))=IFERROR(INDEX(Key!$C$2:$C$263,MATCH($D54*100+3,Key!$G$2:$G$263,0)),"#"),1,0))</f>
        <v/>
      </c>
      <c r="AU54">
        <f>IF(OR($D54="",P54="",4&gt;$F54),0,IF(UPPER(TRIM(P54))=IFERROR(INDEX(Key!$C$2:$C$263,MATCH($D54*100+4,Key!$G$2:$G$263,0)),"#"),1,0))</f>
        <v/>
      </c>
      <c r="AV54">
        <f>IF(OR($D54="",Q54="",5&gt;$F54),0,IF(UPPER(TRIM(Q54))=IFERROR(INDEX(Key!$C$2:$C$263,MATCH($D54*100+5,Key!$G$2:$G$263,0)),"#"),1,0))</f>
        <v/>
      </c>
      <c r="AW54">
        <f>IF(OR($D54="",R54="",6&gt;$F54),0,IF(UPPER(TRIM(R54))=IFERROR(INDEX(Key!$C$2:$C$263,MATCH($D54*100+6,Key!$G$2:$G$263,0)),"#"),1,0))</f>
        <v/>
      </c>
      <c r="AX54">
        <f>IF(OR($D54="",S54="",7&gt;$F54),0,IF(UPPER(TRIM(S54))=IFERROR(INDEX(Key!$C$2:$C$263,MATCH($D54*100+7,Key!$G$2:$G$263,0)),"#"),1,0))</f>
        <v/>
      </c>
      <c r="AY54">
        <f>IF(OR($D54="",T54="",8&gt;$F54),0,IF(UPPER(TRIM(T54))=IFERROR(INDEX(Key!$C$2:$C$263,MATCH($D54*100+8,Key!$G$2:$G$263,0)),"#"),1,0))</f>
        <v/>
      </c>
      <c r="AZ54">
        <f>IF(OR($D54="",U54="",9&gt;$F54),0,IF(UPPER(TRIM(U54))=IFERROR(INDEX(Key!$C$2:$C$263,MATCH($D54*100+9,Key!$G$2:$G$263,0)),"#"),1,0))</f>
        <v/>
      </c>
      <c r="BA54">
        <f>IF(OR($D54="",V54="",10&gt;$F54),0,IF(UPPER(TRIM(V54))=IFERROR(INDEX(Key!$C$2:$C$263,MATCH($D54*100+10,Key!$G$2:$G$263,0)),"#"),1,0))</f>
        <v/>
      </c>
      <c r="BB54">
        <f>IF(OR($D54="",W54="",11&gt;$F54),0,IF(UPPER(TRIM(W54))=IFERROR(INDEX(Key!$C$2:$C$263,MATCH($D54*100+11,Key!$G$2:$G$263,0)),"#"),1,0))</f>
        <v/>
      </c>
      <c r="BC54">
        <f>IF(OR($D54="",X54="",12&gt;$F54),0,IF(UPPER(TRIM(X54))=IFERROR(INDEX(Key!$C$2:$C$263,MATCH($D54*100+12,Key!$G$2:$G$263,0)),"#"),1,0))</f>
        <v/>
      </c>
      <c r="BD54">
        <f>IF(OR($D54="",Y54="",13&gt;$F54),0,IF(UPPER(TRIM(Y54))=IFERROR(INDEX(Key!$C$2:$C$263,MATCH($D54*100+13,Key!$G$2:$G$263,0)),"#"),1,0))</f>
        <v/>
      </c>
      <c r="BE54">
        <f>IF(OR($D54="",Z54="",14&gt;$F54),0,IF(UPPER(TRIM(Z54))=IFERROR(INDEX(Key!$C$2:$C$263,MATCH($D54*100+14,Key!$G$2:$G$263,0)),"#"),1,0))</f>
        <v/>
      </c>
      <c r="BF54">
        <f>IF(OR($D54="",AA54="",15&gt;$F54),0,IF(UPPER(TRIM(AA54))=IFERROR(INDEX(Key!$C$2:$C$263,MATCH($D54*100+15,Key!$G$2:$G$263,0)),"#"),1,0))</f>
        <v/>
      </c>
      <c r="BG54">
        <f>IF(OR($D54="",AB54="",16&gt;$F54),0,IF(UPPER(TRIM(AB54))=IFERROR(INDEX(Key!$C$2:$C$263,MATCH($D54*100+16,Key!$G$2:$G$263,0)),"#"),1,0))</f>
        <v/>
      </c>
      <c r="BH54">
        <f>IF(OR($D54="",AC54="",17&gt;$F54),0,IF(UPPER(TRIM(AC54))=IFERROR(INDEX(Key!$C$2:$C$263,MATCH($D54*100+17,Key!$G$2:$G$263,0)),"#"),1,0))</f>
        <v/>
      </c>
      <c r="BI54">
        <f>IF(OR($D54="",AD54="",18&gt;$F54),0,IF(UPPER(TRIM(AD54))=IFERROR(INDEX(Key!$C$2:$C$263,MATCH($D54*100+18,Key!$G$2:$G$263,0)),"#"),1,0))</f>
        <v/>
      </c>
      <c r="BJ54">
        <f>IF(OR($D54="",AE54="",19&gt;$F54),0,IF(UPPER(TRIM(AE54))=IFERROR(INDEX(Key!$C$2:$C$263,MATCH($D54*100+19,Key!$G$2:$G$263,0)),"#"),1,0))</f>
        <v/>
      </c>
      <c r="BK54">
        <f>IF(OR($D54="",AF54="",20&gt;$F54),0,IF(UPPER(TRIM(AF54))=IFERROR(INDEX(Key!$C$2:$C$263,MATCH($D54*100+20,Key!$G$2:$G$263,0)),"#"),1,0))</f>
        <v/>
      </c>
      <c r="BL54">
        <f>IF(OR($D54="",AG54="",21&gt;$F54),0,IF(UPPER(TRIM(AG54))=IFERROR(INDEX(Key!$C$2:$C$263,MATCH($D54*100+21,Key!$G$2:$G$263,0)),"#"),1,0))</f>
        <v/>
      </c>
      <c r="BM54">
        <f>IF(OR($D54="",AH54="",22&gt;$F54),0,IF(UPPER(TRIM(AH54))=IFERROR(INDEX(Key!$C$2:$C$263,MATCH($D54*100+22,Key!$G$2:$G$263,0)),"#"),1,0))</f>
        <v/>
      </c>
      <c r="BN54">
        <f>IF(OR($D54="",AI54="",23&gt;$F54),0,IF(UPPER(TRIM(AI54))=IFERROR(INDEX(Key!$C$2:$C$263,MATCH($D54*100+23,Key!$G$2:$G$263,0)),"#"),1,0))</f>
        <v/>
      </c>
      <c r="BO54">
        <f>IF(OR($D54="",AJ54="",24&gt;$F54),0,IF(UPPER(TRIM(AJ54))=IFERROR(INDEX(Key!$C$2:$C$263,MATCH($D54*100+24,Key!$G$2:$G$263,0)),"#"),1,0))</f>
        <v/>
      </c>
      <c r="BP54">
        <f>IF(OR($D54="",AK54="",25&gt;$F54),0,IF(UPPER(TRIM(AK54))=IFERROR(INDEX(Key!$C$2:$C$263,MATCH($D54*100+25,Key!$G$2:$G$263,0)),"#"),1,0))</f>
        <v/>
      </c>
      <c r="BQ54">
        <f>IF(OR($D54="",AL54="",26&gt;$F54),0,IF(UPPER(TRIM(AL54))=IFERROR(INDEX(Key!$C$2:$C$263,MATCH($D54*100+26,Key!$G$2:$G$263,0)),"#"),1,0))</f>
        <v/>
      </c>
      <c r="BR54">
        <f>IF(OR($D54="",AM54="",27&gt;$F54),0,IF(UPPER(TRIM(AM54))=IFERROR(INDEX(Key!$C$2:$C$263,MATCH($D54*100+27,Key!$G$2:$G$263,0)),"#"),1,0))</f>
        <v/>
      </c>
      <c r="BS54">
        <f>IF(OR($D54="",AN54="",28&gt;$F54),0,IF(UPPER(TRIM(AN54))=IFERROR(INDEX(Key!$C$2:$C$263,MATCH($D54*100+28,Key!$G$2:$G$263,0)),"#"),1,0))</f>
        <v/>
      </c>
      <c r="BT54">
        <f>IF(OR($D54="",AO54="",29&gt;$F54),0,IF(UPPER(TRIM(AO54))=IFERROR(INDEX(Key!$C$2:$C$263,MATCH($D54*100+29,Key!$G$2:$G$263,0)),"#"),1,0))</f>
        <v/>
      </c>
      <c r="BU54">
        <f>IF(OR($D54="",AP54="",30&gt;$F54),0,IF(UPPER(TRIM(AP54))=IFERROR(INDEX(Key!$C$2:$C$263,MATCH($D54*100+30,Key!$G$2:$G$263,0)),"#"),1,0))</f>
        <v/>
      </c>
    </row>
    <row r="55">
      <c r="A55" s="6" t="n"/>
      <c r="B55" s="6" t="n"/>
      <c r="C55" s="6" t="n"/>
      <c r="D55" s="6" t="n"/>
      <c r="E55" s="7">
        <f>IF($D55="","",IFERROR(INDEX(Papers!$B$2:$B$12,MATCH($D55,Papers!$A$2:$A$12,0)),"?"))</f>
        <v/>
      </c>
      <c r="F55" s="7">
        <f>IF($D55="","",IFERROR(INDEX(Papers!$C$2:$C$12,MATCH($D55,Papers!$A$2:$A$12,0)),0))</f>
        <v/>
      </c>
      <c r="G55" s="7">
        <f>IF($D55="","",COUNTIF(M55:AP55,"?*"))</f>
        <v/>
      </c>
      <c r="H55" s="7">
        <f>IF($D55="","",SUM(AR55:BU55))</f>
        <v/>
      </c>
      <c r="I55" s="7">
        <f>IF($D55="","",G55-H55)</f>
        <v/>
      </c>
      <c r="J55" s="7">
        <f>IF($D55="","",F55-G55)</f>
        <v/>
      </c>
      <c r="K55" s="7">
        <f>IF($D55="","",H55)</f>
        <v/>
      </c>
      <c r="L55" s="7">
        <f>IF($D55="","",IF(F55=0,"",ROUND(H55/F55*100,1)))</f>
        <v/>
      </c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R55">
        <f>IF(OR($D55="",M55="",1&gt;$F55),0,IF(UPPER(TRIM(M55))=IFERROR(INDEX(Key!$C$2:$C$263,MATCH($D55*100+1,Key!$G$2:$G$263,0)),"#"),1,0))</f>
        <v/>
      </c>
      <c r="AS55">
        <f>IF(OR($D55="",N55="",2&gt;$F55),0,IF(UPPER(TRIM(N55))=IFERROR(INDEX(Key!$C$2:$C$263,MATCH($D55*100+2,Key!$G$2:$G$263,0)),"#"),1,0))</f>
        <v/>
      </c>
      <c r="AT55">
        <f>IF(OR($D55="",O55="",3&gt;$F55),0,IF(UPPER(TRIM(O55))=IFERROR(INDEX(Key!$C$2:$C$263,MATCH($D55*100+3,Key!$G$2:$G$263,0)),"#"),1,0))</f>
        <v/>
      </c>
      <c r="AU55">
        <f>IF(OR($D55="",P55="",4&gt;$F55),0,IF(UPPER(TRIM(P55))=IFERROR(INDEX(Key!$C$2:$C$263,MATCH($D55*100+4,Key!$G$2:$G$263,0)),"#"),1,0))</f>
        <v/>
      </c>
      <c r="AV55">
        <f>IF(OR($D55="",Q55="",5&gt;$F55),0,IF(UPPER(TRIM(Q55))=IFERROR(INDEX(Key!$C$2:$C$263,MATCH($D55*100+5,Key!$G$2:$G$263,0)),"#"),1,0))</f>
        <v/>
      </c>
      <c r="AW55">
        <f>IF(OR($D55="",R55="",6&gt;$F55),0,IF(UPPER(TRIM(R55))=IFERROR(INDEX(Key!$C$2:$C$263,MATCH($D55*100+6,Key!$G$2:$G$263,0)),"#"),1,0))</f>
        <v/>
      </c>
      <c r="AX55">
        <f>IF(OR($D55="",S55="",7&gt;$F55),0,IF(UPPER(TRIM(S55))=IFERROR(INDEX(Key!$C$2:$C$263,MATCH($D55*100+7,Key!$G$2:$G$263,0)),"#"),1,0))</f>
        <v/>
      </c>
      <c r="AY55">
        <f>IF(OR($D55="",T55="",8&gt;$F55),0,IF(UPPER(TRIM(T55))=IFERROR(INDEX(Key!$C$2:$C$263,MATCH($D55*100+8,Key!$G$2:$G$263,0)),"#"),1,0))</f>
        <v/>
      </c>
      <c r="AZ55">
        <f>IF(OR($D55="",U55="",9&gt;$F55),0,IF(UPPER(TRIM(U55))=IFERROR(INDEX(Key!$C$2:$C$263,MATCH($D55*100+9,Key!$G$2:$G$263,0)),"#"),1,0))</f>
        <v/>
      </c>
      <c r="BA55">
        <f>IF(OR($D55="",V55="",10&gt;$F55),0,IF(UPPER(TRIM(V55))=IFERROR(INDEX(Key!$C$2:$C$263,MATCH($D55*100+10,Key!$G$2:$G$263,0)),"#"),1,0))</f>
        <v/>
      </c>
      <c r="BB55">
        <f>IF(OR($D55="",W55="",11&gt;$F55),0,IF(UPPER(TRIM(W55))=IFERROR(INDEX(Key!$C$2:$C$263,MATCH($D55*100+11,Key!$G$2:$G$263,0)),"#"),1,0))</f>
        <v/>
      </c>
      <c r="BC55">
        <f>IF(OR($D55="",X55="",12&gt;$F55),0,IF(UPPER(TRIM(X55))=IFERROR(INDEX(Key!$C$2:$C$263,MATCH($D55*100+12,Key!$G$2:$G$263,0)),"#"),1,0))</f>
        <v/>
      </c>
      <c r="BD55">
        <f>IF(OR($D55="",Y55="",13&gt;$F55),0,IF(UPPER(TRIM(Y55))=IFERROR(INDEX(Key!$C$2:$C$263,MATCH($D55*100+13,Key!$G$2:$G$263,0)),"#"),1,0))</f>
        <v/>
      </c>
      <c r="BE55">
        <f>IF(OR($D55="",Z55="",14&gt;$F55),0,IF(UPPER(TRIM(Z55))=IFERROR(INDEX(Key!$C$2:$C$263,MATCH($D55*100+14,Key!$G$2:$G$263,0)),"#"),1,0))</f>
        <v/>
      </c>
      <c r="BF55">
        <f>IF(OR($D55="",AA55="",15&gt;$F55),0,IF(UPPER(TRIM(AA55))=IFERROR(INDEX(Key!$C$2:$C$263,MATCH($D55*100+15,Key!$G$2:$G$263,0)),"#"),1,0))</f>
        <v/>
      </c>
      <c r="BG55">
        <f>IF(OR($D55="",AB55="",16&gt;$F55),0,IF(UPPER(TRIM(AB55))=IFERROR(INDEX(Key!$C$2:$C$263,MATCH($D55*100+16,Key!$G$2:$G$263,0)),"#"),1,0))</f>
        <v/>
      </c>
      <c r="BH55">
        <f>IF(OR($D55="",AC55="",17&gt;$F55),0,IF(UPPER(TRIM(AC55))=IFERROR(INDEX(Key!$C$2:$C$263,MATCH($D55*100+17,Key!$G$2:$G$263,0)),"#"),1,0))</f>
        <v/>
      </c>
      <c r="BI55">
        <f>IF(OR($D55="",AD55="",18&gt;$F55),0,IF(UPPER(TRIM(AD55))=IFERROR(INDEX(Key!$C$2:$C$263,MATCH($D55*100+18,Key!$G$2:$G$263,0)),"#"),1,0))</f>
        <v/>
      </c>
      <c r="BJ55">
        <f>IF(OR($D55="",AE55="",19&gt;$F55),0,IF(UPPER(TRIM(AE55))=IFERROR(INDEX(Key!$C$2:$C$263,MATCH($D55*100+19,Key!$G$2:$G$263,0)),"#"),1,0))</f>
        <v/>
      </c>
      <c r="BK55">
        <f>IF(OR($D55="",AF55="",20&gt;$F55),0,IF(UPPER(TRIM(AF55))=IFERROR(INDEX(Key!$C$2:$C$263,MATCH($D55*100+20,Key!$G$2:$G$263,0)),"#"),1,0))</f>
        <v/>
      </c>
      <c r="BL55">
        <f>IF(OR($D55="",AG55="",21&gt;$F55),0,IF(UPPER(TRIM(AG55))=IFERROR(INDEX(Key!$C$2:$C$263,MATCH($D55*100+21,Key!$G$2:$G$263,0)),"#"),1,0))</f>
        <v/>
      </c>
      <c r="BM55">
        <f>IF(OR($D55="",AH55="",22&gt;$F55),0,IF(UPPER(TRIM(AH55))=IFERROR(INDEX(Key!$C$2:$C$263,MATCH($D55*100+22,Key!$G$2:$G$263,0)),"#"),1,0))</f>
        <v/>
      </c>
      <c r="BN55">
        <f>IF(OR($D55="",AI55="",23&gt;$F55),0,IF(UPPER(TRIM(AI55))=IFERROR(INDEX(Key!$C$2:$C$263,MATCH($D55*100+23,Key!$G$2:$G$263,0)),"#"),1,0))</f>
        <v/>
      </c>
      <c r="BO55">
        <f>IF(OR($D55="",AJ55="",24&gt;$F55),0,IF(UPPER(TRIM(AJ55))=IFERROR(INDEX(Key!$C$2:$C$263,MATCH($D55*100+24,Key!$G$2:$G$263,0)),"#"),1,0))</f>
        <v/>
      </c>
      <c r="BP55">
        <f>IF(OR($D55="",AK55="",25&gt;$F55),0,IF(UPPER(TRIM(AK55))=IFERROR(INDEX(Key!$C$2:$C$263,MATCH($D55*100+25,Key!$G$2:$G$263,0)),"#"),1,0))</f>
        <v/>
      </c>
      <c r="BQ55">
        <f>IF(OR($D55="",AL55="",26&gt;$F55),0,IF(UPPER(TRIM(AL55))=IFERROR(INDEX(Key!$C$2:$C$263,MATCH($D55*100+26,Key!$G$2:$G$263,0)),"#"),1,0))</f>
        <v/>
      </c>
      <c r="BR55">
        <f>IF(OR($D55="",AM55="",27&gt;$F55),0,IF(UPPER(TRIM(AM55))=IFERROR(INDEX(Key!$C$2:$C$263,MATCH($D55*100+27,Key!$G$2:$G$263,0)),"#"),1,0))</f>
        <v/>
      </c>
      <c r="BS55">
        <f>IF(OR($D55="",AN55="",28&gt;$F55),0,IF(UPPER(TRIM(AN55))=IFERROR(INDEX(Key!$C$2:$C$263,MATCH($D55*100+28,Key!$G$2:$G$263,0)),"#"),1,0))</f>
        <v/>
      </c>
      <c r="BT55">
        <f>IF(OR($D55="",AO55="",29&gt;$F55),0,IF(UPPER(TRIM(AO55))=IFERROR(INDEX(Key!$C$2:$C$263,MATCH($D55*100+29,Key!$G$2:$G$263,0)),"#"),1,0))</f>
        <v/>
      </c>
      <c r="BU55">
        <f>IF(OR($D55="",AP55="",30&gt;$F55),0,IF(UPPER(TRIM(AP55))=IFERROR(INDEX(Key!$C$2:$C$263,MATCH($D55*100+30,Key!$G$2:$G$263,0)),"#"),1,0))</f>
        <v/>
      </c>
    </row>
    <row r="56">
      <c r="A56" s="6" t="n"/>
      <c r="B56" s="6" t="n"/>
      <c r="C56" s="6" t="n"/>
      <c r="D56" s="6" t="n"/>
      <c r="E56" s="7">
        <f>IF($D56="","",IFERROR(INDEX(Papers!$B$2:$B$12,MATCH($D56,Papers!$A$2:$A$12,0)),"?"))</f>
        <v/>
      </c>
      <c r="F56" s="7">
        <f>IF($D56="","",IFERROR(INDEX(Papers!$C$2:$C$12,MATCH($D56,Papers!$A$2:$A$12,0)),0))</f>
        <v/>
      </c>
      <c r="G56" s="7">
        <f>IF($D56="","",COUNTIF(M56:AP56,"?*"))</f>
        <v/>
      </c>
      <c r="H56" s="7">
        <f>IF($D56="","",SUM(AR56:BU56))</f>
        <v/>
      </c>
      <c r="I56" s="7">
        <f>IF($D56="","",G56-H56)</f>
        <v/>
      </c>
      <c r="J56" s="7">
        <f>IF($D56="","",F56-G56)</f>
        <v/>
      </c>
      <c r="K56" s="7">
        <f>IF($D56="","",H56)</f>
        <v/>
      </c>
      <c r="L56" s="7">
        <f>IF($D56="","",IF(F56=0,"",ROUND(H56/F56*100,1)))</f>
        <v/>
      </c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R56">
        <f>IF(OR($D56="",M56="",1&gt;$F56),0,IF(UPPER(TRIM(M56))=IFERROR(INDEX(Key!$C$2:$C$263,MATCH($D56*100+1,Key!$G$2:$G$263,0)),"#"),1,0))</f>
        <v/>
      </c>
      <c r="AS56">
        <f>IF(OR($D56="",N56="",2&gt;$F56),0,IF(UPPER(TRIM(N56))=IFERROR(INDEX(Key!$C$2:$C$263,MATCH($D56*100+2,Key!$G$2:$G$263,0)),"#"),1,0))</f>
        <v/>
      </c>
      <c r="AT56">
        <f>IF(OR($D56="",O56="",3&gt;$F56),0,IF(UPPER(TRIM(O56))=IFERROR(INDEX(Key!$C$2:$C$263,MATCH($D56*100+3,Key!$G$2:$G$263,0)),"#"),1,0))</f>
        <v/>
      </c>
      <c r="AU56">
        <f>IF(OR($D56="",P56="",4&gt;$F56),0,IF(UPPER(TRIM(P56))=IFERROR(INDEX(Key!$C$2:$C$263,MATCH($D56*100+4,Key!$G$2:$G$263,0)),"#"),1,0))</f>
        <v/>
      </c>
      <c r="AV56">
        <f>IF(OR($D56="",Q56="",5&gt;$F56),0,IF(UPPER(TRIM(Q56))=IFERROR(INDEX(Key!$C$2:$C$263,MATCH($D56*100+5,Key!$G$2:$G$263,0)),"#"),1,0))</f>
        <v/>
      </c>
      <c r="AW56">
        <f>IF(OR($D56="",R56="",6&gt;$F56),0,IF(UPPER(TRIM(R56))=IFERROR(INDEX(Key!$C$2:$C$263,MATCH($D56*100+6,Key!$G$2:$G$263,0)),"#"),1,0))</f>
        <v/>
      </c>
      <c r="AX56">
        <f>IF(OR($D56="",S56="",7&gt;$F56),0,IF(UPPER(TRIM(S56))=IFERROR(INDEX(Key!$C$2:$C$263,MATCH($D56*100+7,Key!$G$2:$G$263,0)),"#"),1,0))</f>
        <v/>
      </c>
      <c r="AY56">
        <f>IF(OR($D56="",T56="",8&gt;$F56),0,IF(UPPER(TRIM(T56))=IFERROR(INDEX(Key!$C$2:$C$263,MATCH($D56*100+8,Key!$G$2:$G$263,0)),"#"),1,0))</f>
        <v/>
      </c>
      <c r="AZ56">
        <f>IF(OR($D56="",U56="",9&gt;$F56),0,IF(UPPER(TRIM(U56))=IFERROR(INDEX(Key!$C$2:$C$263,MATCH($D56*100+9,Key!$G$2:$G$263,0)),"#"),1,0))</f>
        <v/>
      </c>
      <c r="BA56">
        <f>IF(OR($D56="",V56="",10&gt;$F56),0,IF(UPPER(TRIM(V56))=IFERROR(INDEX(Key!$C$2:$C$263,MATCH($D56*100+10,Key!$G$2:$G$263,0)),"#"),1,0))</f>
        <v/>
      </c>
      <c r="BB56">
        <f>IF(OR($D56="",W56="",11&gt;$F56),0,IF(UPPER(TRIM(W56))=IFERROR(INDEX(Key!$C$2:$C$263,MATCH($D56*100+11,Key!$G$2:$G$263,0)),"#"),1,0))</f>
        <v/>
      </c>
      <c r="BC56">
        <f>IF(OR($D56="",X56="",12&gt;$F56),0,IF(UPPER(TRIM(X56))=IFERROR(INDEX(Key!$C$2:$C$263,MATCH($D56*100+12,Key!$G$2:$G$263,0)),"#"),1,0))</f>
        <v/>
      </c>
      <c r="BD56">
        <f>IF(OR($D56="",Y56="",13&gt;$F56),0,IF(UPPER(TRIM(Y56))=IFERROR(INDEX(Key!$C$2:$C$263,MATCH($D56*100+13,Key!$G$2:$G$263,0)),"#"),1,0))</f>
        <v/>
      </c>
      <c r="BE56">
        <f>IF(OR($D56="",Z56="",14&gt;$F56),0,IF(UPPER(TRIM(Z56))=IFERROR(INDEX(Key!$C$2:$C$263,MATCH($D56*100+14,Key!$G$2:$G$263,0)),"#"),1,0))</f>
        <v/>
      </c>
      <c r="BF56">
        <f>IF(OR($D56="",AA56="",15&gt;$F56),0,IF(UPPER(TRIM(AA56))=IFERROR(INDEX(Key!$C$2:$C$263,MATCH($D56*100+15,Key!$G$2:$G$263,0)),"#"),1,0))</f>
        <v/>
      </c>
      <c r="BG56">
        <f>IF(OR($D56="",AB56="",16&gt;$F56),0,IF(UPPER(TRIM(AB56))=IFERROR(INDEX(Key!$C$2:$C$263,MATCH($D56*100+16,Key!$G$2:$G$263,0)),"#"),1,0))</f>
        <v/>
      </c>
      <c r="BH56">
        <f>IF(OR($D56="",AC56="",17&gt;$F56),0,IF(UPPER(TRIM(AC56))=IFERROR(INDEX(Key!$C$2:$C$263,MATCH($D56*100+17,Key!$G$2:$G$263,0)),"#"),1,0))</f>
        <v/>
      </c>
      <c r="BI56">
        <f>IF(OR($D56="",AD56="",18&gt;$F56),0,IF(UPPER(TRIM(AD56))=IFERROR(INDEX(Key!$C$2:$C$263,MATCH($D56*100+18,Key!$G$2:$G$263,0)),"#"),1,0))</f>
        <v/>
      </c>
      <c r="BJ56">
        <f>IF(OR($D56="",AE56="",19&gt;$F56),0,IF(UPPER(TRIM(AE56))=IFERROR(INDEX(Key!$C$2:$C$263,MATCH($D56*100+19,Key!$G$2:$G$263,0)),"#"),1,0))</f>
        <v/>
      </c>
      <c r="BK56">
        <f>IF(OR($D56="",AF56="",20&gt;$F56),0,IF(UPPER(TRIM(AF56))=IFERROR(INDEX(Key!$C$2:$C$263,MATCH($D56*100+20,Key!$G$2:$G$263,0)),"#"),1,0))</f>
        <v/>
      </c>
      <c r="BL56">
        <f>IF(OR($D56="",AG56="",21&gt;$F56),0,IF(UPPER(TRIM(AG56))=IFERROR(INDEX(Key!$C$2:$C$263,MATCH($D56*100+21,Key!$G$2:$G$263,0)),"#"),1,0))</f>
        <v/>
      </c>
      <c r="BM56">
        <f>IF(OR($D56="",AH56="",22&gt;$F56),0,IF(UPPER(TRIM(AH56))=IFERROR(INDEX(Key!$C$2:$C$263,MATCH($D56*100+22,Key!$G$2:$G$263,0)),"#"),1,0))</f>
        <v/>
      </c>
      <c r="BN56">
        <f>IF(OR($D56="",AI56="",23&gt;$F56),0,IF(UPPER(TRIM(AI56))=IFERROR(INDEX(Key!$C$2:$C$263,MATCH($D56*100+23,Key!$G$2:$G$263,0)),"#"),1,0))</f>
        <v/>
      </c>
      <c r="BO56">
        <f>IF(OR($D56="",AJ56="",24&gt;$F56),0,IF(UPPER(TRIM(AJ56))=IFERROR(INDEX(Key!$C$2:$C$263,MATCH($D56*100+24,Key!$G$2:$G$263,0)),"#"),1,0))</f>
        <v/>
      </c>
      <c r="BP56">
        <f>IF(OR($D56="",AK56="",25&gt;$F56),0,IF(UPPER(TRIM(AK56))=IFERROR(INDEX(Key!$C$2:$C$263,MATCH($D56*100+25,Key!$G$2:$G$263,0)),"#"),1,0))</f>
        <v/>
      </c>
      <c r="BQ56">
        <f>IF(OR($D56="",AL56="",26&gt;$F56),0,IF(UPPER(TRIM(AL56))=IFERROR(INDEX(Key!$C$2:$C$263,MATCH($D56*100+26,Key!$G$2:$G$263,0)),"#"),1,0))</f>
        <v/>
      </c>
      <c r="BR56">
        <f>IF(OR($D56="",AM56="",27&gt;$F56),0,IF(UPPER(TRIM(AM56))=IFERROR(INDEX(Key!$C$2:$C$263,MATCH($D56*100+27,Key!$G$2:$G$263,0)),"#"),1,0))</f>
        <v/>
      </c>
      <c r="BS56">
        <f>IF(OR($D56="",AN56="",28&gt;$F56),0,IF(UPPER(TRIM(AN56))=IFERROR(INDEX(Key!$C$2:$C$263,MATCH($D56*100+28,Key!$G$2:$G$263,0)),"#"),1,0))</f>
        <v/>
      </c>
      <c r="BT56">
        <f>IF(OR($D56="",AO56="",29&gt;$F56),0,IF(UPPER(TRIM(AO56))=IFERROR(INDEX(Key!$C$2:$C$263,MATCH($D56*100+29,Key!$G$2:$G$263,0)),"#"),1,0))</f>
        <v/>
      </c>
      <c r="BU56">
        <f>IF(OR($D56="",AP56="",30&gt;$F56),0,IF(UPPER(TRIM(AP56))=IFERROR(INDEX(Key!$C$2:$C$263,MATCH($D56*100+30,Key!$G$2:$G$263,0)),"#"),1,0))</f>
        <v/>
      </c>
    </row>
    <row r="57">
      <c r="A57" s="6" t="n"/>
      <c r="B57" s="6" t="n"/>
      <c r="C57" s="6" t="n"/>
      <c r="D57" s="6" t="n"/>
      <c r="E57" s="7">
        <f>IF($D57="","",IFERROR(INDEX(Papers!$B$2:$B$12,MATCH($D57,Papers!$A$2:$A$12,0)),"?"))</f>
        <v/>
      </c>
      <c r="F57" s="7">
        <f>IF($D57="","",IFERROR(INDEX(Papers!$C$2:$C$12,MATCH($D57,Papers!$A$2:$A$12,0)),0))</f>
        <v/>
      </c>
      <c r="G57" s="7">
        <f>IF($D57="","",COUNTIF(M57:AP57,"?*"))</f>
        <v/>
      </c>
      <c r="H57" s="7">
        <f>IF($D57="","",SUM(AR57:BU57))</f>
        <v/>
      </c>
      <c r="I57" s="7">
        <f>IF($D57="","",G57-H57)</f>
        <v/>
      </c>
      <c r="J57" s="7">
        <f>IF($D57="","",F57-G57)</f>
        <v/>
      </c>
      <c r="K57" s="7">
        <f>IF($D57="","",H57)</f>
        <v/>
      </c>
      <c r="L57" s="7">
        <f>IF($D57="","",IF(F57=0,"",ROUND(H57/F57*100,1)))</f>
        <v/>
      </c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R57">
        <f>IF(OR($D57="",M57="",1&gt;$F57),0,IF(UPPER(TRIM(M57))=IFERROR(INDEX(Key!$C$2:$C$263,MATCH($D57*100+1,Key!$G$2:$G$263,0)),"#"),1,0))</f>
        <v/>
      </c>
      <c r="AS57">
        <f>IF(OR($D57="",N57="",2&gt;$F57),0,IF(UPPER(TRIM(N57))=IFERROR(INDEX(Key!$C$2:$C$263,MATCH($D57*100+2,Key!$G$2:$G$263,0)),"#"),1,0))</f>
        <v/>
      </c>
      <c r="AT57">
        <f>IF(OR($D57="",O57="",3&gt;$F57),0,IF(UPPER(TRIM(O57))=IFERROR(INDEX(Key!$C$2:$C$263,MATCH($D57*100+3,Key!$G$2:$G$263,0)),"#"),1,0))</f>
        <v/>
      </c>
      <c r="AU57">
        <f>IF(OR($D57="",P57="",4&gt;$F57),0,IF(UPPER(TRIM(P57))=IFERROR(INDEX(Key!$C$2:$C$263,MATCH($D57*100+4,Key!$G$2:$G$263,0)),"#"),1,0))</f>
        <v/>
      </c>
      <c r="AV57">
        <f>IF(OR($D57="",Q57="",5&gt;$F57),0,IF(UPPER(TRIM(Q57))=IFERROR(INDEX(Key!$C$2:$C$263,MATCH($D57*100+5,Key!$G$2:$G$263,0)),"#"),1,0))</f>
        <v/>
      </c>
      <c r="AW57">
        <f>IF(OR($D57="",R57="",6&gt;$F57),0,IF(UPPER(TRIM(R57))=IFERROR(INDEX(Key!$C$2:$C$263,MATCH($D57*100+6,Key!$G$2:$G$263,0)),"#"),1,0))</f>
        <v/>
      </c>
      <c r="AX57">
        <f>IF(OR($D57="",S57="",7&gt;$F57),0,IF(UPPER(TRIM(S57))=IFERROR(INDEX(Key!$C$2:$C$263,MATCH($D57*100+7,Key!$G$2:$G$263,0)),"#"),1,0))</f>
        <v/>
      </c>
      <c r="AY57">
        <f>IF(OR($D57="",T57="",8&gt;$F57),0,IF(UPPER(TRIM(T57))=IFERROR(INDEX(Key!$C$2:$C$263,MATCH($D57*100+8,Key!$G$2:$G$263,0)),"#"),1,0))</f>
        <v/>
      </c>
      <c r="AZ57">
        <f>IF(OR($D57="",U57="",9&gt;$F57),0,IF(UPPER(TRIM(U57))=IFERROR(INDEX(Key!$C$2:$C$263,MATCH($D57*100+9,Key!$G$2:$G$263,0)),"#"),1,0))</f>
        <v/>
      </c>
      <c r="BA57">
        <f>IF(OR($D57="",V57="",10&gt;$F57),0,IF(UPPER(TRIM(V57))=IFERROR(INDEX(Key!$C$2:$C$263,MATCH($D57*100+10,Key!$G$2:$G$263,0)),"#"),1,0))</f>
        <v/>
      </c>
      <c r="BB57">
        <f>IF(OR($D57="",W57="",11&gt;$F57),0,IF(UPPER(TRIM(W57))=IFERROR(INDEX(Key!$C$2:$C$263,MATCH($D57*100+11,Key!$G$2:$G$263,0)),"#"),1,0))</f>
        <v/>
      </c>
      <c r="BC57">
        <f>IF(OR($D57="",X57="",12&gt;$F57),0,IF(UPPER(TRIM(X57))=IFERROR(INDEX(Key!$C$2:$C$263,MATCH($D57*100+12,Key!$G$2:$G$263,0)),"#"),1,0))</f>
        <v/>
      </c>
      <c r="BD57">
        <f>IF(OR($D57="",Y57="",13&gt;$F57),0,IF(UPPER(TRIM(Y57))=IFERROR(INDEX(Key!$C$2:$C$263,MATCH($D57*100+13,Key!$G$2:$G$263,0)),"#"),1,0))</f>
        <v/>
      </c>
      <c r="BE57">
        <f>IF(OR($D57="",Z57="",14&gt;$F57),0,IF(UPPER(TRIM(Z57))=IFERROR(INDEX(Key!$C$2:$C$263,MATCH($D57*100+14,Key!$G$2:$G$263,0)),"#"),1,0))</f>
        <v/>
      </c>
      <c r="BF57">
        <f>IF(OR($D57="",AA57="",15&gt;$F57),0,IF(UPPER(TRIM(AA57))=IFERROR(INDEX(Key!$C$2:$C$263,MATCH($D57*100+15,Key!$G$2:$G$263,0)),"#"),1,0))</f>
        <v/>
      </c>
      <c r="BG57">
        <f>IF(OR($D57="",AB57="",16&gt;$F57),0,IF(UPPER(TRIM(AB57))=IFERROR(INDEX(Key!$C$2:$C$263,MATCH($D57*100+16,Key!$G$2:$G$263,0)),"#"),1,0))</f>
        <v/>
      </c>
      <c r="BH57">
        <f>IF(OR($D57="",AC57="",17&gt;$F57),0,IF(UPPER(TRIM(AC57))=IFERROR(INDEX(Key!$C$2:$C$263,MATCH($D57*100+17,Key!$G$2:$G$263,0)),"#"),1,0))</f>
        <v/>
      </c>
      <c r="BI57">
        <f>IF(OR($D57="",AD57="",18&gt;$F57),0,IF(UPPER(TRIM(AD57))=IFERROR(INDEX(Key!$C$2:$C$263,MATCH($D57*100+18,Key!$G$2:$G$263,0)),"#"),1,0))</f>
        <v/>
      </c>
      <c r="BJ57">
        <f>IF(OR($D57="",AE57="",19&gt;$F57),0,IF(UPPER(TRIM(AE57))=IFERROR(INDEX(Key!$C$2:$C$263,MATCH($D57*100+19,Key!$G$2:$G$263,0)),"#"),1,0))</f>
        <v/>
      </c>
      <c r="BK57">
        <f>IF(OR($D57="",AF57="",20&gt;$F57),0,IF(UPPER(TRIM(AF57))=IFERROR(INDEX(Key!$C$2:$C$263,MATCH($D57*100+20,Key!$G$2:$G$263,0)),"#"),1,0))</f>
        <v/>
      </c>
      <c r="BL57">
        <f>IF(OR($D57="",AG57="",21&gt;$F57),0,IF(UPPER(TRIM(AG57))=IFERROR(INDEX(Key!$C$2:$C$263,MATCH($D57*100+21,Key!$G$2:$G$263,0)),"#"),1,0))</f>
        <v/>
      </c>
      <c r="BM57">
        <f>IF(OR($D57="",AH57="",22&gt;$F57),0,IF(UPPER(TRIM(AH57))=IFERROR(INDEX(Key!$C$2:$C$263,MATCH($D57*100+22,Key!$G$2:$G$263,0)),"#"),1,0))</f>
        <v/>
      </c>
      <c r="BN57">
        <f>IF(OR($D57="",AI57="",23&gt;$F57),0,IF(UPPER(TRIM(AI57))=IFERROR(INDEX(Key!$C$2:$C$263,MATCH($D57*100+23,Key!$G$2:$G$263,0)),"#"),1,0))</f>
        <v/>
      </c>
      <c r="BO57">
        <f>IF(OR($D57="",AJ57="",24&gt;$F57),0,IF(UPPER(TRIM(AJ57))=IFERROR(INDEX(Key!$C$2:$C$263,MATCH($D57*100+24,Key!$G$2:$G$263,0)),"#"),1,0))</f>
        <v/>
      </c>
      <c r="BP57">
        <f>IF(OR($D57="",AK57="",25&gt;$F57),0,IF(UPPER(TRIM(AK57))=IFERROR(INDEX(Key!$C$2:$C$263,MATCH($D57*100+25,Key!$G$2:$G$263,0)),"#"),1,0))</f>
        <v/>
      </c>
      <c r="BQ57">
        <f>IF(OR($D57="",AL57="",26&gt;$F57),0,IF(UPPER(TRIM(AL57))=IFERROR(INDEX(Key!$C$2:$C$263,MATCH($D57*100+26,Key!$G$2:$G$263,0)),"#"),1,0))</f>
        <v/>
      </c>
      <c r="BR57">
        <f>IF(OR($D57="",AM57="",27&gt;$F57),0,IF(UPPER(TRIM(AM57))=IFERROR(INDEX(Key!$C$2:$C$263,MATCH($D57*100+27,Key!$G$2:$G$263,0)),"#"),1,0))</f>
        <v/>
      </c>
      <c r="BS57">
        <f>IF(OR($D57="",AN57="",28&gt;$F57),0,IF(UPPER(TRIM(AN57))=IFERROR(INDEX(Key!$C$2:$C$263,MATCH($D57*100+28,Key!$G$2:$G$263,0)),"#"),1,0))</f>
        <v/>
      </c>
      <c r="BT57">
        <f>IF(OR($D57="",AO57="",29&gt;$F57),0,IF(UPPER(TRIM(AO57))=IFERROR(INDEX(Key!$C$2:$C$263,MATCH($D57*100+29,Key!$G$2:$G$263,0)),"#"),1,0))</f>
        <v/>
      </c>
      <c r="BU57">
        <f>IF(OR($D57="",AP57="",30&gt;$F57),0,IF(UPPER(TRIM(AP57))=IFERROR(INDEX(Key!$C$2:$C$263,MATCH($D57*100+30,Key!$G$2:$G$263,0)),"#"),1,0))</f>
        <v/>
      </c>
    </row>
    <row r="58">
      <c r="A58" s="6" t="n"/>
      <c r="B58" s="6" t="n"/>
      <c r="C58" s="6" t="n"/>
      <c r="D58" s="6" t="n"/>
      <c r="E58" s="7">
        <f>IF($D58="","",IFERROR(INDEX(Papers!$B$2:$B$12,MATCH($D58,Papers!$A$2:$A$12,0)),"?"))</f>
        <v/>
      </c>
      <c r="F58" s="7">
        <f>IF($D58="","",IFERROR(INDEX(Papers!$C$2:$C$12,MATCH($D58,Papers!$A$2:$A$12,0)),0))</f>
        <v/>
      </c>
      <c r="G58" s="7">
        <f>IF($D58="","",COUNTIF(M58:AP58,"?*"))</f>
        <v/>
      </c>
      <c r="H58" s="7">
        <f>IF($D58="","",SUM(AR58:BU58))</f>
        <v/>
      </c>
      <c r="I58" s="7">
        <f>IF($D58="","",G58-H58)</f>
        <v/>
      </c>
      <c r="J58" s="7">
        <f>IF($D58="","",F58-G58)</f>
        <v/>
      </c>
      <c r="K58" s="7">
        <f>IF($D58="","",H58)</f>
        <v/>
      </c>
      <c r="L58" s="7">
        <f>IF($D58="","",IF(F58=0,"",ROUND(H58/F58*100,1)))</f>
        <v/>
      </c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R58">
        <f>IF(OR($D58="",M58="",1&gt;$F58),0,IF(UPPER(TRIM(M58))=IFERROR(INDEX(Key!$C$2:$C$263,MATCH($D58*100+1,Key!$G$2:$G$263,0)),"#"),1,0))</f>
        <v/>
      </c>
      <c r="AS58">
        <f>IF(OR($D58="",N58="",2&gt;$F58),0,IF(UPPER(TRIM(N58))=IFERROR(INDEX(Key!$C$2:$C$263,MATCH($D58*100+2,Key!$G$2:$G$263,0)),"#"),1,0))</f>
        <v/>
      </c>
      <c r="AT58">
        <f>IF(OR($D58="",O58="",3&gt;$F58),0,IF(UPPER(TRIM(O58))=IFERROR(INDEX(Key!$C$2:$C$263,MATCH($D58*100+3,Key!$G$2:$G$263,0)),"#"),1,0))</f>
        <v/>
      </c>
      <c r="AU58">
        <f>IF(OR($D58="",P58="",4&gt;$F58),0,IF(UPPER(TRIM(P58))=IFERROR(INDEX(Key!$C$2:$C$263,MATCH($D58*100+4,Key!$G$2:$G$263,0)),"#"),1,0))</f>
        <v/>
      </c>
      <c r="AV58">
        <f>IF(OR($D58="",Q58="",5&gt;$F58),0,IF(UPPER(TRIM(Q58))=IFERROR(INDEX(Key!$C$2:$C$263,MATCH($D58*100+5,Key!$G$2:$G$263,0)),"#"),1,0))</f>
        <v/>
      </c>
      <c r="AW58">
        <f>IF(OR($D58="",R58="",6&gt;$F58),0,IF(UPPER(TRIM(R58))=IFERROR(INDEX(Key!$C$2:$C$263,MATCH($D58*100+6,Key!$G$2:$G$263,0)),"#"),1,0))</f>
        <v/>
      </c>
      <c r="AX58">
        <f>IF(OR($D58="",S58="",7&gt;$F58),0,IF(UPPER(TRIM(S58))=IFERROR(INDEX(Key!$C$2:$C$263,MATCH($D58*100+7,Key!$G$2:$G$263,0)),"#"),1,0))</f>
        <v/>
      </c>
      <c r="AY58">
        <f>IF(OR($D58="",T58="",8&gt;$F58),0,IF(UPPER(TRIM(T58))=IFERROR(INDEX(Key!$C$2:$C$263,MATCH($D58*100+8,Key!$G$2:$G$263,0)),"#"),1,0))</f>
        <v/>
      </c>
      <c r="AZ58">
        <f>IF(OR($D58="",U58="",9&gt;$F58),0,IF(UPPER(TRIM(U58))=IFERROR(INDEX(Key!$C$2:$C$263,MATCH($D58*100+9,Key!$G$2:$G$263,0)),"#"),1,0))</f>
        <v/>
      </c>
      <c r="BA58">
        <f>IF(OR($D58="",V58="",10&gt;$F58),0,IF(UPPER(TRIM(V58))=IFERROR(INDEX(Key!$C$2:$C$263,MATCH($D58*100+10,Key!$G$2:$G$263,0)),"#"),1,0))</f>
        <v/>
      </c>
      <c r="BB58">
        <f>IF(OR($D58="",W58="",11&gt;$F58),0,IF(UPPER(TRIM(W58))=IFERROR(INDEX(Key!$C$2:$C$263,MATCH($D58*100+11,Key!$G$2:$G$263,0)),"#"),1,0))</f>
        <v/>
      </c>
      <c r="BC58">
        <f>IF(OR($D58="",X58="",12&gt;$F58),0,IF(UPPER(TRIM(X58))=IFERROR(INDEX(Key!$C$2:$C$263,MATCH($D58*100+12,Key!$G$2:$G$263,0)),"#"),1,0))</f>
        <v/>
      </c>
      <c r="BD58">
        <f>IF(OR($D58="",Y58="",13&gt;$F58),0,IF(UPPER(TRIM(Y58))=IFERROR(INDEX(Key!$C$2:$C$263,MATCH($D58*100+13,Key!$G$2:$G$263,0)),"#"),1,0))</f>
        <v/>
      </c>
      <c r="BE58">
        <f>IF(OR($D58="",Z58="",14&gt;$F58),0,IF(UPPER(TRIM(Z58))=IFERROR(INDEX(Key!$C$2:$C$263,MATCH($D58*100+14,Key!$G$2:$G$263,0)),"#"),1,0))</f>
        <v/>
      </c>
      <c r="BF58">
        <f>IF(OR($D58="",AA58="",15&gt;$F58),0,IF(UPPER(TRIM(AA58))=IFERROR(INDEX(Key!$C$2:$C$263,MATCH($D58*100+15,Key!$G$2:$G$263,0)),"#"),1,0))</f>
        <v/>
      </c>
      <c r="BG58">
        <f>IF(OR($D58="",AB58="",16&gt;$F58),0,IF(UPPER(TRIM(AB58))=IFERROR(INDEX(Key!$C$2:$C$263,MATCH($D58*100+16,Key!$G$2:$G$263,0)),"#"),1,0))</f>
        <v/>
      </c>
      <c r="BH58">
        <f>IF(OR($D58="",AC58="",17&gt;$F58),0,IF(UPPER(TRIM(AC58))=IFERROR(INDEX(Key!$C$2:$C$263,MATCH($D58*100+17,Key!$G$2:$G$263,0)),"#"),1,0))</f>
        <v/>
      </c>
      <c r="BI58">
        <f>IF(OR($D58="",AD58="",18&gt;$F58),0,IF(UPPER(TRIM(AD58))=IFERROR(INDEX(Key!$C$2:$C$263,MATCH($D58*100+18,Key!$G$2:$G$263,0)),"#"),1,0))</f>
        <v/>
      </c>
      <c r="BJ58">
        <f>IF(OR($D58="",AE58="",19&gt;$F58),0,IF(UPPER(TRIM(AE58))=IFERROR(INDEX(Key!$C$2:$C$263,MATCH($D58*100+19,Key!$G$2:$G$263,0)),"#"),1,0))</f>
        <v/>
      </c>
      <c r="BK58">
        <f>IF(OR($D58="",AF58="",20&gt;$F58),0,IF(UPPER(TRIM(AF58))=IFERROR(INDEX(Key!$C$2:$C$263,MATCH($D58*100+20,Key!$G$2:$G$263,0)),"#"),1,0))</f>
        <v/>
      </c>
      <c r="BL58">
        <f>IF(OR($D58="",AG58="",21&gt;$F58),0,IF(UPPER(TRIM(AG58))=IFERROR(INDEX(Key!$C$2:$C$263,MATCH($D58*100+21,Key!$G$2:$G$263,0)),"#"),1,0))</f>
        <v/>
      </c>
      <c r="BM58">
        <f>IF(OR($D58="",AH58="",22&gt;$F58),0,IF(UPPER(TRIM(AH58))=IFERROR(INDEX(Key!$C$2:$C$263,MATCH($D58*100+22,Key!$G$2:$G$263,0)),"#"),1,0))</f>
        <v/>
      </c>
      <c r="BN58">
        <f>IF(OR($D58="",AI58="",23&gt;$F58),0,IF(UPPER(TRIM(AI58))=IFERROR(INDEX(Key!$C$2:$C$263,MATCH($D58*100+23,Key!$G$2:$G$263,0)),"#"),1,0))</f>
        <v/>
      </c>
      <c r="BO58">
        <f>IF(OR($D58="",AJ58="",24&gt;$F58),0,IF(UPPER(TRIM(AJ58))=IFERROR(INDEX(Key!$C$2:$C$263,MATCH($D58*100+24,Key!$G$2:$G$263,0)),"#"),1,0))</f>
        <v/>
      </c>
      <c r="BP58">
        <f>IF(OR($D58="",AK58="",25&gt;$F58),0,IF(UPPER(TRIM(AK58))=IFERROR(INDEX(Key!$C$2:$C$263,MATCH($D58*100+25,Key!$G$2:$G$263,0)),"#"),1,0))</f>
        <v/>
      </c>
      <c r="BQ58">
        <f>IF(OR($D58="",AL58="",26&gt;$F58),0,IF(UPPER(TRIM(AL58))=IFERROR(INDEX(Key!$C$2:$C$263,MATCH($D58*100+26,Key!$G$2:$G$263,0)),"#"),1,0))</f>
        <v/>
      </c>
      <c r="BR58">
        <f>IF(OR($D58="",AM58="",27&gt;$F58),0,IF(UPPER(TRIM(AM58))=IFERROR(INDEX(Key!$C$2:$C$263,MATCH($D58*100+27,Key!$G$2:$G$263,0)),"#"),1,0))</f>
        <v/>
      </c>
      <c r="BS58">
        <f>IF(OR($D58="",AN58="",28&gt;$F58),0,IF(UPPER(TRIM(AN58))=IFERROR(INDEX(Key!$C$2:$C$263,MATCH($D58*100+28,Key!$G$2:$G$263,0)),"#"),1,0))</f>
        <v/>
      </c>
      <c r="BT58">
        <f>IF(OR($D58="",AO58="",29&gt;$F58),0,IF(UPPER(TRIM(AO58))=IFERROR(INDEX(Key!$C$2:$C$263,MATCH($D58*100+29,Key!$G$2:$G$263,0)),"#"),1,0))</f>
        <v/>
      </c>
      <c r="BU58">
        <f>IF(OR($D58="",AP58="",30&gt;$F58),0,IF(UPPER(TRIM(AP58))=IFERROR(INDEX(Key!$C$2:$C$263,MATCH($D58*100+30,Key!$G$2:$G$263,0)),"#"),1,0))</f>
        <v/>
      </c>
    </row>
    <row r="59">
      <c r="A59" s="6" t="n"/>
      <c r="B59" s="6" t="n"/>
      <c r="C59" s="6" t="n"/>
      <c r="D59" s="6" t="n"/>
      <c r="E59" s="7">
        <f>IF($D59="","",IFERROR(INDEX(Papers!$B$2:$B$12,MATCH($D59,Papers!$A$2:$A$12,0)),"?"))</f>
        <v/>
      </c>
      <c r="F59" s="7">
        <f>IF($D59="","",IFERROR(INDEX(Papers!$C$2:$C$12,MATCH($D59,Papers!$A$2:$A$12,0)),0))</f>
        <v/>
      </c>
      <c r="G59" s="7">
        <f>IF($D59="","",COUNTIF(M59:AP59,"?*"))</f>
        <v/>
      </c>
      <c r="H59" s="7">
        <f>IF($D59="","",SUM(AR59:BU59))</f>
        <v/>
      </c>
      <c r="I59" s="7">
        <f>IF($D59="","",G59-H59)</f>
        <v/>
      </c>
      <c r="J59" s="7">
        <f>IF($D59="","",F59-G59)</f>
        <v/>
      </c>
      <c r="K59" s="7">
        <f>IF($D59="","",H59)</f>
        <v/>
      </c>
      <c r="L59" s="7">
        <f>IF($D59="","",IF(F59=0,"",ROUND(H59/F59*100,1)))</f>
        <v/>
      </c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R59">
        <f>IF(OR($D59="",M59="",1&gt;$F59),0,IF(UPPER(TRIM(M59))=IFERROR(INDEX(Key!$C$2:$C$263,MATCH($D59*100+1,Key!$G$2:$G$263,0)),"#"),1,0))</f>
        <v/>
      </c>
      <c r="AS59">
        <f>IF(OR($D59="",N59="",2&gt;$F59),0,IF(UPPER(TRIM(N59))=IFERROR(INDEX(Key!$C$2:$C$263,MATCH($D59*100+2,Key!$G$2:$G$263,0)),"#"),1,0))</f>
        <v/>
      </c>
      <c r="AT59">
        <f>IF(OR($D59="",O59="",3&gt;$F59),0,IF(UPPER(TRIM(O59))=IFERROR(INDEX(Key!$C$2:$C$263,MATCH($D59*100+3,Key!$G$2:$G$263,0)),"#"),1,0))</f>
        <v/>
      </c>
      <c r="AU59">
        <f>IF(OR($D59="",P59="",4&gt;$F59),0,IF(UPPER(TRIM(P59))=IFERROR(INDEX(Key!$C$2:$C$263,MATCH($D59*100+4,Key!$G$2:$G$263,0)),"#"),1,0))</f>
        <v/>
      </c>
      <c r="AV59">
        <f>IF(OR($D59="",Q59="",5&gt;$F59),0,IF(UPPER(TRIM(Q59))=IFERROR(INDEX(Key!$C$2:$C$263,MATCH($D59*100+5,Key!$G$2:$G$263,0)),"#"),1,0))</f>
        <v/>
      </c>
      <c r="AW59">
        <f>IF(OR($D59="",R59="",6&gt;$F59),0,IF(UPPER(TRIM(R59))=IFERROR(INDEX(Key!$C$2:$C$263,MATCH($D59*100+6,Key!$G$2:$G$263,0)),"#"),1,0))</f>
        <v/>
      </c>
      <c r="AX59">
        <f>IF(OR($D59="",S59="",7&gt;$F59),0,IF(UPPER(TRIM(S59))=IFERROR(INDEX(Key!$C$2:$C$263,MATCH($D59*100+7,Key!$G$2:$G$263,0)),"#"),1,0))</f>
        <v/>
      </c>
      <c r="AY59">
        <f>IF(OR($D59="",T59="",8&gt;$F59),0,IF(UPPER(TRIM(T59))=IFERROR(INDEX(Key!$C$2:$C$263,MATCH($D59*100+8,Key!$G$2:$G$263,0)),"#"),1,0))</f>
        <v/>
      </c>
      <c r="AZ59">
        <f>IF(OR($D59="",U59="",9&gt;$F59),0,IF(UPPER(TRIM(U59))=IFERROR(INDEX(Key!$C$2:$C$263,MATCH($D59*100+9,Key!$G$2:$G$263,0)),"#"),1,0))</f>
        <v/>
      </c>
      <c r="BA59">
        <f>IF(OR($D59="",V59="",10&gt;$F59),0,IF(UPPER(TRIM(V59))=IFERROR(INDEX(Key!$C$2:$C$263,MATCH($D59*100+10,Key!$G$2:$G$263,0)),"#"),1,0))</f>
        <v/>
      </c>
      <c r="BB59">
        <f>IF(OR($D59="",W59="",11&gt;$F59),0,IF(UPPER(TRIM(W59))=IFERROR(INDEX(Key!$C$2:$C$263,MATCH($D59*100+11,Key!$G$2:$G$263,0)),"#"),1,0))</f>
        <v/>
      </c>
      <c r="BC59">
        <f>IF(OR($D59="",X59="",12&gt;$F59),0,IF(UPPER(TRIM(X59))=IFERROR(INDEX(Key!$C$2:$C$263,MATCH($D59*100+12,Key!$G$2:$G$263,0)),"#"),1,0))</f>
        <v/>
      </c>
      <c r="BD59">
        <f>IF(OR($D59="",Y59="",13&gt;$F59),0,IF(UPPER(TRIM(Y59))=IFERROR(INDEX(Key!$C$2:$C$263,MATCH($D59*100+13,Key!$G$2:$G$263,0)),"#"),1,0))</f>
        <v/>
      </c>
      <c r="BE59">
        <f>IF(OR($D59="",Z59="",14&gt;$F59),0,IF(UPPER(TRIM(Z59))=IFERROR(INDEX(Key!$C$2:$C$263,MATCH($D59*100+14,Key!$G$2:$G$263,0)),"#"),1,0))</f>
        <v/>
      </c>
      <c r="BF59">
        <f>IF(OR($D59="",AA59="",15&gt;$F59),0,IF(UPPER(TRIM(AA59))=IFERROR(INDEX(Key!$C$2:$C$263,MATCH($D59*100+15,Key!$G$2:$G$263,0)),"#"),1,0))</f>
        <v/>
      </c>
      <c r="BG59">
        <f>IF(OR($D59="",AB59="",16&gt;$F59),0,IF(UPPER(TRIM(AB59))=IFERROR(INDEX(Key!$C$2:$C$263,MATCH($D59*100+16,Key!$G$2:$G$263,0)),"#"),1,0))</f>
        <v/>
      </c>
      <c r="BH59">
        <f>IF(OR($D59="",AC59="",17&gt;$F59),0,IF(UPPER(TRIM(AC59))=IFERROR(INDEX(Key!$C$2:$C$263,MATCH($D59*100+17,Key!$G$2:$G$263,0)),"#"),1,0))</f>
        <v/>
      </c>
      <c r="BI59">
        <f>IF(OR($D59="",AD59="",18&gt;$F59),0,IF(UPPER(TRIM(AD59))=IFERROR(INDEX(Key!$C$2:$C$263,MATCH($D59*100+18,Key!$G$2:$G$263,0)),"#"),1,0))</f>
        <v/>
      </c>
      <c r="BJ59">
        <f>IF(OR($D59="",AE59="",19&gt;$F59),0,IF(UPPER(TRIM(AE59))=IFERROR(INDEX(Key!$C$2:$C$263,MATCH($D59*100+19,Key!$G$2:$G$263,0)),"#"),1,0))</f>
        <v/>
      </c>
      <c r="BK59">
        <f>IF(OR($D59="",AF59="",20&gt;$F59),0,IF(UPPER(TRIM(AF59))=IFERROR(INDEX(Key!$C$2:$C$263,MATCH($D59*100+20,Key!$G$2:$G$263,0)),"#"),1,0))</f>
        <v/>
      </c>
      <c r="BL59">
        <f>IF(OR($D59="",AG59="",21&gt;$F59),0,IF(UPPER(TRIM(AG59))=IFERROR(INDEX(Key!$C$2:$C$263,MATCH($D59*100+21,Key!$G$2:$G$263,0)),"#"),1,0))</f>
        <v/>
      </c>
      <c r="BM59">
        <f>IF(OR($D59="",AH59="",22&gt;$F59),0,IF(UPPER(TRIM(AH59))=IFERROR(INDEX(Key!$C$2:$C$263,MATCH($D59*100+22,Key!$G$2:$G$263,0)),"#"),1,0))</f>
        <v/>
      </c>
      <c r="BN59">
        <f>IF(OR($D59="",AI59="",23&gt;$F59),0,IF(UPPER(TRIM(AI59))=IFERROR(INDEX(Key!$C$2:$C$263,MATCH($D59*100+23,Key!$G$2:$G$263,0)),"#"),1,0))</f>
        <v/>
      </c>
      <c r="BO59">
        <f>IF(OR($D59="",AJ59="",24&gt;$F59),0,IF(UPPER(TRIM(AJ59))=IFERROR(INDEX(Key!$C$2:$C$263,MATCH($D59*100+24,Key!$G$2:$G$263,0)),"#"),1,0))</f>
        <v/>
      </c>
      <c r="BP59">
        <f>IF(OR($D59="",AK59="",25&gt;$F59),0,IF(UPPER(TRIM(AK59))=IFERROR(INDEX(Key!$C$2:$C$263,MATCH($D59*100+25,Key!$G$2:$G$263,0)),"#"),1,0))</f>
        <v/>
      </c>
      <c r="BQ59">
        <f>IF(OR($D59="",AL59="",26&gt;$F59),0,IF(UPPER(TRIM(AL59))=IFERROR(INDEX(Key!$C$2:$C$263,MATCH($D59*100+26,Key!$G$2:$G$263,0)),"#"),1,0))</f>
        <v/>
      </c>
      <c r="BR59">
        <f>IF(OR($D59="",AM59="",27&gt;$F59),0,IF(UPPER(TRIM(AM59))=IFERROR(INDEX(Key!$C$2:$C$263,MATCH($D59*100+27,Key!$G$2:$G$263,0)),"#"),1,0))</f>
        <v/>
      </c>
      <c r="BS59">
        <f>IF(OR($D59="",AN59="",28&gt;$F59),0,IF(UPPER(TRIM(AN59))=IFERROR(INDEX(Key!$C$2:$C$263,MATCH($D59*100+28,Key!$G$2:$G$263,0)),"#"),1,0))</f>
        <v/>
      </c>
      <c r="BT59">
        <f>IF(OR($D59="",AO59="",29&gt;$F59),0,IF(UPPER(TRIM(AO59))=IFERROR(INDEX(Key!$C$2:$C$263,MATCH($D59*100+29,Key!$G$2:$G$263,0)),"#"),1,0))</f>
        <v/>
      </c>
      <c r="BU59">
        <f>IF(OR($D59="",AP59="",30&gt;$F59),0,IF(UPPER(TRIM(AP59))=IFERROR(INDEX(Key!$C$2:$C$263,MATCH($D59*100+30,Key!$G$2:$G$263,0)),"#"),1,0))</f>
        <v/>
      </c>
    </row>
    <row r="60">
      <c r="A60" s="6" t="n"/>
      <c r="B60" s="6" t="n"/>
      <c r="C60" s="6" t="n"/>
      <c r="D60" s="6" t="n"/>
      <c r="E60" s="7">
        <f>IF($D60="","",IFERROR(INDEX(Papers!$B$2:$B$12,MATCH($D60,Papers!$A$2:$A$12,0)),"?"))</f>
        <v/>
      </c>
      <c r="F60" s="7">
        <f>IF($D60="","",IFERROR(INDEX(Papers!$C$2:$C$12,MATCH($D60,Papers!$A$2:$A$12,0)),0))</f>
        <v/>
      </c>
      <c r="G60" s="7">
        <f>IF($D60="","",COUNTIF(M60:AP60,"?*"))</f>
        <v/>
      </c>
      <c r="H60" s="7">
        <f>IF($D60="","",SUM(AR60:BU60))</f>
        <v/>
      </c>
      <c r="I60" s="7">
        <f>IF($D60="","",G60-H60)</f>
        <v/>
      </c>
      <c r="J60" s="7">
        <f>IF($D60="","",F60-G60)</f>
        <v/>
      </c>
      <c r="K60" s="7">
        <f>IF($D60="","",H60)</f>
        <v/>
      </c>
      <c r="L60" s="7">
        <f>IF($D60="","",IF(F60=0,"",ROUND(H60/F60*100,1)))</f>
        <v/>
      </c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R60">
        <f>IF(OR($D60="",M60="",1&gt;$F60),0,IF(UPPER(TRIM(M60))=IFERROR(INDEX(Key!$C$2:$C$263,MATCH($D60*100+1,Key!$G$2:$G$263,0)),"#"),1,0))</f>
        <v/>
      </c>
      <c r="AS60">
        <f>IF(OR($D60="",N60="",2&gt;$F60),0,IF(UPPER(TRIM(N60))=IFERROR(INDEX(Key!$C$2:$C$263,MATCH($D60*100+2,Key!$G$2:$G$263,0)),"#"),1,0))</f>
        <v/>
      </c>
      <c r="AT60">
        <f>IF(OR($D60="",O60="",3&gt;$F60),0,IF(UPPER(TRIM(O60))=IFERROR(INDEX(Key!$C$2:$C$263,MATCH($D60*100+3,Key!$G$2:$G$263,0)),"#"),1,0))</f>
        <v/>
      </c>
      <c r="AU60">
        <f>IF(OR($D60="",P60="",4&gt;$F60),0,IF(UPPER(TRIM(P60))=IFERROR(INDEX(Key!$C$2:$C$263,MATCH($D60*100+4,Key!$G$2:$G$263,0)),"#"),1,0))</f>
        <v/>
      </c>
      <c r="AV60">
        <f>IF(OR($D60="",Q60="",5&gt;$F60),0,IF(UPPER(TRIM(Q60))=IFERROR(INDEX(Key!$C$2:$C$263,MATCH($D60*100+5,Key!$G$2:$G$263,0)),"#"),1,0))</f>
        <v/>
      </c>
      <c r="AW60">
        <f>IF(OR($D60="",R60="",6&gt;$F60),0,IF(UPPER(TRIM(R60))=IFERROR(INDEX(Key!$C$2:$C$263,MATCH($D60*100+6,Key!$G$2:$G$263,0)),"#"),1,0))</f>
        <v/>
      </c>
      <c r="AX60">
        <f>IF(OR($D60="",S60="",7&gt;$F60),0,IF(UPPER(TRIM(S60))=IFERROR(INDEX(Key!$C$2:$C$263,MATCH($D60*100+7,Key!$G$2:$G$263,0)),"#"),1,0))</f>
        <v/>
      </c>
      <c r="AY60">
        <f>IF(OR($D60="",T60="",8&gt;$F60),0,IF(UPPER(TRIM(T60))=IFERROR(INDEX(Key!$C$2:$C$263,MATCH($D60*100+8,Key!$G$2:$G$263,0)),"#"),1,0))</f>
        <v/>
      </c>
      <c r="AZ60">
        <f>IF(OR($D60="",U60="",9&gt;$F60),0,IF(UPPER(TRIM(U60))=IFERROR(INDEX(Key!$C$2:$C$263,MATCH($D60*100+9,Key!$G$2:$G$263,0)),"#"),1,0))</f>
        <v/>
      </c>
      <c r="BA60">
        <f>IF(OR($D60="",V60="",10&gt;$F60),0,IF(UPPER(TRIM(V60))=IFERROR(INDEX(Key!$C$2:$C$263,MATCH($D60*100+10,Key!$G$2:$G$263,0)),"#"),1,0))</f>
        <v/>
      </c>
      <c r="BB60">
        <f>IF(OR($D60="",W60="",11&gt;$F60),0,IF(UPPER(TRIM(W60))=IFERROR(INDEX(Key!$C$2:$C$263,MATCH($D60*100+11,Key!$G$2:$G$263,0)),"#"),1,0))</f>
        <v/>
      </c>
      <c r="BC60">
        <f>IF(OR($D60="",X60="",12&gt;$F60),0,IF(UPPER(TRIM(X60))=IFERROR(INDEX(Key!$C$2:$C$263,MATCH($D60*100+12,Key!$G$2:$G$263,0)),"#"),1,0))</f>
        <v/>
      </c>
      <c r="BD60">
        <f>IF(OR($D60="",Y60="",13&gt;$F60),0,IF(UPPER(TRIM(Y60))=IFERROR(INDEX(Key!$C$2:$C$263,MATCH($D60*100+13,Key!$G$2:$G$263,0)),"#"),1,0))</f>
        <v/>
      </c>
      <c r="BE60">
        <f>IF(OR($D60="",Z60="",14&gt;$F60),0,IF(UPPER(TRIM(Z60))=IFERROR(INDEX(Key!$C$2:$C$263,MATCH($D60*100+14,Key!$G$2:$G$263,0)),"#"),1,0))</f>
        <v/>
      </c>
      <c r="BF60">
        <f>IF(OR($D60="",AA60="",15&gt;$F60),0,IF(UPPER(TRIM(AA60))=IFERROR(INDEX(Key!$C$2:$C$263,MATCH($D60*100+15,Key!$G$2:$G$263,0)),"#"),1,0))</f>
        <v/>
      </c>
      <c r="BG60">
        <f>IF(OR($D60="",AB60="",16&gt;$F60),0,IF(UPPER(TRIM(AB60))=IFERROR(INDEX(Key!$C$2:$C$263,MATCH($D60*100+16,Key!$G$2:$G$263,0)),"#"),1,0))</f>
        <v/>
      </c>
      <c r="BH60">
        <f>IF(OR($D60="",AC60="",17&gt;$F60),0,IF(UPPER(TRIM(AC60))=IFERROR(INDEX(Key!$C$2:$C$263,MATCH($D60*100+17,Key!$G$2:$G$263,0)),"#"),1,0))</f>
        <v/>
      </c>
      <c r="BI60">
        <f>IF(OR($D60="",AD60="",18&gt;$F60),0,IF(UPPER(TRIM(AD60))=IFERROR(INDEX(Key!$C$2:$C$263,MATCH($D60*100+18,Key!$G$2:$G$263,0)),"#"),1,0))</f>
        <v/>
      </c>
      <c r="BJ60">
        <f>IF(OR($D60="",AE60="",19&gt;$F60),0,IF(UPPER(TRIM(AE60))=IFERROR(INDEX(Key!$C$2:$C$263,MATCH($D60*100+19,Key!$G$2:$G$263,0)),"#"),1,0))</f>
        <v/>
      </c>
      <c r="BK60">
        <f>IF(OR($D60="",AF60="",20&gt;$F60),0,IF(UPPER(TRIM(AF60))=IFERROR(INDEX(Key!$C$2:$C$263,MATCH($D60*100+20,Key!$G$2:$G$263,0)),"#"),1,0))</f>
        <v/>
      </c>
      <c r="BL60">
        <f>IF(OR($D60="",AG60="",21&gt;$F60),0,IF(UPPER(TRIM(AG60))=IFERROR(INDEX(Key!$C$2:$C$263,MATCH($D60*100+21,Key!$G$2:$G$263,0)),"#"),1,0))</f>
        <v/>
      </c>
      <c r="BM60">
        <f>IF(OR($D60="",AH60="",22&gt;$F60),0,IF(UPPER(TRIM(AH60))=IFERROR(INDEX(Key!$C$2:$C$263,MATCH($D60*100+22,Key!$G$2:$G$263,0)),"#"),1,0))</f>
        <v/>
      </c>
      <c r="BN60">
        <f>IF(OR($D60="",AI60="",23&gt;$F60),0,IF(UPPER(TRIM(AI60))=IFERROR(INDEX(Key!$C$2:$C$263,MATCH($D60*100+23,Key!$G$2:$G$263,0)),"#"),1,0))</f>
        <v/>
      </c>
      <c r="BO60">
        <f>IF(OR($D60="",AJ60="",24&gt;$F60),0,IF(UPPER(TRIM(AJ60))=IFERROR(INDEX(Key!$C$2:$C$263,MATCH($D60*100+24,Key!$G$2:$G$263,0)),"#"),1,0))</f>
        <v/>
      </c>
      <c r="BP60">
        <f>IF(OR($D60="",AK60="",25&gt;$F60),0,IF(UPPER(TRIM(AK60))=IFERROR(INDEX(Key!$C$2:$C$263,MATCH($D60*100+25,Key!$G$2:$G$263,0)),"#"),1,0))</f>
        <v/>
      </c>
      <c r="BQ60">
        <f>IF(OR($D60="",AL60="",26&gt;$F60),0,IF(UPPER(TRIM(AL60))=IFERROR(INDEX(Key!$C$2:$C$263,MATCH($D60*100+26,Key!$G$2:$G$263,0)),"#"),1,0))</f>
        <v/>
      </c>
      <c r="BR60">
        <f>IF(OR($D60="",AM60="",27&gt;$F60),0,IF(UPPER(TRIM(AM60))=IFERROR(INDEX(Key!$C$2:$C$263,MATCH($D60*100+27,Key!$G$2:$G$263,0)),"#"),1,0))</f>
        <v/>
      </c>
      <c r="BS60">
        <f>IF(OR($D60="",AN60="",28&gt;$F60),0,IF(UPPER(TRIM(AN60))=IFERROR(INDEX(Key!$C$2:$C$263,MATCH($D60*100+28,Key!$G$2:$G$263,0)),"#"),1,0))</f>
        <v/>
      </c>
      <c r="BT60">
        <f>IF(OR($D60="",AO60="",29&gt;$F60),0,IF(UPPER(TRIM(AO60))=IFERROR(INDEX(Key!$C$2:$C$263,MATCH($D60*100+29,Key!$G$2:$G$263,0)),"#"),1,0))</f>
        <v/>
      </c>
      <c r="BU60">
        <f>IF(OR($D60="",AP60="",30&gt;$F60),0,IF(UPPER(TRIM(AP60))=IFERROR(INDEX(Key!$C$2:$C$263,MATCH($D60*100+30,Key!$G$2:$G$263,0)),"#"),1,0))</f>
        <v/>
      </c>
    </row>
    <row r="61">
      <c r="A61" s="6" t="n"/>
      <c r="B61" s="6" t="n"/>
      <c r="C61" s="6" t="n"/>
      <c r="D61" s="6" t="n"/>
      <c r="E61" s="7">
        <f>IF($D61="","",IFERROR(INDEX(Papers!$B$2:$B$12,MATCH($D61,Papers!$A$2:$A$12,0)),"?"))</f>
        <v/>
      </c>
      <c r="F61" s="7">
        <f>IF($D61="","",IFERROR(INDEX(Papers!$C$2:$C$12,MATCH($D61,Papers!$A$2:$A$12,0)),0))</f>
        <v/>
      </c>
      <c r="G61" s="7">
        <f>IF($D61="","",COUNTIF(M61:AP61,"?*"))</f>
        <v/>
      </c>
      <c r="H61" s="7">
        <f>IF($D61="","",SUM(AR61:BU61))</f>
        <v/>
      </c>
      <c r="I61" s="7">
        <f>IF($D61="","",G61-H61)</f>
        <v/>
      </c>
      <c r="J61" s="7">
        <f>IF($D61="","",F61-G61)</f>
        <v/>
      </c>
      <c r="K61" s="7">
        <f>IF($D61="","",H61)</f>
        <v/>
      </c>
      <c r="L61" s="7">
        <f>IF($D61="","",IF(F61=0,"",ROUND(H61/F61*100,1)))</f>
        <v/>
      </c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R61">
        <f>IF(OR($D61="",M61="",1&gt;$F61),0,IF(UPPER(TRIM(M61))=IFERROR(INDEX(Key!$C$2:$C$263,MATCH($D61*100+1,Key!$G$2:$G$263,0)),"#"),1,0))</f>
        <v/>
      </c>
      <c r="AS61">
        <f>IF(OR($D61="",N61="",2&gt;$F61),0,IF(UPPER(TRIM(N61))=IFERROR(INDEX(Key!$C$2:$C$263,MATCH($D61*100+2,Key!$G$2:$G$263,0)),"#"),1,0))</f>
        <v/>
      </c>
      <c r="AT61">
        <f>IF(OR($D61="",O61="",3&gt;$F61),0,IF(UPPER(TRIM(O61))=IFERROR(INDEX(Key!$C$2:$C$263,MATCH($D61*100+3,Key!$G$2:$G$263,0)),"#"),1,0))</f>
        <v/>
      </c>
      <c r="AU61">
        <f>IF(OR($D61="",P61="",4&gt;$F61),0,IF(UPPER(TRIM(P61))=IFERROR(INDEX(Key!$C$2:$C$263,MATCH($D61*100+4,Key!$G$2:$G$263,0)),"#"),1,0))</f>
        <v/>
      </c>
      <c r="AV61">
        <f>IF(OR($D61="",Q61="",5&gt;$F61),0,IF(UPPER(TRIM(Q61))=IFERROR(INDEX(Key!$C$2:$C$263,MATCH($D61*100+5,Key!$G$2:$G$263,0)),"#"),1,0))</f>
        <v/>
      </c>
      <c r="AW61">
        <f>IF(OR($D61="",R61="",6&gt;$F61),0,IF(UPPER(TRIM(R61))=IFERROR(INDEX(Key!$C$2:$C$263,MATCH($D61*100+6,Key!$G$2:$G$263,0)),"#"),1,0))</f>
        <v/>
      </c>
      <c r="AX61">
        <f>IF(OR($D61="",S61="",7&gt;$F61),0,IF(UPPER(TRIM(S61))=IFERROR(INDEX(Key!$C$2:$C$263,MATCH($D61*100+7,Key!$G$2:$G$263,0)),"#"),1,0))</f>
        <v/>
      </c>
      <c r="AY61">
        <f>IF(OR($D61="",T61="",8&gt;$F61),0,IF(UPPER(TRIM(T61))=IFERROR(INDEX(Key!$C$2:$C$263,MATCH($D61*100+8,Key!$G$2:$G$263,0)),"#"),1,0))</f>
        <v/>
      </c>
      <c r="AZ61">
        <f>IF(OR($D61="",U61="",9&gt;$F61),0,IF(UPPER(TRIM(U61))=IFERROR(INDEX(Key!$C$2:$C$263,MATCH($D61*100+9,Key!$G$2:$G$263,0)),"#"),1,0))</f>
        <v/>
      </c>
      <c r="BA61">
        <f>IF(OR($D61="",V61="",10&gt;$F61),0,IF(UPPER(TRIM(V61))=IFERROR(INDEX(Key!$C$2:$C$263,MATCH($D61*100+10,Key!$G$2:$G$263,0)),"#"),1,0))</f>
        <v/>
      </c>
      <c r="BB61">
        <f>IF(OR($D61="",W61="",11&gt;$F61),0,IF(UPPER(TRIM(W61))=IFERROR(INDEX(Key!$C$2:$C$263,MATCH($D61*100+11,Key!$G$2:$G$263,0)),"#"),1,0))</f>
        <v/>
      </c>
      <c r="BC61">
        <f>IF(OR($D61="",X61="",12&gt;$F61),0,IF(UPPER(TRIM(X61))=IFERROR(INDEX(Key!$C$2:$C$263,MATCH($D61*100+12,Key!$G$2:$G$263,0)),"#"),1,0))</f>
        <v/>
      </c>
      <c r="BD61">
        <f>IF(OR($D61="",Y61="",13&gt;$F61),0,IF(UPPER(TRIM(Y61))=IFERROR(INDEX(Key!$C$2:$C$263,MATCH($D61*100+13,Key!$G$2:$G$263,0)),"#"),1,0))</f>
        <v/>
      </c>
      <c r="BE61">
        <f>IF(OR($D61="",Z61="",14&gt;$F61),0,IF(UPPER(TRIM(Z61))=IFERROR(INDEX(Key!$C$2:$C$263,MATCH($D61*100+14,Key!$G$2:$G$263,0)),"#"),1,0))</f>
        <v/>
      </c>
      <c r="BF61">
        <f>IF(OR($D61="",AA61="",15&gt;$F61),0,IF(UPPER(TRIM(AA61))=IFERROR(INDEX(Key!$C$2:$C$263,MATCH($D61*100+15,Key!$G$2:$G$263,0)),"#"),1,0))</f>
        <v/>
      </c>
      <c r="BG61">
        <f>IF(OR($D61="",AB61="",16&gt;$F61),0,IF(UPPER(TRIM(AB61))=IFERROR(INDEX(Key!$C$2:$C$263,MATCH($D61*100+16,Key!$G$2:$G$263,0)),"#"),1,0))</f>
        <v/>
      </c>
      <c r="BH61">
        <f>IF(OR($D61="",AC61="",17&gt;$F61),0,IF(UPPER(TRIM(AC61))=IFERROR(INDEX(Key!$C$2:$C$263,MATCH($D61*100+17,Key!$G$2:$G$263,0)),"#"),1,0))</f>
        <v/>
      </c>
      <c r="BI61">
        <f>IF(OR($D61="",AD61="",18&gt;$F61),0,IF(UPPER(TRIM(AD61))=IFERROR(INDEX(Key!$C$2:$C$263,MATCH($D61*100+18,Key!$G$2:$G$263,0)),"#"),1,0))</f>
        <v/>
      </c>
      <c r="BJ61">
        <f>IF(OR($D61="",AE61="",19&gt;$F61),0,IF(UPPER(TRIM(AE61))=IFERROR(INDEX(Key!$C$2:$C$263,MATCH($D61*100+19,Key!$G$2:$G$263,0)),"#"),1,0))</f>
        <v/>
      </c>
      <c r="BK61">
        <f>IF(OR($D61="",AF61="",20&gt;$F61),0,IF(UPPER(TRIM(AF61))=IFERROR(INDEX(Key!$C$2:$C$263,MATCH($D61*100+20,Key!$G$2:$G$263,0)),"#"),1,0))</f>
        <v/>
      </c>
      <c r="BL61">
        <f>IF(OR($D61="",AG61="",21&gt;$F61),0,IF(UPPER(TRIM(AG61))=IFERROR(INDEX(Key!$C$2:$C$263,MATCH($D61*100+21,Key!$G$2:$G$263,0)),"#"),1,0))</f>
        <v/>
      </c>
      <c r="BM61">
        <f>IF(OR($D61="",AH61="",22&gt;$F61),0,IF(UPPER(TRIM(AH61))=IFERROR(INDEX(Key!$C$2:$C$263,MATCH($D61*100+22,Key!$G$2:$G$263,0)),"#"),1,0))</f>
        <v/>
      </c>
      <c r="BN61">
        <f>IF(OR($D61="",AI61="",23&gt;$F61),0,IF(UPPER(TRIM(AI61))=IFERROR(INDEX(Key!$C$2:$C$263,MATCH($D61*100+23,Key!$G$2:$G$263,0)),"#"),1,0))</f>
        <v/>
      </c>
      <c r="BO61">
        <f>IF(OR($D61="",AJ61="",24&gt;$F61),0,IF(UPPER(TRIM(AJ61))=IFERROR(INDEX(Key!$C$2:$C$263,MATCH($D61*100+24,Key!$G$2:$G$263,0)),"#"),1,0))</f>
        <v/>
      </c>
      <c r="BP61">
        <f>IF(OR($D61="",AK61="",25&gt;$F61),0,IF(UPPER(TRIM(AK61))=IFERROR(INDEX(Key!$C$2:$C$263,MATCH($D61*100+25,Key!$G$2:$G$263,0)),"#"),1,0))</f>
        <v/>
      </c>
      <c r="BQ61">
        <f>IF(OR($D61="",AL61="",26&gt;$F61),0,IF(UPPER(TRIM(AL61))=IFERROR(INDEX(Key!$C$2:$C$263,MATCH($D61*100+26,Key!$G$2:$G$263,0)),"#"),1,0))</f>
        <v/>
      </c>
      <c r="BR61">
        <f>IF(OR($D61="",AM61="",27&gt;$F61),0,IF(UPPER(TRIM(AM61))=IFERROR(INDEX(Key!$C$2:$C$263,MATCH($D61*100+27,Key!$G$2:$G$263,0)),"#"),1,0))</f>
        <v/>
      </c>
      <c r="BS61">
        <f>IF(OR($D61="",AN61="",28&gt;$F61),0,IF(UPPER(TRIM(AN61))=IFERROR(INDEX(Key!$C$2:$C$263,MATCH($D61*100+28,Key!$G$2:$G$263,0)),"#"),1,0))</f>
        <v/>
      </c>
      <c r="BT61">
        <f>IF(OR($D61="",AO61="",29&gt;$F61),0,IF(UPPER(TRIM(AO61))=IFERROR(INDEX(Key!$C$2:$C$263,MATCH($D61*100+29,Key!$G$2:$G$263,0)),"#"),1,0))</f>
        <v/>
      </c>
      <c r="BU61">
        <f>IF(OR($D61="",AP61="",30&gt;$F61),0,IF(UPPER(TRIM(AP61))=IFERROR(INDEX(Key!$C$2:$C$263,MATCH($D61*100+30,Key!$G$2:$G$263,0)),"#"),1,0))</f>
        <v/>
      </c>
    </row>
    <row r="62">
      <c r="A62" s="6" t="n"/>
      <c r="B62" s="6" t="n"/>
      <c r="C62" s="6" t="n"/>
      <c r="D62" s="6" t="n"/>
      <c r="E62" s="7">
        <f>IF($D62="","",IFERROR(INDEX(Papers!$B$2:$B$12,MATCH($D62,Papers!$A$2:$A$12,0)),"?"))</f>
        <v/>
      </c>
      <c r="F62" s="7">
        <f>IF($D62="","",IFERROR(INDEX(Papers!$C$2:$C$12,MATCH($D62,Papers!$A$2:$A$12,0)),0))</f>
        <v/>
      </c>
      <c r="G62" s="7">
        <f>IF($D62="","",COUNTIF(M62:AP62,"?*"))</f>
        <v/>
      </c>
      <c r="H62" s="7">
        <f>IF($D62="","",SUM(AR62:BU62))</f>
        <v/>
      </c>
      <c r="I62" s="7">
        <f>IF($D62="","",G62-H62)</f>
        <v/>
      </c>
      <c r="J62" s="7">
        <f>IF($D62="","",F62-G62)</f>
        <v/>
      </c>
      <c r="K62" s="7">
        <f>IF($D62="","",H62)</f>
        <v/>
      </c>
      <c r="L62" s="7">
        <f>IF($D62="","",IF(F62=0,"",ROUND(H62/F62*100,1)))</f>
        <v/>
      </c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R62">
        <f>IF(OR($D62="",M62="",1&gt;$F62),0,IF(UPPER(TRIM(M62))=IFERROR(INDEX(Key!$C$2:$C$263,MATCH($D62*100+1,Key!$G$2:$G$263,0)),"#"),1,0))</f>
        <v/>
      </c>
      <c r="AS62">
        <f>IF(OR($D62="",N62="",2&gt;$F62),0,IF(UPPER(TRIM(N62))=IFERROR(INDEX(Key!$C$2:$C$263,MATCH($D62*100+2,Key!$G$2:$G$263,0)),"#"),1,0))</f>
        <v/>
      </c>
      <c r="AT62">
        <f>IF(OR($D62="",O62="",3&gt;$F62),0,IF(UPPER(TRIM(O62))=IFERROR(INDEX(Key!$C$2:$C$263,MATCH($D62*100+3,Key!$G$2:$G$263,0)),"#"),1,0))</f>
        <v/>
      </c>
      <c r="AU62">
        <f>IF(OR($D62="",P62="",4&gt;$F62),0,IF(UPPER(TRIM(P62))=IFERROR(INDEX(Key!$C$2:$C$263,MATCH($D62*100+4,Key!$G$2:$G$263,0)),"#"),1,0))</f>
        <v/>
      </c>
      <c r="AV62">
        <f>IF(OR($D62="",Q62="",5&gt;$F62),0,IF(UPPER(TRIM(Q62))=IFERROR(INDEX(Key!$C$2:$C$263,MATCH($D62*100+5,Key!$G$2:$G$263,0)),"#"),1,0))</f>
        <v/>
      </c>
      <c r="AW62">
        <f>IF(OR($D62="",R62="",6&gt;$F62),0,IF(UPPER(TRIM(R62))=IFERROR(INDEX(Key!$C$2:$C$263,MATCH($D62*100+6,Key!$G$2:$G$263,0)),"#"),1,0))</f>
        <v/>
      </c>
      <c r="AX62">
        <f>IF(OR($D62="",S62="",7&gt;$F62),0,IF(UPPER(TRIM(S62))=IFERROR(INDEX(Key!$C$2:$C$263,MATCH($D62*100+7,Key!$G$2:$G$263,0)),"#"),1,0))</f>
        <v/>
      </c>
      <c r="AY62">
        <f>IF(OR($D62="",T62="",8&gt;$F62),0,IF(UPPER(TRIM(T62))=IFERROR(INDEX(Key!$C$2:$C$263,MATCH($D62*100+8,Key!$G$2:$G$263,0)),"#"),1,0))</f>
        <v/>
      </c>
      <c r="AZ62">
        <f>IF(OR($D62="",U62="",9&gt;$F62),0,IF(UPPER(TRIM(U62))=IFERROR(INDEX(Key!$C$2:$C$263,MATCH($D62*100+9,Key!$G$2:$G$263,0)),"#"),1,0))</f>
        <v/>
      </c>
      <c r="BA62">
        <f>IF(OR($D62="",V62="",10&gt;$F62),0,IF(UPPER(TRIM(V62))=IFERROR(INDEX(Key!$C$2:$C$263,MATCH($D62*100+10,Key!$G$2:$G$263,0)),"#"),1,0))</f>
        <v/>
      </c>
      <c r="BB62">
        <f>IF(OR($D62="",W62="",11&gt;$F62),0,IF(UPPER(TRIM(W62))=IFERROR(INDEX(Key!$C$2:$C$263,MATCH($D62*100+11,Key!$G$2:$G$263,0)),"#"),1,0))</f>
        <v/>
      </c>
      <c r="BC62">
        <f>IF(OR($D62="",X62="",12&gt;$F62),0,IF(UPPER(TRIM(X62))=IFERROR(INDEX(Key!$C$2:$C$263,MATCH($D62*100+12,Key!$G$2:$G$263,0)),"#"),1,0))</f>
        <v/>
      </c>
      <c r="BD62">
        <f>IF(OR($D62="",Y62="",13&gt;$F62),0,IF(UPPER(TRIM(Y62))=IFERROR(INDEX(Key!$C$2:$C$263,MATCH($D62*100+13,Key!$G$2:$G$263,0)),"#"),1,0))</f>
        <v/>
      </c>
      <c r="BE62">
        <f>IF(OR($D62="",Z62="",14&gt;$F62),0,IF(UPPER(TRIM(Z62))=IFERROR(INDEX(Key!$C$2:$C$263,MATCH($D62*100+14,Key!$G$2:$G$263,0)),"#"),1,0))</f>
        <v/>
      </c>
      <c r="BF62">
        <f>IF(OR($D62="",AA62="",15&gt;$F62),0,IF(UPPER(TRIM(AA62))=IFERROR(INDEX(Key!$C$2:$C$263,MATCH($D62*100+15,Key!$G$2:$G$263,0)),"#"),1,0))</f>
        <v/>
      </c>
      <c r="BG62">
        <f>IF(OR($D62="",AB62="",16&gt;$F62),0,IF(UPPER(TRIM(AB62))=IFERROR(INDEX(Key!$C$2:$C$263,MATCH($D62*100+16,Key!$G$2:$G$263,0)),"#"),1,0))</f>
        <v/>
      </c>
      <c r="BH62">
        <f>IF(OR($D62="",AC62="",17&gt;$F62),0,IF(UPPER(TRIM(AC62))=IFERROR(INDEX(Key!$C$2:$C$263,MATCH($D62*100+17,Key!$G$2:$G$263,0)),"#"),1,0))</f>
        <v/>
      </c>
      <c r="BI62">
        <f>IF(OR($D62="",AD62="",18&gt;$F62),0,IF(UPPER(TRIM(AD62))=IFERROR(INDEX(Key!$C$2:$C$263,MATCH($D62*100+18,Key!$G$2:$G$263,0)),"#"),1,0))</f>
        <v/>
      </c>
      <c r="BJ62">
        <f>IF(OR($D62="",AE62="",19&gt;$F62),0,IF(UPPER(TRIM(AE62))=IFERROR(INDEX(Key!$C$2:$C$263,MATCH($D62*100+19,Key!$G$2:$G$263,0)),"#"),1,0))</f>
        <v/>
      </c>
      <c r="BK62">
        <f>IF(OR($D62="",AF62="",20&gt;$F62),0,IF(UPPER(TRIM(AF62))=IFERROR(INDEX(Key!$C$2:$C$263,MATCH($D62*100+20,Key!$G$2:$G$263,0)),"#"),1,0))</f>
        <v/>
      </c>
      <c r="BL62">
        <f>IF(OR($D62="",AG62="",21&gt;$F62),0,IF(UPPER(TRIM(AG62))=IFERROR(INDEX(Key!$C$2:$C$263,MATCH($D62*100+21,Key!$G$2:$G$263,0)),"#"),1,0))</f>
        <v/>
      </c>
      <c r="BM62">
        <f>IF(OR($D62="",AH62="",22&gt;$F62),0,IF(UPPER(TRIM(AH62))=IFERROR(INDEX(Key!$C$2:$C$263,MATCH($D62*100+22,Key!$G$2:$G$263,0)),"#"),1,0))</f>
        <v/>
      </c>
      <c r="BN62">
        <f>IF(OR($D62="",AI62="",23&gt;$F62),0,IF(UPPER(TRIM(AI62))=IFERROR(INDEX(Key!$C$2:$C$263,MATCH($D62*100+23,Key!$G$2:$G$263,0)),"#"),1,0))</f>
        <v/>
      </c>
      <c r="BO62">
        <f>IF(OR($D62="",AJ62="",24&gt;$F62),0,IF(UPPER(TRIM(AJ62))=IFERROR(INDEX(Key!$C$2:$C$263,MATCH($D62*100+24,Key!$G$2:$G$263,0)),"#"),1,0))</f>
        <v/>
      </c>
      <c r="BP62">
        <f>IF(OR($D62="",AK62="",25&gt;$F62),0,IF(UPPER(TRIM(AK62))=IFERROR(INDEX(Key!$C$2:$C$263,MATCH($D62*100+25,Key!$G$2:$G$263,0)),"#"),1,0))</f>
        <v/>
      </c>
      <c r="BQ62">
        <f>IF(OR($D62="",AL62="",26&gt;$F62),0,IF(UPPER(TRIM(AL62))=IFERROR(INDEX(Key!$C$2:$C$263,MATCH($D62*100+26,Key!$G$2:$G$263,0)),"#"),1,0))</f>
        <v/>
      </c>
      <c r="BR62">
        <f>IF(OR($D62="",AM62="",27&gt;$F62),0,IF(UPPER(TRIM(AM62))=IFERROR(INDEX(Key!$C$2:$C$263,MATCH($D62*100+27,Key!$G$2:$G$263,0)),"#"),1,0))</f>
        <v/>
      </c>
      <c r="BS62">
        <f>IF(OR($D62="",AN62="",28&gt;$F62),0,IF(UPPER(TRIM(AN62))=IFERROR(INDEX(Key!$C$2:$C$263,MATCH($D62*100+28,Key!$G$2:$G$263,0)),"#"),1,0))</f>
        <v/>
      </c>
      <c r="BT62">
        <f>IF(OR($D62="",AO62="",29&gt;$F62),0,IF(UPPER(TRIM(AO62))=IFERROR(INDEX(Key!$C$2:$C$263,MATCH($D62*100+29,Key!$G$2:$G$263,0)),"#"),1,0))</f>
        <v/>
      </c>
      <c r="BU62">
        <f>IF(OR($D62="",AP62="",30&gt;$F62),0,IF(UPPER(TRIM(AP62))=IFERROR(INDEX(Key!$C$2:$C$263,MATCH($D62*100+30,Key!$G$2:$G$263,0)),"#"),1,0))</f>
        <v/>
      </c>
    </row>
    <row r="63">
      <c r="A63" s="6" t="n"/>
      <c r="B63" s="6" t="n"/>
      <c r="C63" s="6" t="n"/>
      <c r="D63" s="6" t="n"/>
      <c r="E63" s="7">
        <f>IF($D63="","",IFERROR(INDEX(Papers!$B$2:$B$12,MATCH($D63,Papers!$A$2:$A$12,0)),"?"))</f>
        <v/>
      </c>
      <c r="F63" s="7">
        <f>IF($D63="","",IFERROR(INDEX(Papers!$C$2:$C$12,MATCH($D63,Papers!$A$2:$A$12,0)),0))</f>
        <v/>
      </c>
      <c r="G63" s="7">
        <f>IF($D63="","",COUNTIF(M63:AP63,"?*"))</f>
        <v/>
      </c>
      <c r="H63" s="7">
        <f>IF($D63="","",SUM(AR63:BU63))</f>
        <v/>
      </c>
      <c r="I63" s="7">
        <f>IF($D63="","",G63-H63)</f>
        <v/>
      </c>
      <c r="J63" s="7">
        <f>IF($D63="","",F63-G63)</f>
        <v/>
      </c>
      <c r="K63" s="7">
        <f>IF($D63="","",H63)</f>
        <v/>
      </c>
      <c r="L63" s="7">
        <f>IF($D63="","",IF(F63=0,"",ROUND(H63/F63*100,1)))</f>
        <v/>
      </c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R63">
        <f>IF(OR($D63="",M63="",1&gt;$F63),0,IF(UPPER(TRIM(M63))=IFERROR(INDEX(Key!$C$2:$C$263,MATCH($D63*100+1,Key!$G$2:$G$263,0)),"#"),1,0))</f>
        <v/>
      </c>
      <c r="AS63">
        <f>IF(OR($D63="",N63="",2&gt;$F63),0,IF(UPPER(TRIM(N63))=IFERROR(INDEX(Key!$C$2:$C$263,MATCH($D63*100+2,Key!$G$2:$G$263,0)),"#"),1,0))</f>
        <v/>
      </c>
      <c r="AT63">
        <f>IF(OR($D63="",O63="",3&gt;$F63),0,IF(UPPER(TRIM(O63))=IFERROR(INDEX(Key!$C$2:$C$263,MATCH($D63*100+3,Key!$G$2:$G$263,0)),"#"),1,0))</f>
        <v/>
      </c>
      <c r="AU63">
        <f>IF(OR($D63="",P63="",4&gt;$F63),0,IF(UPPER(TRIM(P63))=IFERROR(INDEX(Key!$C$2:$C$263,MATCH($D63*100+4,Key!$G$2:$G$263,0)),"#"),1,0))</f>
        <v/>
      </c>
      <c r="AV63">
        <f>IF(OR($D63="",Q63="",5&gt;$F63),0,IF(UPPER(TRIM(Q63))=IFERROR(INDEX(Key!$C$2:$C$263,MATCH($D63*100+5,Key!$G$2:$G$263,0)),"#"),1,0))</f>
        <v/>
      </c>
      <c r="AW63">
        <f>IF(OR($D63="",R63="",6&gt;$F63),0,IF(UPPER(TRIM(R63))=IFERROR(INDEX(Key!$C$2:$C$263,MATCH($D63*100+6,Key!$G$2:$G$263,0)),"#"),1,0))</f>
        <v/>
      </c>
      <c r="AX63">
        <f>IF(OR($D63="",S63="",7&gt;$F63),0,IF(UPPER(TRIM(S63))=IFERROR(INDEX(Key!$C$2:$C$263,MATCH($D63*100+7,Key!$G$2:$G$263,0)),"#"),1,0))</f>
        <v/>
      </c>
      <c r="AY63">
        <f>IF(OR($D63="",T63="",8&gt;$F63),0,IF(UPPER(TRIM(T63))=IFERROR(INDEX(Key!$C$2:$C$263,MATCH($D63*100+8,Key!$G$2:$G$263,0)),"#"),1,0))</f>
        <v/>
      </c>
      <c r="AZ63">
        <f>IF(OR($D63="",U63="",9&gt;$F63),0,IF(UPPER(TRIM(U63))=IFERROR(INDEX(Key!$C$2:$C$263,MATCH($D63*100+9,Key!$G$2:$G$263,0)),"#"),1,0))</f>
        <v/>
      </c>
      <c r="BA63">
        <f>IF(OR($D63="",V63="",10&gt;$F63),0,IF(UPPER(TRIM(V63))=IFERROR(INDEX(Key!$C$2:$C$263,MATCH($D63*100+10,Key!$G$2:$G$263,0)),"#"),1,0))</f>
        <v/>
      </c>
      <c r="BB63">
        <f>IF(OR($D63="",W63="",11&gt;$F63),0,IF(UPPER(TRIM(W63))=IFERROR(INDEX(Key!$C$2:$C$263,MATCH($D63*100+11,Key!$G$2:$G$263,0)),"#"),1,0))</f>
        <v/>
      </c>
      <c r="BC63">
        <f>IF(OR($D63="",X63="",12&gt;$F63),0,IF(UPPER(TRIM(X63))=IFERROR(INDEX(Key!$C$2:$C$263,MATCH($D63*100+12,Key!$G$2:$G$263,0)),"#"),1,0))</f>
        <v/>
      </c>
      <c r="BD63">
        <f>IF(OR($D63="",Y63="",13&gt;$F63),0,IF(UPPER(TRIM(Y63))=IFERROR(INDEX(Key!$C$2:$C$263,MATCH($D63*100+13,Key!$G$2:$G$263,0)),"#"),1,0))</f>
        <v/>
      </c>
      <c r="BE63">
        <f>IF(OR($D63="",Z63="",14&gt;$F63),0,IF(UPPER(TRIM(Z63))=IFERROR(INDEX(Key!$C$2:$C$263,MATCH($D63*100+14,Key!$G$2:$G$263,0)),"#"),1,0))</f>
        <v/>
      </c>
      <c r="BF63">
        <f>IF(OR($D63="",AA63="",15&gt;$F63),0,IF(UPPER(TRIM(AA63))=IFERROR(INDEX(Key!$C$2:$C$263,MATCH($D63*100+15,Key!$G$2:$G$263,0)),"#"),1,0))</f>
        <v/>
      </c>
      <c r="BG63">
        <f>IF(OR($D63="",AB63="",16&gt;$F63),0,IF(UPPER(TRIM(AB63))=IFERROR(INDEX(Key!$C$2:$C$263,MATCH($D63*100+16,Key!$G$2:$G$263,0)),"#"),1,0))</f>
        <v/>
      </c>
      <c r="BH63">
        <f>IF(OR($D63="",AC63="",17&gt;$F63),0,IF(UPPER(TRIM(AC63))=IFERROR(INDEX(Key!$C$2:$C$263,MATCH($D63*100+17,Key!$G$2:$G$263,0)),"#"),1,0))</f>
        <v/>
      </c>
      <c r="BI63">
        <f>IF(OR($D63="",AD63="",18&gt;$F63),0,IF(UPPER(TRIM(AD63))=IFERROR(INDEX(Key!$C$2:$C$263,MATCH($D63*100+18,Key!$G$2:$G$263,0)),"#"),1,0))</f>
        <v/>
      </c>
      <c r="BJ63">
        <f>IF(OR($D63="",AE63="",19&gt;$F63),0,IF(UPPER(TRIM(AE63))=IFERROR(INDEX(Key!$C$2:$C$263,MATCH($D63*100+19,Key!$G$2:$G$263,0)),"#"),1,0))</f>
        <v/>
      </c>
      <c r="BK63">
        <f>IF(OR($D63="",AF63="",20&gt;$F63),0,IF(UPPER(TRIM(AF63))=IFERROR(INDEX(Key!$C$2:$C$263,MATCH($D63*100+20,Key!$G$2:$G$263,0)),"#"),1,0))</f>
        <v/>
      </c>
      <c r="BL63">
        <f>IF(OR($D63="",AG63="",21&gt;$F63),0,IF(UPPER(TRIM(AG63))=IFERROR(INDEX(Key!$C$2:$C$263,MATCH($D63*100+21,Key!$G$2:$G$263,0)),"#"),1,0))</f>
        <v/>
      </c>
      <c r="BM63">
        <f>IF(OR($D63="",AH63="",22&gt;$F63),0,IF(UPPER(TRIM(AH63))=IFERROR(INDEX(Key!$C$2:$C$263,MATCH($D63*100+22,Key!$G$2:$G$263,0)),"#"),1,0))</f>
        <v/>
      </c>
      <c r="BN63">
        <f>IF(OR($D63="",AI63="",23&gt;$F63),0,IF(UPPER(TRIM(AI63))=IFERROR(INDEX(Key!$C$2:$C$263,MATCH($D63*100+23,Key!$G$2:$G$263,0)),"#"),1,0))</f>
        <v/>
      </c>
      <c r="BO63">
        <f>IF(OR($D63="",AJ63="",24&gt;$F63),0,IF(UPPER(TRIM(AJ63))=IFERROR(INDEX(Key!$C$2:$C$263,MATCH($D63*100+24,Key!$G$2:$G$263,0)),"#"),1,0))</f>
        <v/>
      </c>
      <c r="BP63">
        <f>IF(OR($D63="",AK63="",25&gt;$F63),0,IF(UPPER(TRIM(AK63))=IFERROR(INDEX(Key!$C$2:$C$263,MATCH($D63*100+25,Key!$G$2:$G$263,0)),"#"),1,0))</f>
        <v/>
      </c>
      <c r="BQ63">
        <f>IF(OR($D63="",AL63="",26&gt;$F63),0,IF(UPPER(TRIM(AL63))=IFERROR(INDEX(Key!$C$2:$C$263,MATCH($D63*100+26,Key!$G$2:$G$263,0)),"#"),1,0))</f>
        <v/>
      </c>
      <c r="BR63">
        <f>IF(OR($D63="",AM63="",27&gt;$F63),0,IF(UPPER(TRIM(AM63))=IFERROR(INDEX(Key!$C$2:$C$263,MATCH($D63*100+27,Key!$G$2:$G$263,0)),"#"),1,0))</f>
        <v/>
      </c>
      <c r="BS63">
        <f>IF(OR($D63="",AN63="",28&gt;$F63),0,IF(UPPER(TRIM(AN63))=IFERROR(INDEX(Key!$C$2:$C$263,MATCH($D63*100+28,Key!$G$2:$G$263,0)),"#"),1,0))</f>
        <v/>
      </c>
      <c r="BT63">
        <f>IF(OR($D63="",AO63="",29&gt;$F63),0,IF(UPPER(TRIM(AO63))=IFERROR(INDEX(Key!$C$2:$C$263,MATCH($D63*100+29,Key!$G$2:$G$263,0)),"#"),1,0))</f>
        <v/>
      </c>
      <c r="BU63">
        <f>IF(OR($D63="",AP63="",30&gt;$F63),0,IF(UPPER(TRIM(AP63))=IFERROR(INDEX(Key!$C$2:$C$263,MATCH($D63*100+30,Key!$G$2:$G$263,0)),"#"),1,0))</f>
        <v/>
      </c>
    </row>
    <row r="64">
      <c r="A64" s="6" t="n"/>
      <c r="B64" s="6" t="n"/>
      <c r="C64" s="6" t="n"/>
      <c r="D64" s="6" t="n"/>
      <c r="E64" s="7">
        <f>IF($D64="","",IFERROR(INDEX(Papers!$B$2:$B$12,MATCH($D64,Papers!$A$2:$A$12,0)),"?"))</f>
        <v/>
      </c>
      <c r="F64" s="7">
        <f>IF($D64="","",IFERROR(INDEX(Papers!$C$2:$C$12,MATCH($D64,Papers!$A$2:$A$12,0)),0))</f>
        <v/>
      </c>
      <c r="G64" s="7">
        <f>IF($D64="","",COUNTIF(M64:AP64,"?*"))</f>
        <v/>
      </c>
      <c r="H64" s="7">
        <f>IF($D64="","",SUM(AR64:BU64))</f>
        <v/>
      </c>
      <c r="I64" s="7">
        <f>IF($D64="","",G64-H64)</f>
        <v/>
      </c>
      <c r="J64" s="7">
        <f>IF($D64="","",F64-G64)</f>
        <v/>
      </c>
      <c r="K64" s="7">
        <f>IF($D64="","",H64)</f>
        <v/>
      </c>
      <c r="L64" s="7">
        <f>IF($D64="","",IF(F64=0,"",ROUND(H64/F64*100,1)))</f>
        <v/>
      </c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R64">
        <f>IF(OR($D64="",M64="",1&gt;$F64),0,IF(UPPER(TRIM(M64))=IFERROR(INDEX(Key!$C$2:$C$263,MATCH($D64*100+1,Key!$G$2:$G$263,0)),"#"),1,0))</f>
        <v/>
      </c>
      <c r="AS64">
        <f>IF(OR($D64="",N64="",2&gt;$F64),0,IF(UPPER(TRIM(N64))=IFERROR(INDEX(Key!$C$2:$C$263,MATCH($D64*100+2,Key!$G$2:$G$263,0)),"#"),1,0))</f>
        <v/>
      </c>
      <c r="AT64">
        <f>IF(OR($D64="",O64="",3&gt;$F64),0,IF(UPPER(TRIM(O64))=IFERROR(INDEX(Key!$C$2:$C$263,MATCH($D64*100+3,Key!$G$2:$G$263,0)),"#"),1,0))</f>
        <v/>
      </c>
      <c r="AU64">
        <f>IF(OR($D64="",P64="",4&gt;$F64),0,IF(UPPER(TRIM(P64))=IFERROR(INDEX(Key!$C$2:$C$263,MATCH($D64*100+4,Key!$G$2:$G$263,0)),"#"),1,0))</f>
        <v/>
      </c>
      <c r="AV64">
        <f>IF(OR($D64="",Q64="",5&gt;$F64),0,IF(UPPER(TRIM(Q64))=IFERROR(INDEX(Key!$C$2:$C$263,MATCH($D64*100+5,Key!$G$2:$G$263,0)),"#"),1,0))</f>
        <v/>
      </c>
      <c r="AW64">
        <f>IF(OR($D64="",R64="",6&gt;$F64),0,IF(UPPER(TRIM(R64))=IFERROR(INDEX(Key!$C$2:$C$263,MATCH($D64*100+6,Key!$G$2:$G$263,0)),"#"),1,0))</f>
        <v/>
      </c>
      <c r="AX64">
        <f>IF(OR($D64="",S64="",7&gt;$F64),0,IF(UPPER(TRIM(S64))=IFERROR(INDEX(Key!$C$2:$C$263,MATCH($D64*100+7,Key!$G$2:$G$263,0)),"#"),1,0))</f>
        <v/>
      </c>
      <c r="AY64">
        <f>IF(OR($D64="",T64="",8&gt;$F64),0,IF(UPPER(TRIM(T64))=IFERROR(INDEX(Key!$C$2:$C$263,MATCH($D64*100+8,Key!$G$2:$G$263,0)),"#"),1,0))</f>
        <v/>
      </c>
      <c r="AZ64">
        <f>IF(OR($D64="",U64="",9&gt;$F64),0,IF(UPPER(TRIM(U64))=IFERROR(INDEX(Key!$C$2:$C$263,MATCH($D64*100+9,Key!$G$2:$G$263,0)),"#"),1,0))</f>
        <v/>
      </c>
      <c r="BA64">
        <f>IF(OR($D64="",V64="",10&gt;$F64),0,IF(UPPER(TRIM(V64))=IFERROR(INDEX(Key!$C$2:$C$263,MATCH($D64*100+10,Key!$G$2:$G$263,0)),"#"),1,0))</f>
        <v/>
      </c>
      <c r="BB64">
        <f>IF(OR($D64="",W64="",11&gt;$F64),0,IF(UPPER(TRIM(W64))=IFERROR(INDEX(Key!$C$2:$C$263,MATCH($D64*100+11,Key!$G$2:$G$263,0)),"#"),1,0))</f>
        <v/>
      </c>
      <c r="BC64">
        <f>IF(OR($D64="",X64="",12&gt;$F64),0,IF(UPPER(TRIM(X64))=IFERROR(INDEX(Key!$C$2:$C$263,MATCH($D64*100+12,Key!$G$2:$G$263,0)),"#"),1,0))</f>
        <v/>
      </c>
      <c r="BD64">
        <f>IF(OR($D64="",Y64="",13&gt;$F64),0,IF(UPPER(TRIM(Y64))=IFERROR(INDEX(Key!$C$2:$C$263,MATCH($D64*100+13,Key!$G$2:$G$263,0)),"#"),1,0))</f>
        <v/>
      </c>
      <c r="BE64">
        <f>IF(OR($D64="",Z64="",14&gt;$F64),0,IF(UPPER(TRIM(Z64))=IFERROR(INDEX(Key!$C$2:$C$263,MATCH($D64*100+14,Key!$G$2:$G$263,0)),"#"),1,0))</f>
        <v/>
      </c>
      <c r="BF64">
        <f>IF(OR($D64="",AA64="",15&gt;$F64),0,IF(UPPER(TRIM(AA64))=IFERROR(INDEX(Key!$C$2:$C$263,MATCH($D64*100+15,Key!$G$2:$G$263,0)),"#"),1,0))</f>
        <v/>
      </c>
      <c r="BG64">
        <f>IF(OR($D64="",AB64="",16&gt;$F64),0,IF(UPPER(TRIM(AB64))=IFERROR(INDEX(Key!$C$2:$C$263,MATCH($D64*100+16,Key!$G$2:$G$263,0)),"#"),1,0))</f>
        <v/>
      </c>
      <c r="BH64">
        <f>IF(OR($D64="",AC64="",17&gt;$F64),0,IF(UPPER(TRIM(AC64))=IFERROR(INDEX(Key!$C$2:$C$263,MATCH($D64*100+17,Key!$G$2:$G$263,0)),"#"),1,0))</f>
        <v/>
      </c>
      <c r="BI64">
        <f>IF(OR($D64="",AD64="",18&gt;$F64),0,IF(UPPER(TRIM(AD64))=IFERROR(INDEX(Key!$C$2:$C$263,MATCH($D64*100+18,Key!$G$2:$G$263,0)),"#"),1,0))</f>
        <v/>
      </c>
      <c r="BJ64">
        <f>IF(OR($D64="",AE64="",19&gt;$F64),0,IF(UPPER(TRIM(AE64))=IFERROR(INDEX(Key!$C$2:$C$263,MATCH($D64*100+19,Key!$G$2:$G$263,0)),"#"),1,0))</f>
        <v/>
      </c>
      <c r="BK64">
        <f>IF(OR($D64="",AF64="",20&gt;$F64),0,IF(UPPER(TRIM(AF64))=IFERROR(INDEX(Key!$C$2:$C$263,MATCH($D64*100+20,Key!$G$2:$G$263,0)),"#"),1,0))</f>
        <v/>
      </c>
      <c r="BL64">
        <f>IF(OR($D64="",AG64="",21&gt;$F64),0,IF(UPPER(TRIM(AG64))=IFERROR(INDEX(Key!$C$2:$C$263,MATCH($D64*100+21,Key!$G$2:$G$263,0)),"#"),1,0))</f>
        <v/>
      </c>
      <c r="BM64">
        <f>IF(OR($D64="",AH64="",22&gt;$F64),0,IF(UPPER(TRIM(AH64))=IFERROR(INDEX(Key!$C$2:$C$263,MATCH($D64*100+22,Key!$G$2:$G$263,0)),"#"),1,0))</f>
        <v/>
      </c>
      <c r="BN64">
        <f>IF(OR($D64="",AI64="",23&gt;$F64),0,IF(UPPER(TRIM(AI64))=IFERROR(INDEX(Key!$C$2:$C$263,MATCH($D64*100+23,Key!$G$2:$G$263,0)),"#"),1,0))</f>
        <v/>
      </c>
      <c r="BO64">
        <f>IF(OR($D64="",AJ64="",24&gt;$F64),0,IF(UPPER(TRIM(AJ64))=IFERROR(INDEX(Key!$C$2:$C$263,MATCH($D64*100+24,Key!$G$2:$G$263,0)),"#"),1,0))</f>
        <v/>
      </c>
      <c r="BP64">
        <f>IF(OR($D64="",AK64="",25&gt;$F64),0,IF(UPPER(TRIM(AK64))=IFERROR(INDEX(Key!$C$2:$C$263,MATCH($D64*100+25,Key!$G$2:$G$263,0)),"#"),1,0))</f>
        <v/>
      </c>
      <c r="BQ64">
        <f>IF(OR($D64="",AL64="",26&gt;$F64),0,IF(UPPER(TRIM(AL64))=IFERROR(INDEX(Key!$C$2:$C$263,MATCH($D64*100+26,Key!$G$2:$G$263,0)),"#"),1,0))</f>
        <v/>
      </c>
      <c r="BR64">
        <f>IF(OR($D64="",AM64="",27&gt;$F64),0,IF(UPPER(TRIM(AM64))=IFERROR(INDEX(Key!$C$2:$C$263,MATCH($D64*100+27,Key!$G$2:$G$263,0)),"#"),1,0))</f>
        <v/>
      </c>
      <c r="BS64">
        <f>IF(OR($D64="",AN64="",28&gt;$F64),0,IF(UPPER(TRIM(AN64))=IFERROR(INDEX(Key!$C$2:$C$263,MATCH($D64*100+28,Key!$G$2:$G$263,0)),"#"),1,0))</f>
        <v/>
      </c>
      <c r="BT64">
        <f>IF(OR($D64="",AO64="",29&gt;$F64),0,IF(UPPER(TRIM(AO64))=IFERROR(INDEX(Key!$C$2:$C$263,MATCH($D64*100+29,Key!$G$2:$G$263,0)),"#"),1,0))</f>
        <v/>
      </c>
      <c r="BU64">
        <f>IF(OR($D64="",AP64="",30&gt;$F64),0,IF(UPPER(TRIM(AP64))=IFERROR(INDEX(Key!$C$2:$C$263,MATCH($D64*100+30,Key!$G$2:$G$263,0)),"#"),1,0))</f>
        <v/>
      </c>
    </row>
    <row r="65">
      <c r="A65" s="6" t="n"/>
      <c r="B65" s="6" t="n"/>
      <c r="C65" s="6" t="n"/>
      <c r="D65" s="6" t="n"/>
      <c r="E65" s="7">
        <f>IF($D65="","",IFERROR(INDEX(Papers!$B$2:$B$12,MATCH($D65,Papers!$A$2:$A$12,0)),"?"))</f>
        <v/>
      </c>
      <c r="F65" s="7">
        <f>IF($D65="","",IFERROR(INDEX(Papers!$C$2:$C$12,MATCH($D65,Papers!$A$2:$A$12,0)),0))</f>
        <v/>
      </c>
      <c r="G65" s="7">
        <f>IF($D65="","",COUNTIF(M65:AP65,"?*"))</f>
        <v/>
      </c>
      <c r="H65" s="7">
        <f>IF($D65="","",SUM(AR65:BU65))</f>
        <v/>
      </c>
      <c r="I65" s="7">
        <f>IF($D65="","",G65-H65)</f>
        <v/>
      </c>
      <c r="J65" s="7">
        <f>IF($D65="","",F65-G65)</f>
        <v/>
      </c>
      <c r="K65" s="7">
        <f>IF($D65="","",H65)</f>
        <v/>
      </c>
      <c r="L65" s="7">
        <f>IF($D65="","",IF(F65=0,"",ROUND(H65/F65*100,1)))</f>
        <v/>
      </c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R65">
        <f>IF(OR($D65="",M65="",1&gt;$F65),0,IF(UPPER(TRIM(M65))=IFERROR(INDEX(Key!$C$2:$C$263,MATCH($D65*100+1,Key!$G$2:$G$263,0)),"#"),1,0))</f>
        <v/>
      </c>
      <c r="AS65">
        <f>IF(OR($D65="",N65="",2&gt;$F65),0,IF(UPPER(TRIM(N65))=IFERROR(INDEX(Key!$C$2:$C$263,MATCH($D65*100+2,Key!$G$2:$G$263,0)),"#"),1,0))</f>
        <v/>
      </c>
      <c r="AT65">
        <f>IF(OR($D65="",O65="",3&gt;$F65),0,IF(UPPER(TRIM(O65))=IFERROR(INDEX(Key!$C$2:$C$263,MATCH($D65*100+3,Key!$G$2:$G$263,0)),"#"),1,0))</f>
        <v/>
      </c>
      <c r="AU65">
        <f>IF(OR($D65="",P65="",4&gt;$F65),0,IF(UPPER(TRIM(P65))=IFERROR(INDEX(Key!$C$2:$C$263,MATCH($D65*100+4,Key!$G$2:$G$263,0)),"#"),1,0))</f>
        <v/>
      </c>
      <c r="AV65">
        <f>IF(OR($D65="",Q65="",5&gt;$F65),0,IF(UPPER(TRIM(Q65))=IFERROR(INDEX(Key!$C$2:$C$263,MATCH($D65*100+5,Key!$G$2:$G$263,0)),"#"),1,0))</f>
        <v/>
      </c>
      <c r="AW65">
        <f>IF(OR($D65="",R65="",6&gt;$F65),0,IF(UPPER(TRIM(R65))=IFERROR(INDEX(Key!$C$2:$C$263,MATCH($D65*100+6,Key!$G$2:$G$263,0)),"#"),1,0))</f>
        <v/>
      </c>
      <c r="AX65">
        <f>IF(OR($D65="",S65="",7&gt;$F65),0,IF(UPPER(TRIM(S65))=IFERROR(INDEX(Key!$C$2:$C$263,MATCH($D65*100+7,Key!$G$2:$G$263,0)),"#"),1,0))</f>
        <v/>
      </c>
      <c r="AY65">
        <f>IF(OR($D65="",T65="",8&gt;$F65),0,IF(UPPER(TRIM(T65))=IFERROR(INDEX(Key!$C$2:$C$263,MATCH($D65*100+8,Key!$G$2:$G$263,0)),"#"),1,0))</f>
        <v/>
      </c>
      <c r="AZ65">
        <f>IF(OR($D65="",U65="",9&gt;$F65),0,IF(UPPER(TRIM(U65))=IFERROR(INDEX(Key!$C$2:$C$263,MATCH($D65*100+9,Key!$G$2:$G$263,0)),"#"),1,0))</f>
        <v/>
      </c>
      <c r="BA65">
        <f>IF(OR($D65="",V65="",10&gt;$F65),0,IF(UPPER(TRIM(V65))=IFERROR(INDEX(Key!$C$2:$C$263,MATCH($D65*100+10,Key!$G$2:$G$263,0)),"#"),1,0))</f>
        <v/>
      </c>
      <c r="BB65">
        <f>IF(OR($D65="",W65="",11&gt;$F65),0,IF(UPPER(TRIM(W65))=IFERROR(INDEX(Key!$C$2:$C$263,MATCH($D65*100+11,Key!$G$2:$G$263,0)),"#"),1,0))</f>
        <v/>
      </c>
      <c r="BC65">
        <f>IF(OR($D65="",X65="",12&gt;$F65),0,IF(UPPER(TRIM(X65))=IFERROR(INDEX(Key!$C$2:$C$263,MATCH($D65*100+12,Key!$G$2:$G$263,0)),"#"),1,0))</f>
        <v/>
      </c>
      <c r="BD65">
        <f>IF(OR($D65="",Y65="",13&gt;$F65),0,IF(UPPER(TRIM(Y65))=IFERROR(INDEX(Key!$C$2:$C$263,MATCH($D65*100+13,Key!$G$2:$G$263,0)),"#"),1,0))</f>
        <v/>
      </c>
      <c r="BE65">
        <f>IF(OR($D65="",Z65="",14&gt;$F65),0,IF(UPPER(TRIM(Z65))=IFERROR(INDEX(Key!$C$2:$C$263,MATCH($D65*100+14,Key!$G$2:$G$263,0)),"#"),1,0))</f>
        <v/>
      </c>
      <c r="BF65">
        <f>IF(OR($D65="",AA65="",15&gt;$F65),0,IF(UPPER(TRIM(AA65))=IFERROR(INDEX(Key!$C$2:$C$263,MATCH($D65*100+15,Key!$G$2:$G$263,0)),"#"),1,0))</f>
        <v/>
      </c>
      <c r="BG65">
        <f>IF(OR($D65="",AB65="",16&gt;$F65),0,IF(UPPER(TRIM(AB65))=IFERROR(INDEX(Key!$C$2:$C$263,MATCH($D65*100+16,Key!$G$2:$G$263,0)),"#"),1,0))</f>
        <v/>
      </c>
      <c r="BH65">
        <f>IF(OR($D65="",AC65="",17&gt;$F65),0,IF(UPPER(TRIM(AC65))=IFERROR(INDEX(Key!$C$2:$C$263,MATCH($D65*100+17,Key!$G$2:$G$263,0)),"#"),1,0))</f>
        <v/>
      </c>
      <c r="BI65">
        <f>IF(OR($D65="",AD65="",18&gt;$F65),0,IF(UPPER(TRIM(AD65))=IFERROR(INDEX(Key!$C$2:$C$263,MATCH($D65*100+18,Key!$G$2:$G$263,0)),"#"),1,0))</f>
        <v/>
      </c>
      <c r="BJ65">
        <f>IF(OR($D65="",AE65="",19&gt;$F65),0,IF(UPPER(TRIM(AE65))=IFERROR(INDEX(Key!$C$2:$C$263,MATCH($D65*100+19,Key!$G$2:$G$263,0)),"#"),1,0))</f>
        <v/>
      </c>
      <c r="BK65">
        <f>IF(OR($D65="",AF65="",20&gt;$F65),0,IF(UPPER(TRIM(AF65))=IFERROR(INDEX(Key!$C$2:$C$263,MATCH($D65*100+20,Key!$G$2:$G$263,0)),"#"),1,0))</f>
        <v/>
      </c>
      <c r="BL65">
        <f>IF(OR($D65="",AG65="",21&gt;$F65),0,IF(UPPER(TRIM(AG65))=IFERROR(INDEX(Key!$C$2:$C$263,MATCH($D65*100+21,Key!$G$2:$G$263,0)),"#"),1,0))</f>
        <v/>
      </c>
      <c r="BM65">
        <f>IF(OR($D65="",AH65="",22&gt;$F65),0,IF(UPPER(TRIM(AH65))=IFERROR(INDEX(Key!$C$2:$C$263,MATCH($D65*100+22,Key!$G$2:$G$263,0)),"#"),1,0))</f>
        <v/>
      </c>
      <c r="BN65">
        <f>IF(OR($D65="",AI65="",23&gt;$F65),0,IF(UPPER(TRIM(AI65))=IFERROR(INDEX(Key!$C$2:$C$263,MATCH($D65*100+23,Key!$G$2:$G$263,0)),"#"),1,0))</f>
        <v/>
      </c>
      <c r="BO65">
        <f>IF(OR($D65="",AJ65="",24&gt;$F65),0,IF(UPPER(TRIM(AJ65))=IFERROR(INDEX(Key!$C$2:$C$263,MATCH($D65*100+24,Key!$G$2:$G$263,0)),"#"),1,0))</f>
        <v/>
      </c>
      <c r="BP65">
        <f>IF(OR($D65="",AK65="",25&gt;$F65),0,IF(UPPER(TRIM(AK65))=IFERROR(INDEX(Key!$C$2:$C$263,MATCH($D65*100+25,Key!$G$2:$G$263,0)),"#"),1,0))</f>
        <v/>
      </c>
      <c r="BQ65">
        <f>IF(OR($D65="",AL65="",26&gt;$F65),0,IF(UPPER(TRIM(AL65))=IFERROR(INDEX(Key!$C$2:$C$263,MATCH($D65*100+26,Key!$G$2:$G$263,0)),"#"),1,0))</f>
        <v/>
      </c>
      <c r="BR65">
        <f>IF(OR($D65="",AM65="",27&gt;$F65),0,IF(UPPER(TRIM(AM65))=IFERROR(INDEX(Key!$C$2:$C$263,MATCH($D65*100+27,Key!$G$2:$G$263,0)),"#"),1,0))</f>
        <v/>
      </c>
      <c r="BS65">
        <f>IF(OR($D65="",AN65="",28&gt;$F65),0,IF(UPPER(TRIM(AN65))=IFERROR(INDEX(Key!$C$2:$C$263,MATCH($D65*100+28,Key!$G$2:$G$263,0)),"#"),1,0))</f>
        <v/>
      </c>
      <c r="BT65">
        <f>IF(OR($D65="",AO65="",29&gt;$F65),0,IF(UPPER(TRIM(AO65))=IFERROR(INDEX(Key!$C$2:$C$263,MATCH($D65*100+29,Key!$G$2:$G$263,0)),"#"),1,0))</f>
        <v/>
      </c>
      <c r="BU65">
        <f>IF(OR($D65="",AP65="",30&gt;$F65),0,IF(UPPER(TRIM(AP65))=IFERROR(INDEX(Key!$C$2:$C$263,MATCH($D65*100+30,Key!$G$2:$G$263,0)),"#"),1,0))</f>
        <v/>
      </c>
    </row>
    <row r="66">
      <c r="A66" s="6" t="n"/>
      <c r="B66" s="6" t="n"/>
      <c r="C66" s="6" t="n"/>
      <c r="D66" s="6" t="n"/>
      <c r="E66" s="7">
        <f>IF($D66="","",IFERROR(INDEX(Papers!$B$2:$B$12,MATCH($D66,Papers!$A$2:$A$12,0)),"?"))</f>
        <v/>
      </c>
      <c r="F66" s="7">
        <f>IF($D66="","",IFERROR(INDEX(Papers!$C$2:$C$12,MATCH($D66,Papers!$A$2:$A$12,0)),0))</f>
        <v/>
      </c>
      <c r="G66" s="7">
        <f>IF($D66="","",COUNTIF(M66:AP66,"?*"))</f>
        <v/>
      </c>
      <c r="H66" s="7">
        <f>IF($D66="","",SUM(AR66:BU66))</f>
        <v/>
      </c>
      <c r="I66" s="7">
        <f>IF($D66="","",G66-H66)</f>
        <v/>
      </c>
      <c r="J66" s="7">
        <f>IF($D66="","",F66-G66)</f>
        <v/>
      </c>
      <c r="K66" s="7">
        <f>IF($D66="","",H66)</f>
        <v/>
      </c>
      <c r="L66" s="7">
        <f>IF($D66="","",IF(F66=0,"",ROUND(H66/F66*100,1)))</f>
        <v/>
      </c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R66">
        <f>IF(OR($D66="",M66="",1&gt;$F66),0,IF(UPPER(TRIM(M66))=IFERROR(INDEX(Key!$C$2:$C$263,MATCH($D66*100+1,Key!$G$2:$G$263,0)),"#"),1,0))</f>
        <v/>
      </c>
      <c r="AS66">
        <f>IF(OR($D66="",N66="",2&gt;$F66),0,IF(UPPER(TRIM(N66))=IFERROR(INDEX(Key!$C$2:$C$263,MATCH($D66*100+2,Key!$G$2:$G$263,0)),"#"),1,0))</f>
        <v/>
      </c>
      <c r="AT66">
        <f>IF(OR($D66="",O66="",3&gt;$F66),0,IF(UPPER(TRIM(O66))=IFERROR(INDEX(Key!$C$2:$C$263,MATCH($D66*100+3,Key!$G$2:$G$263,0)),"#"),1,0))</f>
        <v/>
      </c>
      <c r="AU66">
        <f>IF(OR($D66="",P66="",4&gt;$F66),0,IF(UPPER(TRIM(P66))=IFERROR(INDEX(Key!$C$2:$C$263,MATCH($D66*100+4,Key!$G$2:$G$263,0)),"#"),1,0))</f>
        <v/>
      </c>
      <c r="AV66">
        <f>IF(OR($D66="",Q66="",5&gt;$F66),0,IF(UPPER(TRIM(Q66))=IFERROR(INDEX(Key!$C$2:$C$263,MATCH($D66*100+5,Key!$G$2:$G$263,0)),"#"),1,0))</f>
        <v/>
      </c>
      <c r="AW66">
        <f>IF(OR($D66="",R66="",6&gt;$F66),0,IF(UPPER(TRIM(R66))=IFERROR(INDEX(Key!$C$2:$C$263,MATCH($D66*100+6,Key!$G$2:$G$263,0)),"#"),1,0))</f>
        <v/>
      </c>
      <c r="AX66">
        <f>IF(OR($D66="",S66="",7&gt;$F66),0,IF(UPPER(TRIM(S66))=IFERROR(INDEX(Key!$C$2:$C$263,MATCH($D66*100+7,Key!$G$2:$G$263,0)),"#"),1,0))</f>
        <v/>
      </c>
      <c r="AY66">
        <f>IF(OR($D66="",T66="",8&gt;$F66),0,IF(UPPER(TRIM(T66))=IFERROR(INDEX(Key!$C$2:$C$263,MATCH($D66*100+8,Key!$G$2:$G$263,0)),"#"),1,0))</f>
        <v/>
      </c>
      <c r="AZ66">
        <f>IF(OR($D66="",U66="",9&gt;$F66),0,IF(UPPER(TRIM(U66))=IFERROR(INDEX(Key!$C$2:$C$263,MATCH($D66*100+9,Key!$G$2:$G$263,0)),"#"),1,0))</f>
        <v/>
      </c>
      <c r="BA66">
        <f>IF(OR($D66="",V66="",10&gt;$F66),0,IF(UPPER(TRIM(V66))=IFERROR(INDEX(Key!$C$2:$C$263,MATCH($D66*100+10,Key!$G$2:$G$263,0)),"#"),1,0))</f>
        <v/>
      </c>
      <c r="BB66">
        <f>IF(OR($D66="",W66="",11&gt;$F66),0,IF(UPPER(TRIM(W66))=IFERROR(INDEX(Key!$C$2:$C$263,MATCH($D66*100+11,Key!$G$2:$G$263,0)),"#"),1,0))</f>
        <v/>
      </c>
      <c r="BC66">
        <f>IF(OR($D66="",X66="",12&gt;$F66),0,IF(UPPER(TRIM(X66))=IFERROR(INDEX(Key!$C$2:$C$263,MATCH($D66*100+12,Key!$G$2:$G$263,0)),"#"),1,0))</f>
        <v/>
      </c>
      <c r="BD66">
        <f>IF(OR($D66="",Y66="",13&gt;$F66),0,IF(UPPER(TRIM(Y66))=IFERROR(INDEX(Key!$C$2:$C$263,MATCH($D66*100+13,Key!$G$2:$G$263,0)),"#"),1,0))</f>
        <v/>
      </c>
      <c r="BE66">
        <f>IF(OR($D66="",Z66="",14&gt;$F66),0,IF(UPPER(TRIM(Z66))=IFERROR(INDEX(Key!$C$2:$C$263,MATCH($D66*100+14,Key!$G$2:$G$263,0)),"#"),1,0))</f>
        <v/>
      </c>
      <c r="BF66">
        <f>IF(OR($D66="",AA66="",15&gt;$F66),0,IF(UPPER(TRIM(AA66))=IFERROR(INDEX(Key!$C$2:$C$263,MATCH($D66*100+15,Key!$G$2:$G$263,0)),"#"),1,0))</f>
        <v/>
      </c>
      <c r="BG66">
        <f>IF(OR($D66="",AB66="",16&gt;$F66),0,IF(UPPER(TRIM(AB66))=IFERROR(INDEX(Key!$C$2:$C$263,MATCH($D66*100+16,Key!$G$2:$G$263,0)),"#"),1,0))</f>
        <v/>
      </c>
      <c r="BH66">
        <f>IF(OR($D66="",AC66="",17&gt;$F66),0,IF(UPPER(TRIM(AC66))=IFERROR(INDEX(Key!$C$2:$C$263,MATCH($D66*100+17,Key!$G$2:$G$263,0)),"#"),1,0))</f>
        <v/>
      </c>
      <c r="BI66">
        <f>IF(OR($D66="",AD66="",18&gt;$F66),0,IF(UPPER(TRIM(AD66))=IFERROR(INDEX(Key!$C$2:$C$263,MATCH($D66*100+18,Key!$G$2:$G$263,0)),"#"),1,0))</f>
        <v/>
      </c>
      <c r="BJ66">
        <f>IF(OR($D66="",AE66="",19&gt;$F66),0,IF(UPPER(TRIM(AE66))=IFERROR(INDEX(Key!$C$2:$C$263,MATCH($D66*100+19,Key!$G$2:$G$263,0)),"#"),1,0))</f>
        <v/>
      </c>
      <c r="BK66">
        <f>IF(OR($D66="",AF66="",20&gt;$F66),0,IF(UPPER(TRIM(AF66))=IFERROR(INDEX(Key!$C$2:$C$263,MATCH($D66*100+20,Key!$G$2:$G$263,0)),"#"),1,0))</f>
        <v/>
      </c>
      <c r="BL66">
        <f>IF(OR($D66="",AG66="",21&gt;$F66),0,IF(UPPER(TRIM(AG66))=IFERROR(INDEX(Key!$C$2:$C$263,MATCH($D66*100+21,Key!$G$2:$G$263,0)),"#"),1,0))</f>
        <v/>
      </c>
      <c r="BM66">
        <f>IF(OR($D66="",AH66="",22&gt;$F66),0,IF(UPPER(TRIM(AH66))=IFERROR(INDEX(Key!$C$2:$C$263,MATCH($D66*100+22,Key!$G$2:$G$263,0)),"#"),1,0))</f>
        <v/>
      </c>
      <c r="BN66">
        <f>IF(OR($D66="",AI66="",23&gt;$F66),0,IF(UPPER(TRIM(AI66))=IFERROR(INDEX(Key!$C$2:$C$263,MATCH($D66*100+23,Key!$G$2:$G$263,0)),"#"),1,0))</f>
        <v/>
      </c>
      <c r="BO66">
        <f>IF(OR($D66="",AJ66="",24&gt;$F66),0,IF(UPPER(TRIM(AJ66))=IFERROR(INDEX(Key!$C$2:$C$263,MATCH($D66*100+24,Key!$G$2:$G$263,0)),"#"),1,0))</f>
        <v/>
      </c>
      <c r="BP66">
        <f>IF(OR($D66="",AK66="",25&gt;$F66),0,IF(UPPER(TRIM(AK66))=IFERROR(INDEX(Key!$C$2:$C$263,MATCH($D66*100+25,Key!$G$2:$G$263,0)),"#"),1,0))</f>
        <v/>
      </c>
      <c r="BQ66">
        <f>IF(OR($D66="",AL66="",26&gt;$F66),0,IF(UPPER(TRIM(AL66))=IFERROR(INDEX(Key!$C$2:$C$263,MATCH($D66*100+26,Key!$G$2:$G$263,0)),"#"),1,0))</f>
        <v/>
      </c>
      <c r="BR66">
        <f>IF(OR($D66="",AM66="",27&gt;$F66),0,IF(UPPER(TRIM(AM66))=IFERROR(INDEX(Key!$C$2:$C$263,MATCH($D66*100+27,Key!$G$2:$G$263,0)),"#"),1,0))</f>
        <v/>
      </c>
      <c r="BS66">
        <f>IF(OR($D66="",AN66="",28&gt;$F66),0,IF(UPPER(TRIM(AN66))=IFERROR(INDEX(Key!$C$2:$C$263,MATCH($D66*100+28,Key!$G$2:$G$263,0)),"#"),1,0))</f>
        <v/>
      </c>
      <c r="BT66">
        <f>IF(OR($D66="",AO66="",29&gt;$F66),0,IF(UPPER(TRIM(AO66))=IFERROR(INDEX(Key!$C$2:$C$263,MATCH($D66*100+29,Key!$G$2:$G$263,0)),"#"),1,0))</f>
        <v/>
      </c>
      <c r="BU66">
        <f>IF(OR($D66="",AP66="",30&gt;$F66),0,IF(UPPER(TRIM(AP66))=IFERROR(INDEX(Key!$C$2:$C$263,MATCH($D66*100+30,Key!$G$2:$G$263,0)),"#"),1,0))</f>
        <v/>
      </c>
    </row>
    <row r="67">
      <c r="A67" s="6" t="n"/>
      <c r="B67" s="6" t="n"/>
      <c r="C67" s="6" t="n"/>
      <c r="D67" s="6" t="n"/>
      <c r="E67" s="7">
        <f>IF($D67="","",IFERROR(INDEX(Papers!$B$2:$B$12,MATCH($D67,Papers!$A$2:$A$12,0)),"?"))</f>
        <v/>
      </c>
      <c r="F67" s="7">
        <f>IF($D67="","",IFERROR(INDEX(Papers!$C$2:$C$12,MATCH($D67,Papers!$A$2:$A$12,0)),0))</f>
        <v/>
      </c>
      <c r="G67" s="7">
        <f>IF($D67="","",COUNTIF(M67:AP67,"?*"))</f>
        <v/>
      </c>
      <c r="H67" s="7">
        <f>IF($D67="","",SUM(AR67:BU67))</f>
        <v/>
      </c>
      <c r="I67" s="7">
        <f>IF($D67="","",G67-H67)</f>
        <v/>
      </c>
      <c r="J67" s="7">
        <f>IF($D67="","",F67-G67)</f>
        <v/>
      </c>
      <c r="K67" s="7">
        <f>IF($D67="","",H67)</f>
        <v/>
      </c>
      <c r="L67" s="7">
        <f>IF($D67="","",IF(F67=0,"",ROUND(H67/F67*100,1)))</f>
        <v/>
      </c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R67">
        <f>IF(OR($D67="",M67="",1&gt;$F67),0,IF(UPPER(TRIM(M67))=IFERROR(INDEX(Key!$C$2:$C$263,MATCH($D67*100+1,Key!$G$2:$G$263,0)),"#"),1,0))</f>
        <v/>
      </c>
      <c r="AS67">
        <f>IF(OR($D67="",N67="",2&gt;$F67),0,IF(UPPER(TRIM(N67))=IFERROR(INDEX(Key!$C$2:$C$263,MATCH($D67*100+2,Key!$G$2:$G$263,0)),"#"),1,0))</f>
        <v/>
      </c>
      <c r="AT67">
        <f>IF(OR($D67="",O67="",3&gt;$F67),0,IF(UPPER(TRIM(O67))=IFERROR(INDEX(Key!$C$2:$C$263,MATCH($D67*100+3,Key!$G$2:$G$263,0)),"#"),1,0))</f>
        <v/>
      </c>
      <c r="AU67">
        <f>IF(OR($D67="",P67="",4&gt;$F67),0,IF(UPPER(TRIM(P67))=IFERROR(INDEX(Key!$C$2:$C$263,MATCH($D67*100+4,Key!$G$2:$G$263,0)),"#"),1,0))</f>
        <v/>
      </c>
      <c r="AV67">
        <f>IF(OR($D67="",Q67="",5&gt;$F67),0,IF(UPPER(TRIM(Q67))=IFERROR(INDEX(Key!$C$2:$C$263,MATCH($D67*100+5,Key!$G$2:$G$263,0)),"#"),1,0))</f>
        <v/>
      </c>
      <c r="AW67">
        <f>IF(OR($D67="",R67="",6&gt;$F67),0,IF(UPPER(TRIM(R67))=IFERROR(INDEX(Key!$C$2:$C$263,MATCH($D67*100+6,Key!$G$2:$G$263,0)),"#"),1,0))</f>
        <v/>
      </c>
      <c r="AX67">
        <f>IF(OR($D67="",S67="",7&gt;$F67),0,IF(UPPER(TRIM(S67))=IFERROR(INDEX(Key!$C$2:$C$263,MATCH($D67*100+7,Key!$G$2:$G$263,0)),"#"),1,0))</f>
        <v/>
      </c>
      <c r="AY67">
        <f>IF(OR($D67="",T67="",8&gt;$F67),0,IF(UPPER(TRIM(T67))=IFERROR(INDEX(Key!$C$2:$C$263,MATCH($D67*100+8,Key!$G$2:$G$263,0)),"#"),1,0))</f>
        <v/>
      </c>
      <c r="AZ67">
        <f>IF(OR($D67="",U67="",9&gt;$F67),0,IF(UPPER(TRIM(U67))=IFERROR(INDEX(Key!$C$2:$C$263,MATCH($D67*100+9,Key!$G$2:$G$263,0)),"#"),1,0))</f>
        <v/>
      </c>
      <c r="BA67">
        <f>IF(OR($D67="",V67="",10&gt;$F67),0,IF(UPPER(TRIM(V67))=IFERROR(INDEX(Key!$C$2:$C$263,MATCH($D67*100+10,Key!$G$2:$G$263,0)),"#"),1,0))</f>
        <v/>
      </c>
      <c r="BB67">
        <f>IF(OR($D67="",W67="",11&gt;$F67),0,IF(UPPER(TRIM(W67))=IFERROR(INDEX(Key!$C$2:$C$263,MATCH($D67*100+11,Key!$G$2:$G$263,0)),"#"),1,0))</f>
        <v/>
      </c>
      <c r="BC67">
        <f>IF(OR($D67="",X67="",12&gt;$F67),0,IF(UPPER(TRIM(X67))=IFERROR(INDEX(Key!$C$2:$C$263,MATCH($D67*100+12,Key!$G$2:$G$263,0)),"#"),1,0))</f>
        <v/>
      </c>
      <c r="BD67">
        <f>IF(OR($D67="",Y67="",13&gt;$F67),0,IF(UPPER(TRIM(Y67))=IFERROR(INDEX(Key!$C$2:$C$263,MATCH($D67*100+13,Key!$G$2:$G$263,0)),"#"),1,0))</f>
        <v/>
      </c>
      <c r="BE67">
        <f>IF(OR($D67="",Z67="",14&gt;$F67),0,IF(UPPER(TRIM(Z67))=IFERROR(INDEX(Key!$C$2:$C$263,MATCH($D67*100+14,Key!$G$2:$G$263,0)),"#"),1,0))</f>
        <v/>
      </c>
      <c r="BF67">
        <f>IF(OR($D67="",AA67="",15&gt;$F67),0,IF(UPPER(TRIM(AA67))=IFERROR(INDEX(Key!$C$2:$C$263,MATCH($D67*100+15,Key!$G$2:$G$263,0)),"#"),1,0))</f>
        <v/>
      </c>
      <c r="BG67">
        <f>IF(OR($D67="",AB67="",16&gt;$F67),0,IF(UPPER(TRIM(AB67))=IFERROR(INDEX(Key!$C$2:$C$263,MATCH($D67*100+16,Key!$G$2:$G$263,0)),"#"),1,0))</f>
        <v/>
      </c>
      <c r="BH67">
        <f>IF(OR($D67="",AC67="",17&gt;$F67),0,IF(UPPER(TRIM(AC67))=IFERROR(INDEX(Key!$C$2:$C$263,MATCH($D67*100+17,Key!$G$2:$G$263,0)),"#"),1,0))</f>
        <v/>
      </c>
      <c r="BI67">
        <f>IF(OR($D67="",AD67="",18&gt;$F67),0,IF(UPPER(TRIM(AD67))=IFERROR(INDEX(Key!$C$2:$C$263,MATCH($D67*100+18,Key!$G$2:$G$263,0)),"#"),1,0))</f>
        <v/>
      </c>
      <c r="BJ67">
        <f>IF(OR($D67="",AE67="",19&gt;$F67),0,IF(UPPER(TRIM(AE67))=IFERROR(INDEX(Key!$C$2:$C$263,MATCH($D67*100+19,Key!$G$2:$G$263,0)),"#"),1,0))</f>
        <v/>
      </c>
      <c r="BK67">
        <f>IF(OR($D67="",AF67="",20&gt;$F67),0,IF(UPPER(TRIM(AF67))=IFERROR(INDEX(Key!$C$2:$C$263,MATCH($D67*100+20,Key!$G$2:$G$263,0)),"#"),1,0))</f>
        <v/>
      </c>
      <c r="BL67">
        <f>IF(OR($D67="",AG67="",21&gt;$F67),0,IF(UPPER(TRIM(AG67))=IFERROR(INDEX(Key!$C$2:$C$263,MATCH($D67*100+21,Key!$G$2:$G$263,0)),"#"),1,0))</f>
        <v/>
      </c>
      <c r="BM67">
        <f>IF(OR($D67="",AH67="",22&gt;$F67),0,IF(UPPER(TRIM(AH67))=IFERROR(INDEX(Key!$C$2:$C$263,MATCH($D67*100+22,Key!$G$2:$G$263,0)),"#"),1,0))</f>
        <v/>
      </c>
      <c r="BN67">
        <f>IF(OR($D67="",AI67="",23&gt;$F67),0,IF(UPPER(TRIM(AI67))=IFERROR(INDEX(Key!$C$2:$C$263,MATCH($D67*100+23,Key!$G$2:$G$263,0)),"#"),1,0))</f>
        <v/>
      </c>
      <c r="BO67">
        <f>IF(OR($D67="",AJ67="",24&gt;$F67),0,IF(UPPER(TRIM(AJ67))=IFERROR(INDEX(Key!$C$2:$C$263,MATCH($D67*100+24,Key!$G$2:$G$263,0)),"#"),1,0))</f>
        <v/>
      </c>
      <c r="BP67">
        <f>IF(OR($D67="",AK67="",25&gt;$F67),0,IF(UPPER(TRIM(AK67))=IFERROR(INDEX(Key!$C$2:$C$263,MATCH($D67*100+25,Key!$G$2:$G$263,0)),"#"),1,0))</f>
        <v/>
      </c>
      <c r="BQ67">
        <f>IF(OR($D67="",AL67="",26&gt;$F67),0,IF(UPPER(TRIM(AL67))=IFERROR(INDEX(Key!$C$2:$C$263,MATCH($D67*100+26,Key!$G$2:$G$263,0)),"#"),1,0))</f>
        <v/>
      </c>
      <c r="BR67">
        <f>IF(OR($D67="",AM67="",27&gt;$F67),0,IF(UPPER(TRIM(AM67))=IFERROR(INDEX(Key!$C$2:$C$263,MATCH($D67*100+27,Key!$G$2:$G$263,0)),"#"),1,0))</f>
        <v/>
      </c>
      <c r="BS67">
        <f>IF(OR($D67="",AN67="",28&gt;$F67),0,IF(UPPER(TRIM(AN67))=IFERROR(INDEX(Key!$C$2:$C$263,MATCH($D67*100+28,Key!$G$2:$G$263,0)),"#"),1,0))</f>
        <v/>
      </c>
      <c r="BT67">
        <f>IF(OR($D67="",AO67="",29&gt;$F67),0,IF(UPPER(TRIM(AO67))=IFERROR(INDEX(Key!$C$2:$C$263,MATCH($D67*100+29,Key!$G$2:$G$263,0)),"#"),1,0))</f>
        <v/>
      </c>
      <c r="BU67">
        <f>IF(OR($D67="",AP67="",30&gt;$F67),0,IF(UPPER(TRIM(AP67))=IFERROR(INDEX(Key!$C$2:$C$263,MATCH($D67*100+30,Key!$G$2:$G$263,0)),"#"),1,0))</f>
        <v/>
      </c>
    </row>
    <row r="68">
      <c r="A68" s="6" t="n"/>
      <c r="B68" s="6" t="n"/>
      <c r="C68" s="6" t="n"/>
      <c r="D68" s="6" t="n"/>
      <c r="E68" s="7">
        <f>IF($D68="","",IFERROR(INDEX(Papers!$B$2:$B$12,MATCH($D68,Papers!$A$2:$A$12,0)),"?"))</f>
        <v/>
      </c>
      <c r="F68" s="7">
        <f>IF($D68="","",IFERROR(INDEX(Papers!$C$2:$C$12,MATCH($D68,Papers!$A$2:$A$12,0)),0))</f>
        <v/>
      </c>
      <c r="G68" s="7">
        <f>IF($D68="","",COUNTIF(M68:AP68,"?*"))</f>
        <v/>
      </c>
      <c r="H68" s="7">
        <f>IF($D68="","",SUM(AR68:BU68))</f>
        <v/>
      </c>
      <c r="I68" s="7">
        <f>IF($D68="","",G68-H68)</f>
        <v/>
      </c>
      <c r="J68" s="7">
        <f>IF($D68="","",F68-G68)</f>
        <v/>
      </c>
      <c r="K68" s="7">
        <f>IF($D68="","",H68)</f>
        <v/>
      </c>
      <c r="L68" s="7">
        <f>IF($D68="","",IF(F68=0,"",ROUND(H68/F68*100,1)))</f>
        <v/>
      </c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R68">
        <f>IF(OR($D68="",M68="",1&gt;$F68),0,IF(UPPER(TRIM(M68))=IFERROR(INDEX(Key!$C$2:$C$263,MATCH($D68*100+1,Key!$G$2:$G$263,0)),"#"),1,0))</f>
        <v/>
      </c>
      <c r="AS68">
        <f>IF(OR($D68="",N68="",2&gt;$F68),0,IF(UPPER(TRIM(N68))=IFERROR(INDEX(Key!$C$2:$C$263,MATCH($D68*100+2,Key!$G$2:$G$263,0)),"#"),1,0))</f>
        <v/>
      </c>
      <c r="AT68">
        <f>IF(OR($D68="",O68="",3&gt;$F68),0,IF(UPPER(TRIM(O68))=IFERROR(INDEX(Key!$C$2:$C$263,MATCH($D68*100+3,Key!$G$2:$G$263,0)),"#"),1,0))</f>
        <v/>
      </c>
      <c r="AU68">
        <f>IF(OR($D68="",P68="",4&gt;$F68),0,IF(UPPER(TRIM(P68))=IFERROR(INDEX(Key!$C$2:$C$263,MATCH($D68*100+4,Key!$G$2:$G$263,0)),"#"),1,0))</f>
        <v/>
      </c>
      <c r="AV68">
        <f>IF(OR($D68="",Q68="",5&gt;$F68),0,IF(UPPER(TRIM(Q68))=IFERROR(INDEX(Key!$C$2:$C$263,MATCH($D68*100+5,Key!$G$2:$G$263,0)),"#"),1,0))</f>
        <v/>
      </c>
      <c r="AW68">
        <f>IF(OR($D68="",R68="",6&gt;$F68),0,IF(UPPER(TRIM(R68))=IFERROR(INDEX(Key!$C$2:$C$263,MATCH($D68*100+6,Key!$G$2:$G$263,0)),"#"),1,0))</f>
        <v/>
      </c>
      <c r="AX68">
        <f>IF(OR($D68="",S68="",7&gt;$F68),0,IF(UPPER(TRIM(S68))=IFERROR(INDEX(Key!$C$2:$C$263,MATCH($D68*100+7,Key!$G$2:$G$263,0)),"#"),1,0))</f>
        <v/>
      </c>
      <c r="AY68">
        <f>IF(OR($D68="",T68="",8&gt;$F68),0,IF(UPPER(TRIM(T68))=IFERROR(INDEX(Key!$C$2:$C$263,MATCH($D68*100+8,Key!$G$2:$G$263,0)),"#"),1,0))</f>
        <v/>
      </c>
      <c r="AZ68">
        <f>IF(OR($D68="",U68="",9&gt;$F68),0,IF(UPPER(TRIM(U68))=IFERROR(INDEX(Key!$C$2:$C$263,MATCH($D68*100+9,Key!$G$2:$G$263,0)),"#"),1,0))</f>
        <v/>
      </c>
      <c r="BA68">
        <f>IF(OR($D68="",V68="",10&gt;$F68),0,IF(UPPER(TRIM(V68))=IFERROR(INDEX(Key!$C$2:$C$263,MATCH($D68*100+10,Key!$G$2:$G$263,0)),"#"),1,0))</f>
        <v/>
      </c>
      <c r="BB68">
        <f>IF(OR($D68="",W68="",11&gt;$F68),0,IF(UPPER(TRIM(W68))=IFERROR(INDEX(Key!$C$2:$C$263,MATCH($D68*100+11,Key!$G$2:$G$263,0)),"#"),1,0))</f>
        <v/>
      </c>
      <c r="BC68">
        <f>IF(OR($D68="",X68="",12&gt;$F68),0,IF(UPPER(TRIM(X68))=IFERROR(INDEX(Key!$C$2:$C$263,MATCH($D68*100+12,Key!$G$2:$G$263,0)),"#"),1,0))</f>
        <v/>
      </c>
      <c r="BD68">
        <f>IF(OR($D68="",Y68="",13&gt;$F68),0,IF(UPPER(TRIM(Y68))=IFERROR(INDEX(Key!$C$2:$C$263,MATCH($D68*100+13,Key!$G$2:$G$263,0)),"#"),1,0))</f>
        <v/>
      </c>
      <c r="BE68">
        <f>IF(OR($D68="",Z68="",14&gt;$F68),0,IF(UPPER(TRIM(Z68))=IFERROR(INDEX(Key!$C$2:$C$263,MATCH($D68*100+14,Key!$G$2:$G$263,0)),"#"),1,0))</f>
        <v/>
      </c>
      <c r="BF68">
        <f>IF(OR($D68="",AA68="",15&gt;$F68),0,IF(UPPER(TRIM(AA68))=IFERROR(INDEX(Key!$C$2:$C$263,MATCH($D68*100+15,Key!$G$2:$G$263,0)),"#"),1,0))</f>
        <v/>
      </c>
      <c r="BG68">
        <f>IF(OR($D68="",AB68="",16&gt;$F68),0,IF(UPPER(TRIM(AB68))=IFERROR(INDEX(Key!$C$2:$C$263,MATCH($D68*100+16,Key!$G$2:$G$263,0)),"#"),1,0))</f>
        <v/>
      </c>
      <c r="BH68">
        <f>IF(OR($D68="",AC68="",17&gt;$F68),0,IF(UPPER(TRIM(AC68))=IFERROR(INDEX(Key!$C$2:$C$263,MATCH($D68*100+17,Key!$G$2:$G$263,0)),"#"),1,0))</f>
        <v/>
      </c>
      <c r="BI68">
        <f>IF(OR($D68="",AD68="",18&gt;$F68),0,IF(UPPER(TRIM(AD68))=IFERROR(INDEX(Key!$C$2:$C$263,MATCH($D68*100+18,Key!$G$2:$G$263,0)),"#"),1,0))</f>
        <v/>
      </c>
      <c r="BJ68">
        <f>IF(OR($D68="",AE68="",19&gt;$F68),0,IF(UPPER(TRIM(AE68))=IFERROR(INDEX(Key!$C$2:$C$263,MATCH($D68*100+19,Key!$G$2:$G$263,0)),"#"),1,0))</f>
        <v/>
      </c>
      <c r="BK68">
        <f>IF(OR($D68="",AF68="",20&gt;$F68),0,IF(UPPER(TRIM(AF68))=IFERROR(INDEX(Key!$C$2:$C$263,MATCH($D68*100+20,Key!$G$2:$G$263,0)),"#"),1,0))</f>
        <v/>
      </c>
      <c r="BL68">
        <f>IF(OR($D68="",AG68="",21&gt;$F68),0,IF(UPPER(TRIM(AG68))=IFERROR(INDEX(Key!$C$2:$C$263,MATCH($D68*100+21,Key!$G$2:$G$263,0)),"#"),1,0))</f>
        <v/>
      </c>
      <c r="BM68">
        <f>IF(OR($D68="",AH68="",22&gt;$F68),0,IF(UPPER(TRIM(AH68))=IFERROR(INDEX(Key!$C$2:$C$263,MATCH($D68*100+22,Key!$G$2:$G$263,0)),"#"),1,0))</f>
        <v/>
      </c>
      <c r="BN68">
        <f>IF(OR($D68="",AI68="",23&gt;$F68),0,IF(UPPER(TRIM(AI68))=IFERROR(INDEX(Key!$C$2:$C$263,MATCH($D68*100+23,Key!$G$2:$G$263,0)),"#"),1,0))</f>
        <v/>
      </c>
      <c r="BO68">
        <f>IF(OR($D68="",AJ68="",24&gt;$F68),0,IF(UPPER(TRIM(AJ68))=IFERROR(INDEX(Key!$C$2:$C$263,MATCH($D68*100+24,Key!$G$2:$G$263,0)),"#"),1,0))</f>
        <v/>
      </c>
      <c r="BP68">
        <f>IF(OR($D68="",AK68="",25&gt;$F68),0,IF(UPPER(TRIM(AK68))=IFERROR(INDEX(Key!$C$2:$C$263,MATCH($D68*100+25,Key!$G$2:$G$263,0)),"#"),1,0))</f>
        <v/>
      </c>
      <c r="BQ68">
        <f>IF(OR($D68="",AL68="",26&gt;$F68),0,IF(UPPER(TRIM(AL68))=IFERROR(INDEX(Key!$C$2:$C$263,MATCH($D68*100+26,Key!$G$2:$G$263,0)),"#"),1,0))</f>
        <v/>
      </c>
      <c r="BR68">
        <f>IF(OR($D68="",AM68="",27&gt;$F68),0,IF(UPPER(TRIM(AM68))=IFERROR(INDEX(Key!$C$2:$C$263,MATCH($D68*100+27,Key!$G$2:$G$263,0)),"#"),1,0))</f>
        <v/>
      </c>
      <c r="BS68">
        <f>IF(OR($D68="",AN68="",28&gt;$F68),0,IF(UPPER(TRIM(AN68))=IFERROR(INDEX(Key!$C$2:$C$263,MATCH($D68*100+28,Key!$G$2:$G$263,0)),"#"),1,0))</f>
        <v/>
      </c>
      <c r="BT68">
        <f>IF(OR($D68="",AO68="",29&gt;$F68),0,IF(UPPER(TRIM(AO68))=IFERROR(INDEX(Key!$C$2:$C$263,MATCH($D68*100+29,Key!$G$2:$G$263,0)),"#"),1,0))</f>
        <v/>
      </c>
      <c r="BU68">
        <f>IF(OR($D68="",AP68="",30&gt;$F68),0,IF(UPPER(TRIM(AP68))=IFERROR(INDEX(Key!$C$2:$C$263,MATCH($D68*100+30,Key!$G$2:$G$263,0)),"#"),1,0))</f>
        <v/>
      </c>
    </row>
    <row r="69">
      <c r="A69" s="6" t="n"/>
      <c r="B69" s="6" t="n"/>
      <c r="C69" s="6" t="n"/>
      <c r="D69" s="6" t="n"/>
      <c r="E69" s="7">
        <f>IF($D69="","",IFERROR(INDEX(Papers!$B$2:$B$12,MATCH($D69,Papers!$A$2:$A$12,0)),"?"))</f>
        <v/>
      </c>
      <c r="F69" s="7">
        <f>IF($D69="","",IFERROR(INDEX(Papers!$C$2:$C$12,MATCH($D69,Papers!$A$2:$A$12,0)),0))</f>
        <v/>
      </c>
      <c r="G69" s="7">
        <f>IF($D69="","",COUNTIF(M69:AP69,"?*"))</f>
        <v/>
      </c>
      <c r="H69" s="7">
        <f>IF($D69="","",SUM(AR69:BU69))</f>
        <v/>
      </c>
      <c r="I69" s="7">
        <f>IF($D69="","",G69-H69)</f>
        <v/>
      </c>
      <c r="J69" s="7">
        <f>IF($D69="","",F69-G69)</f>
        <v/>
      </c>
      <c r="K69" s="7">
        <f>IF($D69="","",H69)</f>
        <v/>
      </c>
      <c r="L69" s="7">
        <f>IF($D69="","",IF(F69=0,"",ROUND(H69/F69*100,1)))</f>
        <v/>
      </c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R69">
        <f>IF(OR($D69="",M69="",1&gt;$F69),0,IF(UPPER(TRIM(M69))=IFERROR(INDEX(Key!$C$2:$C$263,MATCH($D69*100+1,Key!$G$2:$G$263,0)),"#"),1,0))</f>
        <v/>
      </c>
      <c r="AS69">
        <f>IF(OR($D69="",N69="",2&gt;$F69),0,IF(UPPER(TRIM(N69))=IFERROR(INDEX(Key!$C$2:$C$263,MATCH($D69*100+2,Key!$G$2:$G$263,0)),"#"),1,0))</f>
        <v/>
      </c>
      <c r="AT69">
        <f>IF(OR($D69="",O69="",3&gt;$F69),0,IF(UPPER(TRIM(O69))=IFERROR(INDEX(Key!$C$2:$C$263,MATCH($D69*100+3,Key!$G$2:$G$263,0)),"#"),1,0))</f>
        <v/>
      </c>
      <c r="AU69">
        <f>IF(OR($D69="",P69="",4&gt;$F69),0,IF(UPPER(TRIM(P69))=IFERROR(INDEX(Key!$C$2:$C$263,MATCH($D69*100+4,Key!$G$2:$G$263,0)),"#"),1,0))</f>
        <v/>
      </c>
      <c r="AV69">
        <f>IF(OR($D69="",Q69="",5&gt;$F69),0,IF(UPPER(TRIM(Q69))=IFERROR(INDEX(Key!$C$2:$C$263,MATCH($D69*100+5,Key!$G$2:$G$263,0)),"#"),1,0))</f>
        <v/>
      </c>
      <c r="AW69">
        <f>IF(OR($D69="",R69="",6&gt;$F69),0,IF(UPPER(TRIM(R69))=IFERROR(INDEX(Key!$C$2:$C$263,MATCH($D69*100+6,Key!$G$2:$G$263,0)),"#"),1,0))</f>
        <v/>
      </c>
      <c r="AX69">
        <f>IF(OR($D69="",S69="",7&gt;$F69),0,IF(UPPER(TRIM(S69))=IFERROR(INDEX(Key!$C$2:$C$263,MATCH($D69*100+7,Key!$G$2:$G$263,0)),"#"),1,0))</f>
        <v/>
      </c>
      <c r="AY69">
        <f>IF(OR($D69="",T69="",8&gt;$F69),0,IF(UPPER(TRIM(T69))=IFERROR(INDEX(Key!$C$2:$C$263,MATCH($D69*100+8,Key!$G$2:$G$263,0)),"#"),1,0))</f>
        <v/>
      </c>
      <c r="AZ69">
        <f>IF(OR($D69="",U69="",9&gt;$F69),0,IF(UPPER(TRIM(U69))=IFERROR(INDEX(Key!$C$2:$C$263,MATCH($D69*100+9,Key!$G$2:$G$263,0)),"#"),1,0))</f>
        <v/>
      </c>
      <c r="BA69">
        <f>IF(OR($D69="",V69="",10&gt;$F69),0,IF(UPPER(TRIM(V69))=IFERROR(INDEX(Key!$C$2:$C$263,MATCH($D69*100+10,Key!$G$2:$G$263,0)),"#"),1,0))</f>
        <v/>
      </c>
      <c r="BB69">
        <f>IF(OR($D69="",W69="",11&gt;$F69),0,IF(UPPER(TRIM(W69))=IFERROR(INDEX(Key!$C$2:$C$263,MATCH($D69*100+11,Key!$G$2:$G$263,0)),"#"),1,0))</f>
        <v/>
      </c>
      <c r="BC69">
        <f>IF(OR($D69="",X69="",12&gt;$F69),0,IF(UPPER(TRIM(X69))=IFERROR(INDEX(Key!$C$2:$C$263,MATCH($D69*100+12,Key!$G$2:$G$263,0)),"#"),1,0))</f>
        <v/>
      </c>
      <c r="BD69">
        <f>IF(OR($D69="",Y69="",13&gt;$F69),0,IF(UPPER(TRIM(Y69))=IFERROR(INDEX(Key!$C$2:$C$263,MATCH($D69*100+13,Key!$G$2:$G$263,0)),"#"),1,0))</f>
        <v/>
      </c>
      <c r="BE69">
        <f>IF(OR($D69="",Z69="",14&gt;$F69),0,IF(UPPER(TRIM(Z69))=IFERROR(INDEX(Key!$C$2:$C$263,MATCH($D69*100+14,Key!$G$2:$G$263,0)),"#"),1,0))</f>
        <v/>
      </c>
      <c r="BF69">
        <f>IF(OR($D69="",AA69="",15&gt;$F69),0,IF(UPPER(TRIM(AA69))=IFERROR(INDEX(Key!$C$2:$C$263,MATCH($D69*100+15,Key!$G$2:$G$263,0)),"#"),1,0))</f>
        <v/>
      </c>
      <c r="BG69">
        <f>IF(OR($D69="",AB69="",16&gt;$F69),0,IF(UPPER(TRIM(AB69))=IFERROR(INDEX(Key!$C$2:$C$263,MATCH($D69*100+16,Key!$G$2:$G$263,0)),"#"),1,0))</f>
        <v/>
      </c>
      <c r="BH69">
        <f>IF(OR($D69="",AC69="",17&gt;$F69),0,IF(UPPER(TRIM(AC69))=IFERROR(INDEX(Key!$C$2:$C$263,MATCH($D69*100+17,Key!$G$2:$G$263,0)),"#"),1,0))</f>
        <v/>
      </c>
      <c r="BI69">
        <f>IF(OR($D69="",AD69="",18&gt;$F69),0,IF(UPPER(TRIM(AD69))=IFERROR(INDEX(Key!$C$2:$C$263,MATCH($D69*100+18,Key!$G$2:$G$263,0)),"#"),1,0))</f>
        <v/>
      </c>
      <c r="BJ69">
        <f>IF(OR($D69="",AE69="",19&gt;$F69),0,IF(UPPER(TRIM(AE69))=IFERROR(INDEX(Key!$C$2:$C$263,MATCH($D69*100+19,Key!$G$2:$G$263,0)),"#"),1,0))</f>
        <v/>
      </c>
      <c r="BK69">
        <f>IF(OR($D69="",AF69="",20&gt;$F69),0,IF(UPPER(TRIM(AF69))=IFERROR(INDEX(Key!$C$2:$C$263,MATCH($D69*100+20,Key!$G$2:$G$263,0)),"#"),1,0))</f>
        <v/>
      </c>
      <c r="BL69">
        <f>IF(OR($D69="",AG69="",21&gt;$F69),0,IF(UPPER(TRIM(AG69))=IFERROR(INDEX(Key!$C$2:$C$263,MATCH($D69*100+21,Key!$G$2:$G$263,0)),"#"),1,0))</f>
        <v/>
      </c>
      <c r="BM69">
        <f>IF(OR($D69="",AH69="",22&gt;$F69),0,IF(UPPER(TRIM(AH69))=IFERROR(INDEX(Key!$C$2:$C$263,MATCH($D69*100+22,Key!$G$2:$G$263,0)),"#"),1,0))</f>
        <v/>
      </c>
      <c r="BN69">
        <f>IF(OR($D69="",AI69="",23&gt;$F69),0,IF(UPPER(TRIM(AI69))=IFERROR(INDEX(Key!$C$2:$C$263,MATCH($D69*100+23,Key!$G$2:$G$263,0)),"#"),1,0))</f>
        <v/>
      </c>
      <c r="BO69">
        <f>IF(OR($D69="",AJ69="",24&gt;$F69),0,IF(UPPER(TRIM(AJ69))=IFERROR(INDEX(Key!$C$2:$C$263,MATCH($D69*100+24,Key!$G$2:$G$263,0)),"#"),1,0))</f>
        <v/>
      </c>
      <c r="BP69">
        <f>IF(OR($D69="",AK69="",25&gt;$F69),0,IF(UPPER(TRIM(AK69))=IFERROR(INDEX(Key!$C$2:$C$263,MATCH($D69*100+25,Key!$G$2:$G$263,0)),"#"),1,0))</f>
        <v/>
      </c>
      <c r="BQ69">
        <f>IF(OR($D69="",AL69="",26&gt;$F69),0,IF(UPPER(TRIM(AL69))=IFERROR(INDEX(Key!$C$2:$C$263,MATCH($D69*100+26,Key!$G$2:$G$263,0)),"#"),1,0))</f>
        <v/>
      </c>
      <c r="BR69">
        <f>IF(OR($D69="",AM69="",27&gt;$F69),0,IF(UPPER(TRIM(AM69))=IFERROR(INDEX(Key!$C$2:$C$263,MATCH($D69*100+27,Key!$G$2:$G$263,0)),"#"),1,0))</f>
        <v/>
      </c>
      <c r="BS69">
        <f>IF(OR($D69="",AN69="",28&gt;$F69),0,IF(UPPER(TRIM(AN69))=IFERROR(INDEX(Key!$C$2:$C$263,MATCH($D69*100+28,Key!$G$2:$G$263,0)),"#"),1,0))</f>
        <v/>
      </c>
      <c r="BT69">
        <f>IF(OR($D69="",AO69="",29&gt;$F69),0,IF(UPPER(TRIM(AO69))=IFERROR(INDEX(Key!$C$2:$C$263,MATCH($D69*100+29,Key!$G$2:$G$263,0)),"#"),1,0))</f>
        <v/>
      </c>
      <c r="BU69">
        <f>IF(OR($D69="",AP69="",30&gt;$F69),0,IF(UPPER(TRIM(AP69))=IFERROR(INDEX(Key!$C$2:$C$263,MATCH($D69*100+30,Key!$G$2:$G$263,0)),"#"),1,0))</f>
        <v/>
      </c>
    </row>
    <row r="70">
      <c r="A70" s="6" t="n"/>
      <c r="B70" s="6" t="n"/>
      <c r="C70" s="6" t="n"/>
      <c r="D70" s="6" t="n"/>
      <c r="E70" s="7">
        <f>IF($D70="","",IFERROR(INDEX(Papers!$B$2:$B$12,MATCH($D70,Papers!$A$2:$A$12,0)),"?"))</f>
        <v/>
      </c>
      <c r="F70" s="7">
        <f>IF($D70="","",IFERROR(INDEX(Papers!$C$2:$C$12,MATCH($D70,Papers!$A$2:$A$12,0)),0))</f>
        <v/>
      </c>
      <c r="G70" s="7">
        <f>IF($D70="","",COUNTIF(M70:AP70,"?*"))</f>
        <v/>
      </c>
      <c r="H70" s="7">
        <f>IF($D70="","",SUM(AR70:BU70))</f>
        <v/>
      </c>
      <c r="I70" s="7">
        <f>IF($D70="","",G70-H70)</f>
        <v/>
      </c>
      <c r="J70" s="7">
        <f>IF($D70="","",F70-G70)</f>
        <v/>
      </c>
      <c r="K70" s="7">
        <f>IF($D70="","",H70)</f>
        <v/>
      </c>
      <c r="L70" s="7">
        <f>IF($D70="","",IF(F70=0,"",ROUND(H70/F70*100,1)))</f>
        <v/>
      </c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R70">
        <f>IF(OR($D70="",M70="",1&gt;$F70),0,IF(UPPER(TRIM(M70))=IFERROR(INDEX(Key!$C$2:$C$263,MATCH($D70*100+1,Key!$G$2:$G$263,0)),"#"),1,0))</f>
        <v/>
      </c>
      <c r="AS70">
        <f>IF(OR($D70="",N70="",2&gt;$F70),0,IF(UPPER(TRIM(N70))=IFERROR(INDEX(Key!$C$2:$C$263,MATCH($D70*100+2,Key!$G$2:$G$263,0)),"#"),1,0))</f>
        <v/>
      </c>
      <c r="AT70">
        <f>IF(OR($D70="",O70="",3&gt;$F70),0,IF(UPPER(TRIM(O70))=IFERROR(INDEX(Key!$C$2:$C$263,MATCH($D70*100+3,Key!$G$2:$G$263,0)),"#"),1,0))</f>
        <v/>
      </c>
      <c r="AU70">
        <f>IF(OR($D70="",P70="",4&gt;$F70),0,IF(UPPER(TRIM(P70))=IFERROR(INDEX(Key!$C$2:$C$263,MATCH($D70*100+4,Key!$G$2:$G$263,0)),"#"),1,0))</f>
        <v/>
      </c>
      <c r="AV70">
        <f>IF(OR($D70="",Q70="",5&gt;$F70),0,IF(UPPER(TRIM(Q70))=IFERROR(INDEX(Key!$C$2:$C$263,MATCH($D70*100+5,Key!$G$2:$G$263,0)),"#"),1,0))</f>
        <v/>
      </c>
      <c r="AW70">
        <f>IF(OR($D70="",R70="",6&gt;$F70),0,IF(UPPER(TRIM(R70))=IFERROR(INDEX(Key!$C$2:$C$263,MATCH($D70*100+6,Key!$G$2:$G$263,0)),"#"),1,0))</f>
        <v/>
      </c>
      <c r="AX70">
        <f>IF(OR($D70="",S70="",7&gt;$F70),0,IF(UPPER(TRIM(S70))=IFERROR(INDEX(Key!$C$2:$C$263,MATCH($D70*100+7,Key!$G$2:$G$263,0)),"#"),1,0))</f>
        <v/>
      </c>
      <c r="AY70">
        <f>IF(OR($D70="",T70="",8&gt;$F70),0,IF(UPPER(TRIM(T70))=IFERROR(INDEX(Key!$C$2:$C$263,MATCH($D70*100+8,Key!$G$2:$G$263,0)),"#"),1,0))</f>
        <v/>
      </c>
      <c r="AZ70">
        <f>IF(OR($D70="",U70="",9&gt;$F70),0,IF(UPPER(TRIM(U70))=IFERROR(INDEX(Key!$C$2:$C$263,MATCH($D70*100+9,Key!$G$2:$G$263,0)),"#"),1,0))</f>
        <v/>
      </c>
      <c r="BA70">
        <f>IF(OR($D70="",V70="",10&gt;$F70),0,IF(UPPER(TRIM(V70))=IFERROR(INDEX(Key!$C$2:$C$263,MATCH($D70*100+10,Key!$G$2:$G$263,0)),"#"),1,0))</f>
        <v/>
      </c>
      <c r="BB70">
        <f>IF(OR($D70="",W70="",11&gt;$F70),0,IF(UPPER(TRIM(W70))=IFERROR(INDEX(Key!$C$2:$C$263,MATCH($D70*100+11,Key!$G$2:$G$263,0)),"#"),1,0))</f>
        <v/>
      </c>
      <c r="BC70">
        <f>IF(OR($D70="",X70="",12&gt;$F70),0,IF(UPPER(TRIM(X70))=IFERROR(INDEX(Key!$C$2:$C$263,MATCH($D70*100+12,Key!$G$2:$G$263,0)),"#"),1,0))</f>
        <v/>
      </c>
      <c r="BD70">
        <f>IF(OR($D70="",Y70="",13&gt;$F70),0,IF(UPPER(TRIM(Y70))=IFERROR(INDEX(Key!$C$2:$C$263,MATCH($D70*100+13,Key!$G$2:$G$263,0)),"#"),1,0))</f>
        <v/>
      </c>
      <c r="BE70">
        <f>IF(OR($D70="",Z70="",14&gt;$F70),0,IF(UPPER(TRIM(Z70))=IFERROR(INDEX(Key!$C$2:$C$263,MATCH($D70*100+14,Key!$G$2:$G$263,0)),"#"),1,0))</f>
        <v/>
      </c>
      <c r="BF70">
        <f>IF(OR($D70="",AA70="",15&gt;$F70),0,IF(UPPER(TRIM(AA70))=IFERROR(INDEX(Key!$C$2:$C$263,MATCH($D70*100+15,Key!$G$2:$G$263,0)),"#"),1,0))</f>
        <v/>
      </c>
      <c r="BG70">
        <f>IF(OR($D70="",AB70="",16&gt;$F70),0,IF(UPPER(TRIM(AB70))=IFERROR(INDEX(Key!$C$2:$C$263,MATCH($D70*100+16,Key!$G$2:$G$263,0)),"#"),1,0))</f>
        <v/>
      </c>
      <c r="BH70">
        <f>IF(OR($D70="",AC70="",17&gt;$F70),0,IF(UPPER(TRIM(AC70))=IFERROR(INDEX(Key!$C$2:$C$263,MATCH($D70*100+17,Key!$G$2:$G$263,0)),"#"),1,0))</f>
        <v/>
      </c>
      <c r="BI70">
        <f>IF(OR($D70="",AD70="",18&gt;$F70),0,IF(UPPER(TRIM(AD70))=IFERROR(INDEX(Key!$C$2:$C$263,MATCH($D70*100+18,Key!$G$2:$G$263,0)),"#"),1,0))</f>
        <v/>
      </c>
      <c r="BJ70">
        <f>IF(OR($D70="",AE70="",19&gt;$F70),0,IF(UPPER(TRIM(AE70))=IFERROR(INDEX(Key!$C$2:$C$263,MATCH($D70*100+19,Key!$G$2:$G$263,0)),"#"),1,0))</f>
        <v/>
      </c>
      <c r="BK70">
        <f>IF(OR($D70="",AF70="",20&gt;$F70),0,IF(UPPER(TRIM(AF70))=IFERROR(INDEX(Key!$C$2:$C$263,MATCH($D70*100+20,Key!$G$2:$G$263,0)),"#"),1,0))</f>
        <v/>
      </c>
      <c r="BL70">
        <f>IF(OR($D70="",AG70="",21&gt;$F70),0,IF(UPPER(TRIM(AG70))=IFERROR(INDEX(Key!$C$2:$C$263,MATCH($D70*100+21,Key!$G$2:$G$263,0)),"#"),1,0))</f>
        <v/>
      </c>
      <c r="BM70">
        <f>IF(OR($D70="",AH70="",22&gt;$F70),0,IF(UPPER(TRIM(AH70))=IFERROR(INDEX(Key!$C$2:$C$263,MATCH($D70*100+22,Key!$G$2:$G$263,0)),"#"),1,0))</f>
        <v/>
      </c>
      <c r="BN70">
        <f>IF(OR($D70="",AI70="",23&gt;$F70),0,IF(UPPER(TRIM(AI70))=IFERROR(INDEX(Key!$C$2:$C$263,MATCH($D70*100+23,Key!$G$2:$G$263,0)),"#"),1,0))</f>
        <v/>
      </c>
      <c r="BO70">
        <f>IF(OR($D70="",AJ70="",24&gt;$F70),0,IF(UPPER(TRIM(AJ70))=IFERROR(INDEX(Key!$C$2:$C$263,MATCH($D70*100+24,Key!$G$2:$G$263,0)),"#"),1,0))</f>
        <v/>
      </c>
      <c r="BP70">
        <f>IF(OR($D70="",AK70="",25&gt;$F70),0,IF(UPPER(TRIM(AK70))=IFERROR(INDEX(Key!$C$2:$C$263,MATCH($D70*100+25,Key!$G$2:$G$263,0)),"#"),1,0))</f>
        <v/>
      </c>
      <c r="BQ70">
        <f>IF(OR($D70="",AL70="",26&gt;$F70),0,IF(UPPER(TRIM(AL70))=IFERROR(INDEX(Key!$C$2:$C$263,MATCH($D70*100+26,Key!$G$2:$G$263,0)),"#"),1,0))</f>
        <v/>
      </c>
      <c r="BR70">
        <f>IF(OR($D70="",AM70="",27&gt;$F70),0,IF(UPPER(TRIM(AM70))=IFERROR(INDEX(Key!$C$2:$C$263,MATCH($D70*100+27,Key!$G$2:$G$263,0)),"#"),1,0))</f>
        <v/>
      </c>
      <c r="BS70">
        <f>IF(OR($D70="",AN70="",28&gt;$F70),0,IF(UPPER(TRIM(AN70))=IFERROR(INDEX(Key!$C$2:$C$263,MATCH($D70*100+28,Key!$G$2:$G$263,0)),"#"),1,0))</f>
        <v/>
      </c>
      <c r="BT70">
        <f>IF(OR($D70="",AO70="",29&gt;$F70),0,IF(UPPER(TRIM(AO70))=IFERROR(INDEX(Key!$C$2:$C$263,MATCH($D70*100+29,Key!$G$2:$G$263,0)),"#"),1,0))</f>
        <v/>
      </c>
      <c r="BU70">
        <f>IF(OR($D70="",AP70="",30&gt;$F70),0,IF(UPPER(TRIM(AP70))=IFERROR(INDEX(Key!$C$2:$C$263,MATCH($D70*100+30,Key!$G$2:$G$263,0)),"#"),1,0))</f>
        <v/>
      </c>
    </row>
    <row r="71">
      <c r="A71" s="6" t="n"/>
      <c r="B71" s="6" t="n"/>
      <c r="C71" s="6" t="n"/>
      <c r="D71" s="6" t="n"/>
      <c r="E71" s="7">
        <f>IF($D71="","",IFERROR(INDEX(Papers!$B$2:$B$12,MATCH($D71,Papers!$A$2:$A$12,0)),"?"))</f>
        <v/>
      </c>
      <c r="F71" s="7">
        <f>IF($D71="","",IFERROR(INDEX(Papers!$C$2:$C$12,MATCH($D71,Papers!$A$2:$A$12,0)),0))</f>
        <v/>
      </c>
      <c r="G71" s="7">
        <f>IF($D71="","",COUNTIF(M71:AP71,"?*"))</f>
        <v/>
      </c>
      <c r="H71" s="7">
        <f>IF($D71="","",SUM(AR71:BU71))</f>
        <v/>
      </c>
      <c r="I71" s="7">
        <f>IF($D71="","",G71-H71)</f>
        <v/>
      </c>
      <c r="J71" s="7">
        <f>IF($D71="","",F71-G71)</f>
        <v/>
      </c>
      <c r="K71" s="7">
        <f>IF($D71="","",H71)</f>
        <v/>
      </c>
      <c r="L71" s="7">
        <f>IF($D71="","",IF(F71=0,"",ROUND(H71/F71*100,1)))</f>
        <v/>
      </c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R71">
        <f>IF(OR($D71="",M71="",1&gt;$F71),0,IF(UPPER(TRIM(M71))=IFERROR(INDEX(Key!$C$2:$C$263,MATCH($D71*100+1,Key!$G$2:$G$263,0)),"#"),1,0))</f>
        <v/>
      </c>
      <c r="AS71">
        <f>IF(OR($D71="",N71="",2&gt;$F71),0,IF(UPPER(TRIM(N71))=IFERROR(INDEX(Key!$C$2:$C$263,MATCH($D71*100+2,Key!$G$2:$G$263,0)),"#"),1,0))</f>
        <v/>
      </c>
      <c r="AT71">
        <f>IF(OR($D71="",O71="",3&gt;$F71),0,IF(UPPER(TRIM(O71))=IFERROR(INDEX(Key!$C$2:$C$263,MATCH($D71*100+3,Key!$G$2:$G$263,0)),"#"),1,0))</f>
        <v/>
      </c>
      <c r="AU71">
        <f>IF(OR($D71="",P71="",4&gt;$F71),0,IF(UPPER(TRIM(P71))=IFERROR(INDEX(Key!$C$2:$C$263,MATCH($D71*100+4,Key!$G$2:$G$263,0)),"#"),1,0))</f>
        <v/>
      </c>
      <c r="AV71">
        <f>IF(OR($D71="",Q71="",5&gt;$F71),0,IF(UPPER(TRIM(Q71))=IFERROR(INDEX(Key!$C$2:$C$263,MATCH($D71*100+5,Key!$G$2:$G$263,0)),"#"),1,0))</f>
        <v/>
      </c>
      <c r="AW71">
        <f>IF(OR($D71="",R71="",6&gt;$F71),0,IF(UPPER(TRIM(R71))=IFERROR(INDEX(Key!$C$2:$C$263,MATCH($D71*100+6,Key!$G$2:$G$263,0)),"#"),1,0))</f>
        <v/>
      </c>
      <c r="AX71">
        <f>IF(OR($D71="",S71="",7&gt;$F71),0,IF(UPPER(TRIM(S71))=IFERROR(INDEX(Key!$C$2:$C$263,MATCH($D71*100+7,Key!$G$2:$G$263,0)),"#"),1,0))</f>
        <v/>
      </c>
      <c r="AY71">
        <f>IF(OR($D71="",T71="",8&gt;$F71),0,IF(UPPER(TRIM(T71))=IFERROR(INDEX(Key!$C$2:$C$263,MATCH($D71*100+8,Key!$G$2:$G$263,0)),"#"),1,0))</f>
        <v/>
      </c>
      <c r="AZ71">
        <f>IF(OR($D71="",U71="",9&gt;$F71),0,IF(UPPER(TRIM(U71))=IFERROR(INDEX(Key!$C$2:$C$263,MATCH($D71*100+9,Key!$G$2:$G$263,0)),"#"),1,0))</f>
        <v/>
      </c>
      <c r="BA71">
        <f>IF(OR($D71="",V71="",10&gt;$F71),0,IF(UPPER(TRIM(V71))=IFERROR(INDEX(Key!$C$2:$C$263,MATCH($D71*100+10,Key!$G$2:$G$263,0)),"#"),1,0))</f>
        <v/>
      </c>
      <c r="BB71">
        <f>IF(OR($D71="",W71="",11&gt;$F71),0,IF(UPPER(TRIM(W71))=IFERROR(INDEX(Key!$C$2:$C$263,MATCH($D71*100+11,Key!$G$2:$G$263,0)),"#"),1,0))</f>
        <v/>
      </c>
      <c r="BC71">
        <f>IF(OR($D71="",X71="",12&gt;$F71),0,IF(UPPER(TRIM(X71))=IFERROR(INDEX(Key!$C$2:$C$263,MATCH($D71*100+12,Key!$G$2:$G$263,0)),"#"),1,0))</f>
        <v/>
      </c>
      <c r="BD71">
        <f>IF(OR($D71="",Y71="",13&gt;$F71),0,IF(UPPER(TRIM(Y71))=IFERROR(INDEX(Key!$C$2:$C$263,MATCH($D71*100+13,Key!$G$2:$G$263,0)),"#"),1,0))</f>
        <v/>
      </c>
      <c r="BE71">
        <f>IF(OR($D71="",Z71="",14&gt;$F71),0,IF(UPPER(TRIM(Z71))=IFERROR(INDEX(Key!$C$2:$C$263,MATCH($D71*100+14,Key!$G$2:$G$263,0)),"#"),1,0))</f>
        <v/>
      </c>
      <c r="BF71">
        <f>IF(OR($D71="",AA71="",15&gt;$F71),0,IF(UPPER(TRIM(AA71))=IFERROR(INDEX(Key!$C$2:$C$263,MATCH($D71*100+15,Key!$G$2:$G$263,0)),"#"),1,0))</f>
        <v/>
      </c>
      <c r="BG71">
        <f>IF(OR($D71="",AB71="",16&gt;$F71),0,IF(UPPER(TRIM(AB71))=IFERROR(INDEX(Key!$C$2:$C$263,MATCH($D71*100+16,Key!$G$2:$G$263,0)),"#"),1,0))</f>
        <v/>
      </c>
      <c r="BH71">
        <f>IF(OR($D71="",AC71="",17&gt;$F71),0,IF(UPPER(TRIM(AC71))=IFERROR(INDEX(Key!$C$2:$C$263,MATCH($D71*100+17,Key!$G$2:$G$263,0)),"#"),1,0))</f>
        <v/>
      </c>
      <c r="BI71">
        <f>IF(OR($D71="",AD71="",18&gt;$F71),0,IF(UPPER(TRIM(AD71))=IFERROR(INDEX(Key!$C$2:$C$263,MATCH($D71*100+18,Key!$G$2:$G$263,0)),"#"),1,0))</f>
        <v/>
      </c>
      <c r="BJ71">
        <f>IF(OR($D71="",AE71="",19&gt;$F71),0,IF(UPPER(TRIM(AE71))=IFERROR(INDEX(Key!$C$2:$C$263,MATCH($D71*100+19,Key!$G$2:$G$263,0)),"#"),1,0))</f>
        <v/>
      </c>
      <c r="BK71">
        <f>IF(OR($D71="",AF71="",20&gt;$F71),0,IF(UPPER(TRIM(AF71))=IFERROR(INDEX(Key!$C$2:$C$263,MATCH($D71*100+20,Key!$G$2:$G$263,0)),"#"),1,0))</f>
        <v/>
      </c>
      <c r="BL71">
        <f>IF(OR($D71="",AG71="",21&gt;$F71),0,IF(UPPER(TRIM(AG71))=IFERROR(INDEX(Key!$C$2:$C$263,MATCH($D71*100+21,Key!$G$2:$G$263,0)),"#"),1,0))</f>
        <v/>
      </c>
      <c r="BM71">
        <f>IF(OR($D71="",AH71="",22&gt;$F71),0,IF(UPPER(TRIM(AH71))=IFERROR(INDEX(Key!$C$2:$C$263,MATCH($D71*100+22,Key!$G$2:$G$263,0)),"#"),1,0))</f>
        <v/>
      </c>
      <c r="BN71">
        <f>IF(OR($D71="",AI71="",23&gt;$F71),0,IF(UPPER(TRIM(AI71))=IFERROR(INDEX(Key!$C$2:$C$263,MATCH($D71*100+23,Key!$G$2:$G$263,0)),"#"),1,0))</f>
        <v/>
      </c>
      <c r="BO71">
        <f>IF(OR($D71="",AJ71="",24&gt;$F71),0,IF(UPPER(TRIM(AJ71))=IFERROR(INDEX(Key!$C$2:$C$263,MATCH($D71*100+24,Key!$G$2:$G$263,0)),"#"),1,0))</f>
        <v/>
      </c>
      <c r="BP71">
        <f>IF(OR($D71="",AK71="",25&gt;$F71),0,IF(UPPER(TRIM(AK71))=IFERROR(INDEX(Key!$C$2:$C$263,MATCH($D71*100+25,Key!$G$2:$G$263,0)),"#"),1,0))</f>
        <v/>
      </c>
      <c r="BQ71">
        <f>IF(OR($D71="",AL71="",26&gt;$F71),0,IF(UPPER(TRIM(AL71))=IFERROR(INDEX(Key!$C$2:$C$263,MATCH($D71*100+26,Key!$G$2:$G$263,0)),"#"),1,0))</f>
        <v/>
      </c>
      <c r="BR71">
        <f>IF(OR($D71="",AM71="",27&gt;$F71),0,IF(UPPER(TRIM(AM71))=IFERROR(INDEX(Key!$C$2:$C$263,MATCH($D71*100+27,Key!$G$2:$G$263,0)),"#"),1,0))</f>
        <v/>
      </c>
      <c r="BS71">
        <f>IF(OR($D71="",AN71="",28&gt;$F71),0,IF(UPPER(TRIM(AN71))=IFERROR(INDEX(Key!$C$2:$C$263,MATCH($D71*100+28,Key!$G$2:$G$263,0)),"#"),1,0))</f>
        <v/>
      </c>
      <c r="BT71">
        <f>IF(OR($D71="",AO71="",29&gt;$F71),0,IF(UPPER(TRIM(AO71))=IFERROR(INDEX(Key!$C$2:$C$263,MATCH($D71*100+29,Key!$G$2:$G$263,0)),"#"),1,0))</f>
        <v/>
      </c>
      <c r="BU71">
        <f>IF(OR($D71="",AP71="",30&gt;$F71),0,IF(UPPER(TRIM(AP71))=IFERROR(INDEX(Key!$C$2:$C$263,MATCH($D71*100+30,Key!$G$2:$G$263,0)),"#"),1,0))</f>
        <v/>
      </c>
    </row>
    <row r="72">
      <c r="A72" s="6" t="n"/>
      <c r="B72" s="6" t="n"/>
      <c r="C72" s="6" t="n"/>
      <c r="D72" s="6" t="n"/>
      <c r="E72" s="7">
        <f>IF($D72="","",IFERROR(INDEX(Papers!$B$2:$B$12,MATCH($D72,Papers!$A$2:$A$12,0)),"?"))</f>
        <v/>
      </c>
      <c r="F72" s="7">
        <f>IF($D72="","",IFERROR(INDEX(Papers!$C$2:$C$12,MATCH($D72,Papers!$A$2:$A$12,0)),0))</f>
        <v/>
      </c>
      <c r="G72" s="7">
        <f>IF($D72="","",COUNTIF(M72:AP72,"?*"))</f>
        <v/>
      </c>
      <c r="H72" s="7">
        <f>IF($D72="","",SUM(AR72:BU72))</f>
        <v/>
      </c>
      <c r="I72" s="7">
        <f>IF($D72="","",G72-H72)</f>
        <v/>
      </c>
      <c r="J72" s="7">
        <f>IF($D72="","",F72-G72)</f>
        <v/>
      </c>
      <c r="K72" s="7">
        <f>IF($D72="","",H72)</f>
        <v/>
      </c>
      <c r="L72" s="7">
        <f>IF($D72="","",IF(F72=0,"",ROUND(H72/F72*100,1)))</f>
        <v/>
      </c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R72">
        <f>IF(OR($D72="",M72="",1&gt;$F72),0,IF(UPPER(TRIM(M72))=IFERROR(INDEX(Key!$C$2:$C$263,MATCH($D72*100+1,Key!$G$2:$G$263,0)),"#"),1,0))</f>
        <v/>
      </c>
      <c r="AS72">
        <f>IF(OR($D72="",N72="",2&gt;$F72),0,IF(UPPER(TRIM(N72))=IFERROR(INDEX(Key!$C$2:$C$263,MATCH($D72*100+2,Key!$G$2:$G$263,0)),"#"),1,0))</f>
        <v/>
      </c>
      <c r="AT72">
        <f>IF(OR($D72="",O72="",3&gt;$F72),0,IF(UPPER(TRIM(O72))=IFERROR(INDEX(Key!$C$2:$C$263,MATCH($D72*100+3,Key!$G$2:$G$263,0)),"#"),1,0))</f>
        <v/>
      </c>
      <c r="AU72">
        <f>IF(OR($D72="",P72="",4&gt;$F72),0,IF(UPPER(TRIM(P72))=IFERROR(INDEX(Key!$C$2:$C$263,MATCH($D72*100+4,Key!$G$2:$G$263,0)),"#"),1,0))</f>
        <v/>
      </c>
      <c r="AV72">
        <f>IF(OR($D72="",Q72="",5&gt;$F72),0,IF(UPPER(TRIM(Q72))=IFERROR(INDEX(Key!$C$2:$C$263,MATCH($D72*100+5,Key!$G$2:$G$263,0)),"#"),1,0))</f>
        <v/>
      </c>
      <c r="AW72">
        <f>IF(OR($D72="",R72="",6&gt;$F72),0,IF(UPPER(TRIM(R72))=IFERROR(INDEX(Key!$C$2:$C$263,MATCH($D72*100+6,Key!$G$2:$G$263,0)),"#"),1,0))</f>
        <v/>
      </c>
      <c r="AX72">
        <f>IF(OR($D72="",S72="",7&gt;$F72),0,IF(UPPER(TRIM(S72))=IFERROR(INDEX(Key!$C$2:$C$263,MATCH($D72*100+7,Key!$G$2:$G$263,0)),"#"),1,0))</f>
        <v/>
      </c>
      <c r="AY72">
        <f>IF(OR($D72="",T72="",8&gt;$F72),0,IF(UPPER(TRIM(T72))=IFERROR(INDEX(Key!$C$2:$C$263,MATCH($D72*100+8,Key!$G$2:$G$263,0)),"#"),1,0))</f>
        <v/>
      </c>
      <c r="AZ72">
        <f>IF(OR($D72="",U72="",9&gt;$F72),0,IF(UPPER(TRIM(U72))=IFERROR(INDEX(Key!$C$2:$C$263,MATCH($D72*100+9,Key!$G$2:$G$263,0)),"#"),1,0))</f>
        <v/>
      </c>
      <c r="BA72">
        <f>IF(OR($D72="",V72="",10&gt;$F72),0,IF(UPPER(TRIM(V72))=IFERROR(INDEX(Key!$C$2:$C$263,MATCH($D72*100+10,Key!$G$2:$G$263,0)),"#"),1,0))</f>
        <v/>
      </c>
      <c r="BB72">
        <f>IF(OR($D72="",W72="",11&gt;$F72),0,IF(UPPER(TRIM(W72))=IFERROR(INDEX(Key!$C$2:$C$263,MATCH($D72*100+11,Key!$G$2:$G$263,0)),"#"),1,0))</f>
        <v/>
      </c>
      <c r="BC72">
        <f>IF(OR($D72="",X72="",12&gt;$F72),0,IF(UPPER(TRIM(X72))=IFERROR(INDEX(Key!$C$2:$C$263,MATCH($D72*100+12,Key!$G$2:$G$263,0)),"#"),1,0))</f>
        <v/>
      </c>
      <c r="BD72">
        <f>IF(OR($D72="",Y72="",13&gt;$F72),0,IF(UPPER(TRIM(Y72))=IFERROR(INDEX(Key!$C$2:$C$263,MATCH($D72*100+13,Key!$G$2:$G$263,0)),"#"),1,0))</f>
        <v/>
      </c>
      <c r="BE72">
        <f>IF(OR($D72="",Z72="",14&gt;$F72),0,IF(UPPER(TRIM(Z72))=IFERROR(INDEX(Key!$C$2:$C$263,MATCH($D72*100+14,Key!$G$2:$G$263,0)),"#"),1,0))</f>
        <v/>
      </c>
      <c r="BF72">
        <f>IF(OR($D72="",AA72="",15&gt;$F72),0,IF(UPPER(TRIM(AA72))=IFERROR(INDEX(Key!$C$2:$C$263,MATCH($D72*100+15,Key!$G$2:$G$263,0)),"#"),1,0))</f>
        <v/>
      </c>
      <c r="BG72">
        <f>IF(OR($D72="",AB72="",16&gt;$F72),0,IF(UPPER(TRIM(AB72))=IFERROR(INDEX(Key!$C$2:$C$263,MATCH($D72*100+16,Key!$G$2:$G$263,0)),"#"),1,0))</f>
        <v/>
      </c>
      <c r="BH72">
        <f>IF(OR($D72="",AC72="",17&gt;$F72),0,IF(UPPER(TRIM(AC72))=IFERROR(INDEX(Key!$C$2:$C$263,MATCH($D72*100+17,Key!$G$2:$G$263,0)),"#"),1,0))</f>
        <v/>
      </c>
      <c r="BI72">
        <f>IF(OR($D72="",AD72="",18&gt;$F72),0,IF(UPPER(TRIM(AD72))=IFERROR(INDEX(Key!$C$2:$C$263,MATCH($D72*100+18,Key!$G$2:$G$263,0)),"#"),1,0))</f>
        <v/>
      </c>
      <c r="BJ72">
        <f>IF(OR($D72="",AE72="",19&gt;$F72),0,IF(UPPER(TRIM(AE72))=IFERROR(INDEX(Key!$C$2:$C$263,MATCH($D72*100+19,Key!$G$2:$G$263,0)),"#"),1,0))</f>
        <v/>
      </c>
      <c r="BK72">
        <f>IF(OR($D72="",AF72="",20&gt;$F72),0,IF(UPPER(TRIM(AF72))=IFERROR(INDEX(Key!$C$2:$C$263,MATCH($D72*100+20,Key!$G$2:$G$263,0)),"#"),1,0))</f>
        <v/>
      </c>
      <c r="BL72">
        <f>IF(OR($D72="",AG72="",21&gt;$F72),0,IF(UPPER(TRIM(AG72))=IFERROR(INDEX(Key!$C$2:$C$263,MATCH($D72*100+21,Key!$G$2:$G$263,0)),"#"),1,0))</f>
        <v/>
      </c>
      <c r="BM72">
        <f>IF(OR($D72="",AH72="",22&gt;$F72),0,IF(UPPER(TRIM(AH72))=IFERROR(INDEX(Key!$C$2:$C$263,MATCH($D72*100+22,Key!$G$2:$G$263,0)),"#"),1,0))</f>
        <v/>
      </c>
      <c r="BN72">
        <f>IF(OR($D72="",AI72="",23&gt;$F72),0,IF(UPPER(TRIM(AI72))=IFERROR(INDEX(Key!$C$2:$C$263,MATCH($D72*100+23,Key!$G$2:$G$263,0)),"#"),1,0))</f>
        <v/>
      </c>
      <c r="BO72">
        <f>IF(OR($D72="",AJ72="",24&gt;$F72),0,IF(UPPER(TRIM(AJ72))=IFERROR(INDEX(Key!$C$2:$C$263,MATCH($D72*100+24,Key!$G$2:$G$263,0)),"#"),1,0))</f>
        <v/>
      </c>
      <c r="BP72">
        <f>IF(OR($D72="",AK72="",25&gt;$F72),0,IF(UPPER(TRIM(AK72))=IFERROR(INDEX(Key!$C$2:$C$263,MATCH($D72*100+25,Key!$G$2:$G$263,0)),"#"),1,0))</f>
        <v/>
      </c>
      <c r="BQ72">
        <f>IF(OR($D72="",AL72="",26&gt;$F72),0,IF(UPPER(TRIM(AL72))=IFERROR(INDEX(Key!$C$2:$C$263,MATCH($D72*100+26,Key!$G$2:$G$263,0)),"#"),1,0))</f>
        <v/>
      </c>
      <c r="BR72">
        <f>IF(OR($D72="",AM72="",27&gt;$F72),0,IF(UPPER(TRIM(AM72))=IFERROR(INDEX(Key!$C$2:$C$263,MATCH($D72*100+27,Key!$G$2:$G$263,0)),"#"),1,0))</f>
        <v/>
      </c>
      <c r="BS72">
        <f>IF(OR($D72="",AN72="",28&gt;$F72),0,IF(UPPER(TRIM(AN72))=IFERROR(INDEX(Key!$C$2:$C$263,MATCH($D72*100+28,Key!$G$2:$G$263,0)),"#"),1,0))</f>
        <v/>
      </c>
      <c r="BT72">
        <f>IF(OR($D72="",AO72="",29&gt;$F72),0,IF(UPPER(TRIM(AO72))=IFERROR(INDEX(Key!$C$2:$C$263,MATCH($D72*100+29,Key!$G$2:$G$263,0)),"#"),1,0))</f>
        <v/>
      </c>
      <c r="BU72">
        <f>IF(OR($D72="",AP72="",30&gt;$F72),0,IF(UPPER(TRIM(AP72))=IFERROR(INDEX(Key!$C$2:$C$263,MATCH($D72*100+30,Key!$G$2:$G$263,0)),"#"),1,0))</f>
        <v/>
      </c>
    </row>
    <row r="73">
      <c r="A73" s="6" t="n"/>
      <c r="B73" s="6" t="n"/>
      <c r="C73" s="6" t="n"/>
      <c r="D73" s="6" t="n"/>
      <c r="E73" s="7">
        <f>IF($D73="","",IFERROR(INDEX(Papers!$B$2:$B$12,MATCH($D73,Papers!$A$2:$A$12,0)),"?"))</f>
        <v/>
      </c>
      <c r="F73" s="7">
        <f>IF($D73="","",IFERROR(INDEX(Papers!$C$2:$C$12,MATCH($D73,Papers!$A$2:$A$12,0)),0))</f>
        <v/>
      </c>
      <c r="G73" s="7">
        <f>IF($D73="","",COUNTIF(M73:AP73,"?*"))</f>
        <v/>
      </c>
      <c r="H73" s="7">
        <f>IF($D73="","",SUM(AR73:BU73))</f>
        <v/>
      </c>
      <c r="I73" s="7">
        <f>IF($D73="","",G73-H73)</f>
        <v/>
      </c>
      <c r="J73" s="7">
        <f>IF($D73="","",F73-G73)</f>
        <v/>
      </c>
      <c r="K73" s="7">
        <f>IF($D73="","",H73)</f>
        <v/>
      </c>
      <c r="L73" s="7">
        <f>IF($D73="","",IF(F73=0,"",ROUND(H73/F73*100,1)))</f>
        <v/>
      </c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R73">
        <f>IF(OR($D73="",M73="",1&gt;$F73),0,IF(UPPER(TRIM(M73))=IFERROR(INDEX(Key!$C$2:$C$263,MATCH($D73*100+1,Key!$G$2:$G$263,0)),"#"),1,0))</f>
        <v/>
      </c>
      <c r="AS73">
        <f>IF(OR($D73="",N73="",2&gt;$F73),0,IF(UPPER(TRIM(N73))=IFERROR(INDEX(Key!$C$2:$C$263,MATCH($D73*100+2,Key!$G$2:$G$263,0)),"#"),1,0))</f>
        <v/>
      </c>
      <c r="AT73">
        <f>IF(OR($D73="",O73="",3&gt;$F73),0,IF(UPPER(TRIM(O73))=IFERROR(INDEX(Key!$C$2:$C$263,MATCH($D73*100+3,Key!$G$2:$G$263,0)),"#"),1,0))</f>
        <v/>
      </c>
      <c r="AU73">
        <f>IF(OR($D73="",P73="",4&gt;$F73),0,IF(UPPER(TRIM(P73))=IFERROR(INDEX(Key!$C$2:$C$263,MATCH($D73*100+4,Key!$G$2:$G$263,0)),"#"),1,0))</f>
        <v/>
      </c>
      <c r="AV73">
        <f>IF(OR($D73="",Q73="",5&gt;$F73),0,IF(UPPER(TRIM(Q73))=IFERROR(INDEX(Key!$C$2:$C$263,MATCH($D73*100+5,Key!$G$2:$G$263,0)),"#"),1,0))</f>
        <v/>
      </c>
      <c r="AW73">
        <f>IF(OR($D73="",R73="",6&gt;$F73),0,IF(UPPER(TRIM(R73))=IFERROR(INDEX(Key!$C$2:$C$263,MATCH($D73*100+6,Key!$G$2:$G$263,0)),"#"),1,0))</f>
        <v/>
      </c>
      <c r="AX73">
        <f>IF(OR($D73="",S73="",7&gt;$F73),0,IF(UPPER(TRIM(S73))=IFERROR(INDEX(Key!$C$2:$C$263,MATCH($D73*100+7,Key!$G$2:$G$263,0)),"#"),1,0))</f>
        <v/>
      </c>
      <c r="AY73">
        <f>IF(OR($D73="",T73="",8&gt;$F73),0,IF(UPPER(TRIM(T73))=IFERROR(INDEX(Key!$C$2:$C$263,MATCH($D73*100+8,Key!$G$2:$G$263,0)),"#"),1,0))</f>
        <v/>
      </c>
      <c r="AZ73">
        <f>IF(OR($D73="",U73="",9&gt;$F73),0,IF(UPPER(TRIM(U73))=IFERROR(INDEX(Key!$C$2:$C$263,MATCH($D73*100+9,Key!$G$2:$G$263,0)),"#"),1,0))</f>
        <v/>
      </c>
      <c r="BA73">
        <f>IF(OR($D73="",V73="",10&gt;$F73),0,IF(UPPER(TRIM(V73))=IFERROR(INDEX(Key!$C$2:$C$263,MATCH($D73*100+10,Key!$G$2:$G$263,0)),"#"),1,0))</f>
        <v/>
      </c>
      <c r="BB73">
        <f>IF(OR($D73="",W73="",11&gt;$F73),0,IF(UPPER(TRIM(W73))=IFERROR(INDEX(Key!$C$2:$C$263,MATCH($D73*100+11,Key!$G$2:$G$263,0)),"#"),1,0))</f>
        <v/>
      </c>
      <c r="BC73">
        <f>IF(OR($D73="",X73="",12&gt;$F73),0,IF(UPPER(TRIM(X73))=IFERROR(INDEX(Key!$C$2:$C$263,MATCH($D73*100+12,Key!$G$2:$G$263,0)),"#"),1,0))</f>
        <v/>
      </c>
      <c r="BD73">
        <f>IF(OR($D73="",Y73="",13&gt;$F73),0,IF(UPPER(TRIM(Y73))=IFERROR(INDEX(Key!$C$2:$C$263,MATCH($D73*100+13,Key!$G$2:$G$263,0)),"#"),1,0))</f>
        <v/>
      </c>
      <c r="BE73">
        <f>IF(OR($D73="",Z73="",14&gt;$F73),0,IF(UPPER(TRIM(Z73))=IFERROR(INDEX(Key!$C$2:$C$263,MATCH($D73*100+14,Key!$G$2:$G$263,0)),"#"),1,0))</f>
        <v/>
      </c>
      <c r="BF73">
        <f>IF(OR($D73="",AA73="",15&gt;$F73),0,IF(UPPER(TRIM(AA73))=IFERROR(INDEX(Key!$C$2:$C$263,MATCH($D73*100+15,Key!$G$2:$G$263,0)),"#"),1,0))</f>
        <v/>
      </c>
      <c r="BG73">
        <f>IF(OR($D73="",AB73="",16&gt;$F73),0,IF(UPPER(TRIM(AB73))=IFERROR(INDEX(Key!$C$2:$C$263,MATCH($D73*100+16,Key!$G$2:$G$263,0)),"#"),1,0))</f>
        <v/>
      </c>
      <c r="BH73">
        <f>IF(OR($D73="",AC73="",17&gt;$F73),0,IF(UPPER(TRIM(AC73))=IFERROR(INDEX(Key!$C$2:$C$263,MATCH($D73*100+17,Key!$G$2:$G$263,0)),"#"),1,0))</f>
        <v/>
      </c>
      <c r="BI73">
        <f>IF(OR($D73="",AD73="",18&gt;$F73),0,IF(UPPER(TRIM(AD73))=IFERROR(INDEX(Key!$C$2:$C$263,MATCH($D73*100+18,Key!$G$2:$G$263,0)),"#"),1,0))</f>
        <v/>
      </c>
      <c r="BJ73">
        <f>IF(OR($D73="",AE73="",19&gt;$F73),0,IF(UPPER(TRIM(AE73))=IFERROR(INDEX(Key!$C$2:$C$263,MATCH($D73*100+19,Key!$G$2:$G$263,0)),"#"),1,0))</f>
        <v/>
      </c>
      <c r="BK73">
        <f>IF(OR($D73="",AF73="",20&gt;$F73),0,IF(UPPER(TRIM(AF73))=IFERROR(INDEX(Key!$C$2:$C$263,MATCH($D73*100+20,Key!$G$2:$G$263,0)),"#"),1,0))</f>
        <v/>
      </c>
      <c r="BL73">
        <f>IF(OR($D73="",AG73="",21&gt;$F73),0,IF(UPPER(TRIM(AG73))=IFERROR(INDEX(Key!$C$2:$C$263,MATCH($D73*100+21,Key!$G$2:$G$263,0)),"#"),1,0))</f>
        <v/>
      </c>
      <c r="BM73">
        <f>IF(OR($D73="",AH73="",22&gt;$F73),0,IF(UPPER(TRIM(AH73))=IFERROR(INDEX(Key!$C$2:$C$263,MATCH($D73*100+22,Key!$G$2:$G$263,0)),"#"),1,0))</f>
        <v/>
      </c>
      <c r="BN73">
        <f>IF(OR($D73="",AI73="",23&gt;$F73),0,IF(UPPER(TRIM(AI73))=IFERROR(INDEX(Key!$C$2:$C$263,MATCH($D73*100+23,Key!$G$2:$G$263,0)),"#"),1,0))</f>
        <v/>
      </c>
      <c r="BO73">
        <f>IF(OR($D73="",AJ73="",24&gt;$F73),0,IF(UPPER(TRIM(AJ73))=IFERROR(INDEX(Key!$C$2:$C$263,MATCH($D73*100+24,Key!$G$2:$G$263,0)),"#"),1,0))</f>
        <v/>
      </c>
      <c r="BP73">
        <f>IF(OR($D73="",AK73="",25&gt;$F73),0,IF(UPPER(TRIM(AK73))=IFERROR(INDEX(Key!$C$2:$C$263,MATCH($D73*100+25,Key!$G$2:$G$263,0)),"#"),1,0))</f>
        <v/>
      </c>
      <c r="BQ73">
        <f>IF(OR($D73="",AL73="",26&gt;$F73),0,IF(UPPER(TRIM(AL73))=IFERROR(INDEX(Key!$C$2:$C$263,MATCH($D73*100+26,Key!$G$2:$G$263,0)),"#"),1,0))</f>
        <v/>
      </c>
      <c r="BR73">
        <f>IF(OR($D73="",AM73="",27&gt;$F73),0,IF(UPPER(TRIM(AM73))=IFERROR(INDEX(Key!$C$2:$C$263,MATCH($D73*100+27,Key!$G$2:$G$263,0)),"#"),1,0))</f>
        <v/>
      </c>
      <c r="BS73">
        <f>IF(OR($D73="",AN73="",28&gt;$F73),0,IF(UPPER(TRIM(AN73))=IFERROR(INDEX(Key!$C$2:$C$263,MATCH($D73*100+28,Key!$G$2:$G$263,0)),"#"),1,0))</f>
        <v/>
      </c>
      <c r="BT73">
        <f>IF(OR($D73="",AO73="",29&gt;$F73),0,IF(UPPER(TRIM(AO73))=IFERROR(INDEX(Key!$C$2:$C$263,MATCH($D73*100+29,Key!$G$2:$G$263,0)),"#"),1,0))</f>
        <v/>
      </c>
      <c r="BU73">
        <f>IF(OR($D73="",AP73="",30&gt;$F73),0,IF(UPPER(TRIM(AP73))=IFERROR(INDEX(Key!$C$2:$C$263,MATCH($D73*100+30,Key!$G$2:$G$263,0)),"#"),1,0))</f>
        <v/>
      </c>
    </row>
    <row r="74">
      <c r="A74" s="6" t="n"/>
      <c r="B74" s="6" t="n"/>
      <c r="C74" s="6" t="n"/>
      <c r="D74" s="6" t="n"/>
      <c r="E74" s="7">
        <f>IF($D74="","",IFERROR(INDEX(Papers!$B$2:$B$12,MATCH($D74,Papers!$A$2:$A$12,0)),"?"))</f>
        <v/>
      </c>
      <c r="F74" s="7">
        <f>IF($D74="","",IFERROR(INDEX(Papers!$C$2:$C$12,MATCH($D74,Papers!$A$2:$A$12,0)),0))</f>
        <v/>
      </c>
      <c r="G74" s="7">
        <f>IF($D74="","",COUNTIF(M74:AP74,"?*"))</f>
        <v/>
      </c>
      <c r="H74" s="7">
        <f>IF($D74="","",SUM(AR74:BU74))</f>
        <v/>
      </c>
      <c r="I74" s="7">
        <f>IF($D74="","",G74-H74)</f>
        <v/>
      </c>
      <c r="J74" s="7">
        <f>IF($D74="","",F74-G74)</f>
        <v/>
      </c>
      <c r="K74" s="7">
        <f>IF($D74="","",H74)</f>
        <v/>
      </c>
      <c r="L74" s="7">
        <f>IF($D74="","",IF(F74=0,"",ROUND(H74/F74*100,1)))</f>
        <v/>
      </c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R74">
        <f>IF(OR($D74="",M74="",1&gt;$F74),0,IF(UPPER(TRIM(M74))=IFERROR(INDEX(Key!$C$2:$C$263,MATCH($D74*100+1,Key!$G$2:$G$263,0)),"#"),1,0))</f>
        <v/>
      </c>
      <c r="AS74">
        <f>IF(OR($D74="",N74="",2&gt;$F74),0,IF(UPPER(TRIM(N74))=IFERROR(INDEX(Key!$C$2:$C$263,MATCH($D74*100+2,Key!$G$2:$G$263,0)),"#"),1,0))</f>
        <v/>
      </c>
      <c r="AT74">
        <f>IF(OR($D74="",O74="",3&gt;$F74),0,IF(UPPER(TRIM(O74))=IFERROR(INDEX(Key!$C$2:$C$263,MATCH($D74*100+3,Key!$G$2:$G$263,0)),"#"),1,0))</f>
        <v/>
      </c>
      <c r="AU74">
        <f>IF(OR($D74="",P74="",4&gt;$F74),0,IF(UPPER(TRIM(P74))=IFERROR(INDEX(Key!$C$2:$C$263,MATCH($D74*100+4,Key!$G$2:$G$263,0)),"#"),1,0))</f>
        <v/>
      </c>
      <c r="AV74">
        <f>IF(OR($D74="",Q74="",5&gt;$F74),0,IF(UPPER(TRIM(Q74))=IFERROR(INDEX(Key!$C$2:$C$263,MATCH($D74*100+5,Key!$G$2:$G$263,0)),"#"),1,0))</f>
        <v/>
      </c>
      <c r="AW74">
        <f>IF(OR($D74="",R74="",6&gt;$F74),0,IF(UPPER(TRIM(R74))=IFERROR(INDEX(Key!$C$2:$C$263,MATCH($D74*100+6,Key!$G$2:$G$263,0)),"#"),1,0))</f>
        <v/>
      </c>
      <c r="AX74">
        <f>IF(OR($D74="",S74="",7&gt;$F74),0,IF(UPPER(TRIM(S74))=IFERROR(INDEX(Key!$C$2:$C$263,MATCH($D74*100+7,Key!$G$2:$G$263,0)),"#"),1,0))</f>
        <v/>
      </c>
      <c r="AY74">
        <f>IF(OR($D74="",T74="",8&gt;$F74),0,IF(UPPER(TRIM(T74))=IFERROR(INDEX(Key!$C$2:$C$263,MATCH($D74*100+8,Key!$G$2:$G$263,0)),"#"),1,0))</f>
        <v/>
      </c>
      <c r="AZ74">
        <f>IF(OR($D74="",U74="",9&gt;$F74),0,IF(UPPER(TRIM(U74))=IFERROR(INDEX(Key!$C$2:$C$263,MATCH($D74*100+9,Key!$G$2:$G$263,0)),"#"),1,0))</f>
        <v/>
      </c>
      <c r="BA74">
        <f>IF(OR($D74="",V74="",10&gt;$F74),0,IF(UPPER(TRIM(V74))=IFERROR(INDEX(Key!$C$2:$C$263,MATCH($D74*100+10,Key!$G$2:$G$263,0)),"#"),1,0))</f>
        <v/>
      </c>
      <c r="BB74">
        <f>IF(OR($D74="",W74="",11&gt;$F74),0,IF(UPPER(TRIM(W74))=IFERROR(INDEX(Key!$C$2:$C$263,MATCH($D74*100+11,Key!$G$2:$G$263,0)),"#"),1,0))</f>
        <v/>
      </c>
      <c r="BC74">
        <f>IF(OR($D74="",X74="",12&gt;$F74),0,IF(UPPER(TRIM(X74))=IFERROR(INDEX(Key!$C$2:$C$263,MATCH($D74*100+12,Key!$G$2:$G$263,0)),"#"),1,0))</f>
        <v/>
      </c>
      <c r="BD74">
        <f>IF(OR($D74="",Y74="",13&gt;$F74),0,IF(UPPER(TRIM(Y74))=IFERROR(INDEX(Key!$C$2:$C$263,MATCH($D74*100+13,Key!$G$2:$G$263,0)),"#"),1,0))</f>
        <v/>
      </c>
      <c r="BE74">
        <f>IF(OR($D74="",Z74="",14&gt;$F74),0,IF(UPPER(TRIM(Z74))=IFERROR(INDEX(Key!$C$2:$C$263,MATCH($D74*100+14,Key!$G$2:$G$263,0)),"#"),1,0))</f>
        <v/>
      </c>
      <c r="BF74">
        <f>IF(OR($D74="",AA74="",15&gt;$F74),0,IF(UPPER(TRIM(AA74))=IFERROR(INDEX(Key!$C$2:$C$263,MATCH($D74*100+15,Key!$G$2:$G$263,0)),"#"),1,0))</f>
        <v/>
      </c>
      <c r="BG74">
        <f>IF(OR($D74="",AB74="",16&gt;$F74),0,IF(UPPER(TRIM(AB74))=IFERROR(INDEX(Key!$C$2:$C$263,MATCH($D74*100+16,Key!$G$2:$G$263,0)),"#"),1,0))</f>
        <v/>
      </c>
      <c r="BH74">
        <f>IF(OR($D74="",AC74="",17&gt;$F74),0,IF(UPPER(TRIM(AC74))=IFERROR(INDEX(Key!$C$2:$C$263,MATCH($D74*100+17,Key!$G$2:$G$263,0)),"#"),1,0))</f>
        <v/>
      </c>
      <c r="BI74">
        <f>IF(OR($D74="",AD74="",18&gt;$F74),0,IF(UPPER(TRIM(AD74))=IFERROR(INDEX(Key!$C$2:$C$263,MATCH($D74*100+18,Key!$G$2:$G$263,0)),"#"),1,0))</f>
        <v/>
      </c>
      <c r="BJ74">
        <f>IF(OR($D74="",AE74="",19&gt;$F74),0,IF(UPPER(TRIM(AE74))=IFERROR(INDEX(Key!$C$2:$C$263,MATCH($D74*100+19,Key!$G$2:$G$263,0)),"#"),1,0))</f>
        <v/>
      </c>
      <c r="BK74">
        <f>IF(OR($D74="",AF74="",20&gt;$F74),0,IF(UPPER(TRIM(AF74))=IFERROR(INDEX(Key!$C$2:$C$263,MATCH($D74*100+20,Key!$G$2:$G$263,0)),"#"),1,0))</f>
        <v/>
      </c>
      <c r="BL74">
        <f>IF(OR($D74="",AG74="",21&gt;$F74),0,IF(UPPER(TRIM(AG74))=IFERROR(INDEX(Key!$C$2:$C$263,MATCH($D74*100+21,Key!$G$2:$G$263,0)),"#"),1,0))</f>
        <v/>
      </c>
      <c r="BM74">
        <f>IF(OR($D74="",AH74="",22&gt;$F74),0,IF(UPPER(TRIM(AH74))=IFERROR(INDEX(Key!$C$2:$C$263,MATCH($D74*100+22,Key!$G$2:$G$263,0)),"#"),1,0))</f>
        <v/>
      </c>
      <c r="BN74">
        <f>IF(OR($D74="",AI74="",23&gt;$F74),0,IF(UPPER(TRIM(AI74))=IFERROR(INDEX(Key!$C$2:$C$263,MATCH($D74*100+23,Key!$G$2:$G$263,0)),"#"),1,0))</f>
        <v/>
      </c>
      <c r="BO74">
        <f>IF(OR($D74="",AJ74="",24&gt;$F74),0,IF(UPPER(TRIM(AJ74))=IFERROR(INDEX(Key!$C$2:$C$263,MATCH($D74*100+24,Key!$G$2:$G$263,0)),"#"),1,0))</f>
        <v/>
      </c>
      <c r="BP74">
        <f>IF(OR($D74="",AK74="",25&gt;$F74),0,IF(UPPER(TRIM(AK74))=IFERROR(INDEX(Key!$C$2:$C$263,MATCH($D74*100+25,Key!$G$2:$G$263,0)),"#"),1,0))</f>
        <v/>
      </c>
      <c r="BQ74">
        <f>IF(OR($D74="",AL74="",26&gt;$F74),0,IF(UPPER(TRIM(AL74))=IFERROR(INDEX(Key!$C$2:$C$263,MATCH($D74*100+26,Key!$G$2:$G$263,0)),"#"),1,0))</f>
        <v/>
      </c>
      <c r="BR74">
        <f>IF(OR($D74="",AM74="",27&gt;$F74),0,IF(UPPER(TRIM(AM74))=IFERROR(INDEX(Key!$C$2:$C$263,MATCH($D74*100+27,Key!$G$2:$G$263,0)),"#"),1,0))</f>
        <v/>
      </c>
      <c r="BS74">
        <f>IF(OR($D74="",AN74="",28&gt;$F74),0,IF(UPPER(TRIM(AN74))=IFERROR(INDEX(Key!$C$2:$C$263,MATCH($D74*100+28,Key!$G$2:$G$263,0)),"#"),1,0))</f>
        <v/>
      </c>
      <c r="BT74">
        <f>IF(OR($D74="",AO74="",29&gt;$F74),0,IF(UPPER(TRIM(AO74))=IFERROR(INDEX(Key!$C$2:$C$263,MATCH($D74*100+29,Key!$G$2:$G$263,0)),"#"),1,0))</f>
        <v/>
      </c>
      <c r="BU74">
        <f>IF(OR($D74="",AP74="",30&gt;$F74),0,IF(UPPER(TRIM(AP74))=IFERROR(INDEX(Key!$C$2:$C$263,MATCH($D74*100+30,Key!$G$2:$G$263,0)),"#"),1,0))</f>
        <v/>
      </c>
    </row>
    <row r="75">
      <c r="A75" s="6" t="n"/>
      <c r="B75" s="6" t="n"/>
      <c r="C75" s="6" t="n"/>
      <c r="D75" s="6" t="n"/>
      <c r="E75" s="7">
        <f>IF($D75="","",IFERROR(INDEX(Papers!$B$2:$B$12,MATCH($D75,Papers!$A$2:$A$12,0)),"?"))</f>
        <v/>
      </c>
      <c r="F75" s="7">
        <f>IF($D75="","",IFERROR(INDEX(Papers!$C$2:$C$12,MATCH($D75,Papers!$A$2:$A$12,0)),0))</f>
        <v/>
      </c>
      <c r="G75" s="7">
        <f>IF($D75="","",COUNTIF(M75:AP75,"?*"))</f>
        <v/>
      </c>
      <c r="H75" s="7">
        <f>IF($D75="","",SUM(AR75:BU75))</f>
        <v/>
      </c>
      <c r="I75" s="7">
        <f>IF($D75="","",G75-H75)</f>
        <v/>
      </c>
      <c r="J75" s="7">
        <f>IF($D75="","",F75-G75)</f>
        <v/>
      </c>
      <c r="K75" s="7">
        <f>IF($D75="","",H75)</f>
        <v/>
      </c>
      <c r="L75" s="7">
        <f>IF($D75="","",IF(F75=0,"",ROUND(H75/F75*100,1)))</f>
        <v/>
      </c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R75">
        <f>IF(OR($D75="",M75="",1&gt;$F75),0,IF(UPPER(TRIM(M75))=IFERROR(INDEX(Key!$C$2:$C$263,MATCH($D75*100+1,Key!$G$2:$G$263,0)),"#"),1,0))</f>
        <v/>
      </c>
      <c r="AS75">
        <f>IF(OR($D75="",N75="",2&gt;$F75),0,IF(UPPER(TRIM(N75))=IFERROR(INDEX(Key!$C$2:$C$263,MATCH($D75*100+2,Key!$G$2:$G$263,0)),"#"),1,0))</f>
        <v/>
      </c>
      <c r="AT75">
        <f>IF(OR($D75="",O75="",3&gt;$F75),0,IF(UPPER(TRIM(O75))=IFERROR(INDEX(Key!$C$2:$C$263,MATCH($D75*100+3,Key!$G$2:$G$263,0)),"#"),1,0))</f>
        <v/>
      </c>
      <c r="AU75">
        <f>IF(OR($D75="",P75="",4&gt;$F75),0,IF(UPPER(TRIM(P75))=IFERROR(INDEX(Key!$C$2:$C$263,MATCH($D75*100+4,Key!$G$2:$G$263,0)),"#"),1,0))</f>
        <v/>
      </c>
      <c r="AV75">
        <f>IF(OR($D75="",Q75="",5&gt;$F75),0,IF(UPPER(TRIM(Q75))=IFERROR(INDEX(Key!$C$2:$C$263,MATCH($D75*100+5,Key!$G$2:$G$263,0)),"#"),1,0))</f>
        <v/>
      </c>
      <c r="AW75">
        <f>IF(OR($D75="",R75="",6&gt;$F75),0,IF(UPPER(TRIM(R75))=IFERROR(INDEX(Key!$C$2:$C$263,MATCH($D75*100+6,Key!$G$2:$G$263,0)),"#"),1,0))</f>
        <v/>
      </c>
      <c r="AX75">
        <f>IF(OR($D75="",S75="",7&gt;$F75),0,IF(UPPER(TRIM(S75))=IFERROR(INDEX(Key!$C$2:$C$263,MATCH($D75*100+7,Key!$G$2:$G$263,0)),"#"),1,0))</f>
        <v/>
      </c>
      <c r="AY75">
        <f>IF(OR($D75="",T75="",8&gt;$F75),0,IF(UPPER(TRIM(T75))=IFERROR(INDEX(Key!$C$2:$C$263,MATCH($D75*100+8,Key!$G$2:$G$263,0)),"#"),1,0))</f>
        <v/>
      </c>
      <c r="AZ75">
        <f>IF(OR($D75="",U75="",9&gt;$F75),0,IF(UPPER(TRIM(U75))=IFERROR(INDEX(Key!$C$2:$C$263,MATCH($D75*100+9,Key!$G$2:$G$263,0)),"#"),1,0))</f>
        <v/>
      </c>
      <c r="BA75">
        <f>IF(OR($D75="",V75="",10&gt;$F75),0,IF(UPPER(TRIM(V75))=IFERROR(INDEX(Key!$C$2:$C$263,MATCH($D75*100+10,Key!$G$2:$G$263,0)),"#"),1,0))</f>
        <v/>
      </c>
      <c r="BB75">
        <f>IF(OR($D75="",W75="",11&gt;$F75),0,IF(UPPER(TRIM(W75))=IFERROR(INDEX(Key!$C$2:$C$263,MATCH($D75*100+11,Key!$G$2:$G$263,0)),"#"),1,0))</f>
        <v/>
      </c>
      <c r="BC75">
        <f>IF(OR($D75="",X75="",12&gt;$F75),0,IF(UPPER(TRIM(X75))=IFERROR(INDEX(Key!$C$2:$C$263,MATCH($D75*100+12,Key!$G$2:$G$263,0)),"#"),1,0))</f>
        <v/>
      </c>
      <c r="BD75">
        <f>IF(OR($D75="",Y75="",13&gt;$F75),0,IF(UPPER(TRIM(Y75))=IFERROR(INDEX(Key!$C$2:$C$263,MATCH($D75*100+13,Key!$G$2:$G$263,0)),"#"),1,0))</f>
        <v/>
      </c>
      <c r="BE75">
        <f>IF(OR($D75="",Z75="",14&gt;$F75),0,IF(UPPER(TRIM(Z75))=IFERROR(INDEX(Key!$C$2:$C$263,MATCH($D75*100+14,Key!$G$2:$G$263,0)),"#"),1,0))</f>
        <v/>
      </c>
      <c r="BF75">
        <f>IF(OR($D75="",AA75="",15&gt;$F75),0,IF(UPPER(TRIM(AA75))=IFERROR(INDEX(Key!$C$2:$C$263,MATCH($D75*100+15,Key!$G$2:$G$263,0)),"#"),1,0))</f>
        <v/>
      </c>
      <c r="BG75">
        <f>IF(OR($D75="",AB75="",16&gt;$F75),0,IF(UPPER(TRIM(AB75))=IFERROR(INDEX(Key!$C$2:$C$263,MATCH($D75*100+16,Key!$G$2:$G$263,0)),"#"),1,0))</f>
        <v/>
      </c>
      <c r="BH75">
        <f>IF(OR($D75="",AC75="",17&gt;$F75),0,IF(UPPER(TRIM(AC75))=IFERROR(INDEX(Key!$C$2:$C$263,MATCH($D75*100+17,Key!$G$2:$G$263,0)),"#"),1,0))</f>
        <v/>
      </c>
      <c r="BI75">
        <f>IF(OR($D75="",AD75="",18&gt;$F75),0,IF(UPPER(TRIM(AD75))=IFERROR(INDEX(Key!$C$2:$C$263,MATCH($D75*100+18,Key!$G$2:$G$263,0)),"#"),1,0))</f>
        <v/>
      </c>
      <c r="BJ75">
        <f>IF(OR($D75="",AE75="",19&gt;$F75),0,IF(UPPER(TRIM(AE75))=IFERROR(INDEX(Key!$C$2:$C$263,MATCH($D75*100+19,Key!$G$2:$G$263,0)),"#"),1,0))</f>
        <v/>
      </c>
      <c r="BK75">
        <f>IF(OR($D75="",AF75="",20&gt;$F75),0,IF(UPPER(TRIM(AF75))=IFERROR(INDEX(Key!$C$2:$C$263,MATCH($D75*100+20,Key!$G$2:$G$263,0)),"#"),1,0))</f>
        <v/>
      </c>
      <c r="BL75">
        <f>IF(OR($D75="",AG75="",21&gt;$F75),0,IF(UPPER(TRIM(AG75))=IFERROR(INDEX(Key!$C$2:$C$263,MATCH($D75*100+21,Key!$G$2:$G$263,0)),"#"),1,0))</f>
        <v/>
      </c>
      <c r="BM75">
        <f>IF(OR($D75="",AH75="",22&gt;$F75),0,IF(UPPER(TRIM(AH75))=IFERROR(INDEX(Key!$C$2:$C$263,MATCH($D75*100+22,Key!$G$2:$G$263,0)),"#"),1,0))</f>
        <v/>
      </c>
      <c r="BN75">
        <f>IF(OR($D75="",AI75="",23&gt;$F75),0,IF(UPPER(TRIM(AI75))=IFERROR(INDEX(Key!$C$2:$C$263,MATCH($D75*100+23,Key!$G$2:$G$263,0)),"#"),1,0))</f>
        <v/>
      </c>
      <c r="BO75">
        <f>IF(OR($D75="",AJ75="",24&gt;$F75),0,IF(UPPER(TRIM(AJ75))=IFERROR(INDEX(Key!$C$2:$C$263,MATCH($D75*100+24,Key!$G$2:$G$263,0)),"#"),1,0))</f>
        <v/>
      </c>
      <c r="BP75">
        <f>IF(OR($D75="",AK75="",25&gt;$F75),0,IF(UPPER(TRIM(AK75))=IFERROR(INDEX(Key!$C$2:$C$263,MATCH($D75*100+25,Key!$G$2:$G$263,0)),"#"),1,0))</f>
        <v/>
      </c>
      <c r="BQ75">
        <f>IF(OR($D75="",AL75="",26&gt;$F75),0,IF(UPPER(TRIM(AL75))=IFERROR(INDEX(Key!$C$2:$C$263,MATCH($D75*100+26,Key!$G$2:$G$263,0)),"#"),1,0))</f>
        <v/>
      </c>
      <c r="BR75">
        <f>IF(OR($D75="",AM75="",27&gt;$F75),0,IF(UPPER(TRIM(AM75))=IFERROR(INDEX(Key!$C$2:$C$263,MATCH($D75*100+27,Key!$G$2:$G$263,0)),"#"),1,0))</f>
        <v/>
      </c>
      <c r="BS75">
        <f>IF(OR($D75="",AN75="",28&gt;$F75),0,IF(UPPER(TRIM(AN75))=IFERROR(INDEX(Key!$C$2:$C$263,MATCH($D75*100+28,Key!$G$2:$G$263,0)),"#"),1,0))</f>
        <v/>
      </c>
      <c r="BT75">
        <f>IF(OR($D75="",AO75="",29&gt;$F75),0,IF(UPPER(TRIM(AO75))=IFERROR(INDEX(Key!$C$2:$C$263,MATCH($D75*100+29,Key!$G$2:$G$263,0)),"#"),1,0))</f>
        <v/>
      </c>
      <c r="BU75">
        <f>IF(OR($D75="",AP75="",30&gt;$F75),0,IF(UPPER(TRIM(AP75))=IFERROR(INDEX(Key!$C$2:$C$263,MATCH($D75*100+30,Key!$G$2:$G$263,0)),"#"),1,0))</f>
        <v/>
      </c>
    </row>
    <row r="76">
      <c r="A76" s="6" t="n"/>
      <c r="B76" s="6" t="n"/>
      <c r="C76" s="6" t="n"/>
      <c r="D76" s="6" t="n"/>
      <c r="E76" s="7">
        <f>IF($D76="","",IFERROR(INDEX(Papers!$B$2:$B$12,MATCH($D76,Papers!$A$2:$A$12,0)),"?"))</f>
        <v/>
      </c>
      <c r="F76" s="7">
        <f>IF($D76="","",IFERROR(INDEX(Papers!$C$2:$C$12,MATCH($D76,Papers!$A$2:$A$12,0)),0))</f>
        <v/>
      </c>
      <c r="G76" s="7">
        <f>IF($D76="","",COUNTIF(M76:AP76,"?*"))</f>
        <v/>
      </c>
      <c r="H76" s="7">
        <f>IF($D76="","",SUM(AR76:BU76))</f>
        <v/>
      </c>
      <c r="I76" s="7">
        <f>IF($D76="","",G76-H76)</f>
        <v/>
      </c>
      <c r="J76" s="7">
        <f>IF($D76="","",F76-G76)</f>
        <v/>
      </c>
      <c r="K76" s="7">
        <f>IF($D76="","",H76)</f>
        <v/>
      </c>
      <c r="L76" s="7">
        <f>IF($D76="","",IF(F76=0,"",ROUND(H76/F76*100,1)))</f>
        <v/>
      </c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R76">
        <f>IF(OR($D76="",M76="",1&gt;$F76),0,IF(UPPER(TRIM(M76))=IFERROR(INDEX(Key!$C$2:$C$263,MATCH($D76*100+1,Key!$G$2:$G$263,0)),"#"),1,0))</f>
        <v/>
      </c>
      <c r="AS76">
        <f>IF(OR($D76="",N76="",2&gt;$F76),0,IF(UPPER(TRIM(N76))=IFERROR(INDEX(Key!$C$2:$C$263,MATCH($D76*100+2,Key!$G$2:$G$263,0)),"#"),1,0))</f>
        <v/>
      </c>
      <c r="AT76">
        <f>IF(OR($D76="",O76="",3&gt;$F76),0,IF(UPPER(TRIM(O76))=IFERROR(INDEX(Key!$C$2:$C$263,MATCH($D76*100+3,Key!$G$2:$G$263,0)),"#"),1,0))</f>
        <v/>
      </c>
      <c r="AU76">
        <f>IF(OR($D76="",P76="",4&gt;$F76),0,IF(UPPER(TRIM(P76))=IFERROR(INDEX(Key!$C$2:$C$263,MATCH($D76*100+4,Key!$G$2:$G$263,0)),"#"),1,0))</f>
        <v/>
      </c>
      <c r="AV76">
        <f>IF(OR($D76="",Q76="",5&gt;$F76),0,IF(UPPER(TRIM(Q76))=IFERROR(INDEX(Key!$C$2:$C$263,MATCH($D76*100+5,Key!$G$2:$G$263,0)),"#"),1,0))</f>
        <v/>
      </c>
      <c r="AW76">
        <f>IF(OR($D76="",R76="",6&gt;$F76),0,IF(UPPER(TRIM(R76))=IFERROR(INDEX(Key!$C$2:$C$263,MATCH($D76*100+6,Key!$G$2:$G$263,0)),"#"),1,0))</f>
        <v/>
      </c>
      <c r="AX76">
        <f>IF(OR($D76="",S76="",7&gt;$F76),0,IF(UPPER(TRIM(S76))=IFERROR(INDEX(Key!$C$2:$C$263,MATCH($D76*100+7,Key!$G$2:$G$263,0)),"#"),1,0))</f>
        <v/>
      </c>
      <c r="AY76">
        <f>IF(OR($D76="",T76="",8&gt;$F76),0,IF(UPPER(TRIM(T76))=IFERROR(INDEX(Key!$C$2:$C$263,MATCH($D76*100+8,Key!$G$2:$G$263,0)),"#"),1,0))</f>
        <v/>
      </c>
      <c r="AZ76">
        <f>IF(OR($D76="",U76="",9&gt;$F76),0,IF(UPPER(TRIM(U76))=IFERROR(INDEX(Key!$C$2:$C$263,MATCH($D76*100+9,Key!$G$2:$G$263,0)),"#"),1,0))</f>
        <v/>
      </c>
      <c r="BA76">
        <f>IF(OR($D76="",V76="",10&gt;$F76),0,IF(UPPER(TRIM(V76))=IFERROR(INDEX(Key!$C$2:$C$263,MATCH($D76*100+10,Key!$G$2:$G$263,0)),"#"),1,0))</f>
        <v/>
      </c>
      <c r="BB76">
        <f>IF(OR($D76="",W76="",11&gt;$F76),0,IF(UPPER(TRIM(W76))=IFERROR(INDEX(Key!$C$2:$C$263,MATCH($D76*100+11,Key!$G$2:$G$263,0)),"#"),1,0))</f>
        <v/>
      </c>
      <c r="BC76">
        <f>IF(OR($D76="",X76="",12&gt;$F76),0,IF(UPPER(TRIM(X76))=IFERROR(INDEX(Key!$C$2:$C$263,MATCH($D76*100+12,Key!$G$2:$G$263,0)),"#"),1,0))</f>
        <v/>
      </c>
      <c r="BD76">
        <f>IF(OR($D76="",Y76="",13&gt;$F76),0,IF(UPPER(TRIM(Y76))=IFERROR(INDEX(Key!$C$2:$C$263,MATCH($D76*100+13,Key!$G$2:$G$263,0)),"#"),1,0))</f>
        <v/>
      </c>
      <c r="BE76">
        <f>IF(OR($D76="",Z76="",14&gt;$F76),0,IF(UPPER(TRIM(Z76))=IFERROR(INDEX(Key!$C$2:$C$263,MATCH($D76*100+14,Key!$G$2:$G$263,0)),"#"),1,0))</f>
        <v/>
      </c>
      <c r="BF76">
        <f>IF(OR($D76="",AA76="",15&gt;$F76),0,IF(UPPER(TRIM(AA76))=IFERROR(INDEX(Key!$C$2:$C$263,MATCH($D76*100+15,Key!$G$2:$G$263,0)),"#"),1,0))</f>
        <v/>
      </c>
      <c r="BG76">
        <f>IF(OR($D76="",AB76="",16&gt;$F76),0,IF(UPPER(TRIM(AB76))=IFERROR(INDEX(Key!$C$2:$C$263,MATCH($D76*100+16,Key!$G$2:$G$263,0)),"#"),1,0))</f>
        <v/>
      </c>
      <c r="BH76">
        <f>IF(OR($D76="",AC76="",17&gt;$F76),0,IF(UPPER(TRIM(AC76))=IFERROR(INDEX(Key!$C$2:$C$263,MATCH($D76*100+17,Key!$G$2:$G$263,0)),"#"),1,0))</f>
        <v/>
      </c>
      <c r="BI76">
        <f>IF(OR($D76="",AD76="",18&gt;$F76),0,IF(UPPER(TRIM(AD76))=IFERROR(INDEX(Key!$C$2:$C$263,MATCH($D76*100+18,Key!$G$2:$G$263,0)),"#"),1,0))</f>
        <v/>
      </c>
      <c r="BJ76">
        <f>IF(OR($D76="",AE76="",19&gt;$F76),0,IF(UPPER(TRIM(AE76))=IFERROR(INDEX(Key!$C$2:$C$263,MATCH($D76*100+19,Key!$G$2:$G$263,0)),"#"),1,0))</f>
        <v/>
      </c>
      <c r="BK76">
        <f>IF(OR($D76="",AF76="",20&gt;$F76),0,IF(UPPER(TRIM(AF76))=IFERROR(INDEX(Key!$C$2:$C$263,MATCH($D76*100+20,Key!$G$2:$G$263,0)),"#"),1,0))</f>
        <v/>
      </c>
      <c r="BL76">
        <f>IF(OR($D76="",AG76="",21&gt;$F76),0,IF(UPPER(TRIM(AG76))=IFERROR(INDEX(Key!$C$2:$C$263,MATCH($D76*100+21,Key!$G$2:$G$263,0)),"#"),1,0))</f>
        <v/>
      </c>
      <c r="BM76">
        <f>IF(OR($D76="",AH76="",22&gt;$F76),0,IF(UPPER(TRIM(AH76))=IFERROR(INDEX(Key!$C$2:$C$263,MATCH($D76*100+22,Key!$G$2:$G$263,0)),"#"),1,0))</f>
        <v/>
      </c>
      <c r="BN76">
        <f>IF(OR($D76="",AI76="",23&gt;$F76),0,IF(UPPER(TRIM(AI76))=IFERROR(INDEX(Key!$C$2:$C$263,MATCH($D76*100+23,Key!$G$2:$G$263,0)),"#"),1,0))</f>
        <v/>
      </c>
      <c r="BO76">
        <f>IF(OR($D76="",AJ76="",24&gt;$F76),0,IF(UPPER(TRIM(AJ76))=IFERROR(INDEX(Key!$C$2:$C$263,MATCH($D76*100+24,Key!$G$2:$G$263,0)),"#"),1,0))</f>
        <v/>
      </c>
      <c r="BP76">
        <f>IF(OR($D76="",AK76="",25&gt;$F76),0,IF(UPPER(TRIM(AK76))=IFERROR(INDEX(Key!$C$2:$C$263,MATCH($D76*100+25,Key!$G$2:$G$263,0)),"#"),1,0))</f>
        <v/>
      </c>
      <c r="BQ76">
        <f>IF(OR($D76="",AL76="",26&gt;$F76),0,IF(UPPER(TRIM(AL76))=IFERROR(INDEX(Key!$C$2:$C$263,MATCH($D76*100+26,Key!$G$2:$G$263,0)),"#"),1,0))</f>
        <v/>
      </c>
      <c r="BR76">
        <f>IF(OR($D76="",AM76="",27&gt;$F76),0,IF(UPPER(TRIM(AM76))=IFERROR(INDEX(Key!$C$2:$C$263,MATCH($D76*100+27,Key!$G$2:$G$263,0)),"#"),1,0))</f>
        <v/>
      </c>
      <c r="BS76">
        <f>IF(OR($D76="",AN76="",28&gt;$F76),0,IF(UPPER(TRIM(AN76))=IFERROR(INDEX(Key!$C$2:$C$263,MATCH($D76*100+28,Key!$G$2:$G$263,0)),"#"),1,0))</f>
        <v/>
      </c>
      <c r="BT76">
        <f>IF(OR($D76="",AO76="",29&gt;$F76),0,IF(UPPER(TRIM(AO76))=IFERROR(INDEX(Key!$C$2:$C$263,MATCH($D76*100+29,Key!$G$2:$G$263,0)),"#"),1,0))</f>
        <v/>
      </c>
      <c r="BU76">
        <f>IF(OR($D76="",AP76="",30&gt;$F76),0,IF(UPPER(TRIM(AP76))=IFERROR(INDEX(Key!$C$2:$C$263,MATCH($D76*100+30,Key!$G$2:$G$263,0)),"#"),1,0))</f>
        <v/>
      </c>
    </row>
    <row r="77">
      <c r="A77" s="6" t="n"/>
      <c r="B77" s="6" t="n"/>
      <c r="C77" s="6" t="n"/>
      <c r="D77" s="6" t="n"/>
      <c r="E77" s="7">
        <f>IF($D77="","",IFERROR(INDEX(Papers!$B$2:$B$12,MATCH($D77,Papers!$A$2:$A$12,0)),"?"))</f>
        <v/>
      </c>
      <c r="F77" s="7">
        <f>IF($D77="","",IFERROR(INDEX(Papers!$C$2:$C$12,MATCH($D77,Papers!$A$2:$A$12,0)),0))</f>
        <v/>
      </c>
      <c r="G77" s="7">
        <f>IF($D77="","",COUNTIF(M77:AP77,"?*"))</f>
        <v/>
      </c>
      <c r="H77" s="7">
        <f>IF($D77="","",SUM(AR77:BU77))</f>
        <v/>
      </c>
      <c r="I77" s="7">
        <f>IF($D77="","",G77-H77)</f>
        <v/>
      </c>
      <c r="J77" s="7">
        <f>IF($D77="","",F77-G77)</f>
        <v/>
      </c>
      <c r="K77" s="7">
        <f>IF($D77="","",H77)</f>
        <v/>
      </c>
      <c r="L77" s="7">
        <f>IF($D77="","",IF(F77=0,"",ROUND(H77/F77*100,1)))</f>
        <v/>
      </c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R77">
        <f>IF(OR($D77="",M77="",1&gt;$F77),0,IF(UPPER(TRIM(M77))=IFERROR(INDEX(Key!$C$2:$C$263,MATCH($D77*100+1,Key!$G$2:$G$263,0)),"#"),1,0))</f>
        <v/>
      </c>
      <c r="AS77">
        <f>IF(OR($D77="",N77="",2&gt;$F77),0,IF(UPPER(TRIM(N77))=IFERROR(INDEX(Key!$C$2:$C$263,MATCH($D77*100+2,Key!$G$2:$G$263,0)),"#"),1,0))</f>
        <v/>
      </c>
      <c r="AT77">
        <f>IF(OR($D77="",O77="",3&gt;$F77),0,IF(UPPER(TRIM(O77))=IFERROR(INDEX(Key!$C$2:$C$263,MATCH($D77*100+3,Key!$G$2:$G$263,0)),"#"),1,0))</f>
        <v/>
      </c>
      <c r="AU77">
        <f>IF(OR($D77="",P77="",4&gt;$F77),0,IF(UPPER(TRIM(P77))=IFERROR(INDEX(Key!$C$2:$C$263,MATCH($D77*100+4,Key!$G$2:$G$263,0)),"#"),1,0))</f>
        <v/>
      </c>
      <c r="AV77">
        <f>IF(OR($D77="",Q77="",5&gt;$F77),0,IF(UPPER(TRIM(Q77))=IFERROR(INDEX(Key!$C$2:$C$263,MATCH($D77*100+5,Key!$G$2:$G$263,0)),"#"),1,0))</f>
        <v/>
      </c>
      <c r="AW77">
        <f>IF(OR($D77="",R77="",6&gt;$F77),0,IF(UPPER(TRIM(R77))=IFERROR(INDEX(Key!$C$2:$C$263,MATCH($D77*100+6,Key!$G$2:$G$263,0)),"#"),1,0))</f>
        <v/>
      </c>
      <c r="AX77">
        <f>IF(OR($D77="",S77="",7&gt;$F77),0,IF(UPPER(TRIM(S77))=IFERROR(INDEX(Key!$C$2:$C$263,MATCH($D77*100+7,Key!$G$2:$G$263,0)),"#"),1,0))</f>
        <v/>
      </c>
      <c r="AY77">
        <f>IF(OR($D77="",T77="",8&gt;$F77),0,IF(UPPER(TRIM(T77))=IFERROR(INDEX(Key!$C$2:$C$263,MATCH($D77*100+8,Key!$G$2:$G$263,0)),"#"),1,0))</f>
        <v/>
      </c>
      <c r="AZ77">
        <f>IF(OR($D77="",U77="",9&gt;$F77),0,IF(UPPER(TRIM(U77))=IFERROR(INDEX(Key!$C$2:$C$263,MATCH($D77*100+9,Key!$G$2:$G$263,0)),"#"),1,0))</f>
        <v/>
      </c>
      <c r="BA77">
        <f>IF(OR($D77="",V77="",10&gt;$F77),0,IF(UPPER(TRIM(V77))=IFERROR(INDEX(Key!$C$2:$C$263,MATCH($D77*100+10,Key!$G$2:$G$263,0)),"#"),1,0))</f>
        <v/>
      </c>
      <c r="BB77">
        <f>IF(OR($D77="",W77="",11&gt;$F77),0,IF(UPPER(TRIM(W77))=IFERROR(INDEX(Key!$C$2:$C$263,MATCH($D77*100+11,Key!$G$2:$G$263,0)),"#"),1,0))</f>
        <v/>
      </c>
      <c r="BC77">
        <f>IF(OR($D77="",X77="",12&gt;$F77),0,IF(UPPER(TRIM(X77))=IFERROR(INDEX(Key!$C$2:$C$263,MATCH($D77*100+12,Key!$G$2:$G$263,0)),"#"),1,0))</f>
        <v/>
      </c>
      <c r="BD77">
        <f>IF(OR($D77="",Y77="",13&gt;$F77),0,IF(UPPER(TRIM(Y77))=IFERROR(INDEX(Key!$C$2:$C$263,MATCH($D77*100+13,Key!$G$2:$G$263,0)),"#"),1,0))</f>
        <v/>
      </c>
      <c r="BE77">
        <f>IF(OR($D77="",Z77="",14&gt;$F77),0,IF(UPPER(TRIM(Z77))=IFERROR(INDEX(Key!$C$2:$C$263,MATCH($D77*100+14,Key!$G$2:$G$263,0)),"#"),1,0))</f>
        <v/>
      </c>
      <c r="BF77">
        <f>IF(OR($D77="",AA77="",15&gt;$F77),0,IF(UPPER(TRIM(AA77))=IFERROR(INDEX(Key!$C$2:$C$263,MATCH($D77*100+15,Key!$G$2:$G$263,0)),"#"),1,0))</f>
        <v/>
      </c>
      <c r="BG77">
        <f>IF(OR($D77="",AB77="",16&gt;$F77),0,IF(UPPER(TRIM(AB77))=IFERROR(INDEX(Key!$C$2:$C$263,MATCH($D77*100+16,Key!$G$2:$G$263,0)),"#"),1,0))</f>
        <v/>
      </c>
      <c r="BH77">
        <f>IF(OR($D77="",AC77="",17&gt;$F77),0,IF(UPPER(TRIM(AC77))=IFERROR(INDEX(Key!$C$2:$C$263,MATCH($D77*100+17,Key!$G$2:$G$263,0)),"#"),1,0))</f>
        <v/>
      </c>
      <c r="BI77">
        <f>IF(OR($D77="",AD77="",18&gt;$F77),0,IF(UPPER(TRIM(AD77))=IFERROR(INDEX(Key!$C$2:$C$263,MATCH($D77*100+18,Key!$G$2:$G$263,0)),"#"),1,0))</f>
        <v/>
      </c>
      <c r="BJ77">
        <f>IF(OR($D77="",AE77="",19&gt;$F77),0,IF(UPPER(TRIM(AE77))=IFERROR(INDEX(Key!$C$2:$C$263,MATCH($D77*100+19,Key!$G$2:$G$263,0)),"#"),1,0))</f>
        <v/>
      </c>
      <c r="BK77">
        <f>IF(OR($D77="",AF77="",20&gt;$F77),0,IF(UPPER(TRIM(AF77))=IFERROR(INDEX(Key!$C$2:$C$263,MATCH($D77*100+20,Key!$G$2:$G$263,0)),"#"),1,0))</f>
        <v/>
      </c>
      <c r="BL77">
        <f>IF(OR($D77="",AG77="",21&gt;$F77),0,IF(UPPER(TRIM(AG77))=IFERROR(INDEX(Key!$C$2:$C$263,MATCH($D77*100+21,Key!$G$2:$G$263,0)),"#"),1,0))</f>
        <v/>
      </c>
      <c r="BM77">
        <f>IF(OR($D77="",AH77="",22&gt;$F77),0,IF(UPPER(TRIM(AH77))=IFERROR(INDEX(Key!$C$2:$C$263,MATCH($D77*100+22,Key!$G$2:$G$263,0)),"#"),1,0))</f>
        <v/>
      </c>
      <c r="BN77">
        <f>IF(OR($D77="",AI77="",23&gt;$F77),0,IF(UPPER(TRIM(AI77))=IFERROR(INDEX(Key!$C$2:$C$263,MATCH($D77*100+23,Key!$G$2:$G$263,0)),"#"),1,0))</f>
        <v/>
      </c>
      <c r="BO77">
        <f>IF(OR($D77="",AJ77="",24&gt;$F77),0,IF(UPPER(TRIM(AJ77))=IFERROR(INDEX(Key!$C$2:$C$263,MATCH($D77*100+24,Key!$G$2:$G$263,0)),"#"),1,0))</f>
        <v/>
      </c>
      <c r="BP77">
        <f>IF(OR($D77="",AK77="",25&gt;$F77),0,IF(UPPER(TRIM(AK77))=IFERROR(INDEX(Key!$C$2:$C$263,MATCH($D77*100+25,Key!$G$2:$G$263,0)),"#"),1,0))</f>
        <v/>
      </c>
      <c r="BQ77">
        <f>IF(OR($D77="",AL77="",26&gt;$F77),0,IF(UPPER(TRIM(AL77))=IFERROR(INDEX(Key!$C$2:$C$263,MATCH($D77*100+26,Key!$G$2:$G$263,0)),"#"),1,0))</f>
        <v/>
      </c>
      <c r="BR77">
        <f>IF(OR($D77="",AM77="",27&gt;$F77),0,IF(UPPER(TRIM(AM77))=IFERROR(INDEX(Key!$C$2:$C$263,MATCH($D77*100+27,Key!$G$2:$G$263,0)),"#"),1,0))</f>
        <v/>
      </c>
      <c r="BS77">
        <f>IF(OR($D77="",AN77="",28&gt;$F77),0,IF(UPPER(TRIM(AN77))=IFERROR(INDEX(Key!$C$2:$C$263,MATCH($D77*100+28,Key!$G$2:$G$263,0)),"#"),1,0))</f>
        <v/>
      </c>
      <c r="BT77">
        <f>IF(OR($D77="",AO77="",29&gt;$F77),0,IF(UPPER(TRIM(AO77))=IFERROR(INDEX(Key!$C$2:$C$263,MATCH($D77*100+29,Key!$G$2:$G$263,0)),"#"),1,0))</f>
        <v/>
      </c>
      <c r="BU77">
        <f>IF(OR($D77="",AP77="",30&gt;$F77),0,IF(UPPER(TRIM(AP77))=IFERROR(INDEX(Key!$C$2:$C$263,MATCH($D77*100+30,Key!$G$2:$G$263,0)),"#"),1,0))</f>
        <v/>
      </c>
    </row>
    <row r="78">
      <c r="A78" s="6" t="n"/>
      <c r="B78" s="6" t="n"/>
      <c r="C78" s="6" t="n"/>
      <c r="D78" s="6" t="n"/>
      <c r="E78" s="7">
        <f>IF($D78="","",IFERROR(INDEX(Papers!$B$2:$B$12,MATCH($D78,Papers!$A$2:$A$12,0)),"?"))</f>
        <v/>
      </c>
      <c r="F78" s="7">
        <f>IF($D78="","",IFERROR(INDEX(Papers!$C$2:$C$12,MATCH($D78,Papers!$A$2:$A$12,0)),0))</f>
        <v/>
      </c>
      <c r="G78" s="7">
        <f>IF($D78="","",COUNTIF(M78:AP78,"?*"))</f>
        <v/>
      </c>
      <c r="H78" s="7">
        <f>IF($D78="","",SUM(AR78:BU78))</f>
        <v/>
      </c>
      <c r="I78" s="7">
        <f>IF($D78="","",G78-H78)</f>
        <v/>
      </c>
      <c r="J78" s="7">
        <f>IF($D78="","",F78-G78)</f>
        <v/>
      </c>
      <c r="K78" s="7">
        <f>IF($D78="","",H78)</f>
        <v/>
      </c>
      <c r="L78" s="7">
        <f>IF($D78="","",IF(F78=0,"",ROUND(H78/F78*100,1)))</f>
        <v/>
      </c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R78">
        <f>IF(OR($D78="",M78="",1&gt;$F78),0,IF(UPPER(TRIM(M78))=IFERROR(INDEX(Key!$C$2:$C$263,MATCH($D78*100+1,Key!$G$2:$G$263,0)),"#"),1,0))</f>
        <v/>
      </c>
      <c r="AS78">
        <f>IF(OR($D78="",N78="",2&gt;$F78),0,IF(UPPER(TRIM(N78))=IFERROR(INDEX(Key!$C$2:$C$263,MATCH($D78*100+2,Key!$G$2:$G$263,0)),"#"),1,0))</f>
        <v/>
      </c>
      <c r="AT78">
        <f>IF(OR($D78="",O78="",3&gt;$F78),0,IF(UPPER(TRIM(O78))=IFERROR(INDEX(Key!$C$2:$C$263,MATCH($D78*100+3,Key!$G$2:$G$263,0)),"#"),1,0))</f>
        <v/>
      </c>
      <c r="AU78">
        <f>IF(OR($D78="",P78="",4&gt;$F78),0,IF(UPPER(TRIM(P78))=IFERROR(INDEX(Key!$C$2:$C$263,MATCH($D78*100+4,Key!$G$2:$G$263,0)),"#"),1,0))</f>
        <v/>
      </c>
      <c r="AV78">
        <f>IF(OR($D78="",Q78="",5&gt;$F78),0,IF(UPPER(TRIM(Q78))=IFERROR(INDEX(Key!$C$2:$C$263,MATCH($D78*100+5,Key!$G$2:$G$263,0)),"#"),1,0))</f>
        <v/>
      </c>
      <c r="AW78">
        <f>IF(OR($D78="",R78="",6&gt;$F78),0,IF(UPPER(TRIM(R78))=IFERROR(INDEX(Key!$C$2:$C$263,MATCH($D78*100+6,Key!$G$2:$G$263,0)),"#"),1,0))</f>
        <v/>
      </c>
      <c r="AX78">
        <f>IF(OR($D78="",S78="",7&gt;$F78),0,IF(UPPER(TRIM(S78))=IFERROR(INDEX(Key!$C$2:$C$263,MATCH($D78*100+7,Key!$G$2:$G$263,0)),"#"),1,0))</f>
        <v/>
      </c>
      <c r="AY78">
        <f>IF(OR($D78="",T78="",8&gt;$F78),0,IF(UPPER(TRIM(T78))=IFERROR(INDEX(Key!$C$2:$C$263,MATCH($D78*100+8,Key!$G$2:$G$263,0)),"#"),1,0))</f>
        <v/>
      </c>
      <c r="AZ78">
        <f>IF(OR($D78="",U78="",9&gt;$F78),0,IF(UPPER(TRIM(U78))=IFERROR(INDEX(Key!$C$2:$C$263,MATCH($D78*100+9,Key!$G$2:$G$263,0)),"#"),1,0))</f>
        <v/>
      </c>
      <c r="BA78">
        <f>IF(OR($D78="",V78="",10&gt;$F78),0,IF(UPPER(TRIM(V78))=IFERROR(INDEX(Key!$C$2:$C$263,MATCH($D78*100+10,Key!$G$2:$G$263,0)),"#"),1,0))</f>
        <v/>
      </c>
      <c r="BB78">
        <f>IF(OR($D78="",W78="",11&gt;$F78),0,IF(UPPER(TRIM(W78))=IFERROR(INDEX(Key!$C$2:$C$263,MATCH($D78*100+11,Key!$G$2:$G$263,0)),"#"),1,0))</f>
        <v/>
      </c>
      <c r="BC78">
        <f>IF(OR($D78="",X78="",12&gt;$F78),0,IF(UPPER(TRIM(X78))=IFERROR(INDEX(Key!$C$2:$C$263,MATCH($D78*100+12,Key!$G$2:$G$263,0)),"#"),1,0))</f>
        <v/>
      </c>
      <c r="BD78">
        <f>IF(OR($D78="",Y78="",13&gt;$F78),0,IF(UPPER(TRIM(Y78))=IFERROR(INDEX(Key!$C$2:$C$263,MATCH($D78*100+13,Key!$G$2:$G$263,0)),"#"),1,0))</f>
        <v/>
      </c>
      <c r="BE78">
        <f>IF(OR($D78="",Z78="",14&gt;$F78),0,IF(UPPER(TRIM(Z78))=IFERROR(INDEX(Key!$C$2:$C$263,MATCH($D78*100+14,Key!$G$2:$G$263,0)),"#"),1,0))</f>
        <v/>
      </c>
      <c r="BF78">
        <f>IF(OR($D78="",AA78="",15&gt;$F78),0,IF(UPPER(TRIM(AA78))=IFERROR(INDEX(Key!$C$2:$C$263,MATCH($D78*100+15,Key!$G$2:$G$263,0)),"#"),1,0))</f>
        <v/>
      </c>
      <c r="BG78">
        <f>IF(OR($D78="",AB78="",16&gt;$F78),0,IF(UPPER(TRIM(AB78))=IFERROR(INDEX(Key!$C$2:$C$263,MATCH($D78*100+16,Key!$G$2:$G$263,0)),"#"),1,0))</f>
        <v/>
      </c>
      <c r="BH78">
        <f>IF(OR($D78="",AC78="",17&gt;$F78),0,IF(UPPER(TRIM(AC78))=IFERROR(INDEX(Key!$C$2:$C$263,MATCH($D78*100+17,Key!$G$2:$G$263,0)),"#"),1,0))</f>
        <v/>
      </c>
      <c r="BI78">
        <f>IF(OR($D78="",AD78="",18&gt;$F78),0,IF(UPPER(TRIM(AD78))=IFERROR(INDEX(Key!$C$2:$C$263,MATCH($D78*100+18,Key!$G$2:$G$263,0)),"#"),1,0))</f>
        <v/>
      </c>
      <c r="BJ78">
        <f>IF(OR($D78="",AE78="",19&gt;$F78),0,IF(UPPER(TRIM(AE78))=IFERROR(INDEX(Key!$C$2:$C$263,MATCH($D78*100+19,Key!$G$2:$G$263,0)),"#"),1,0))</f>
        <v/>
      </c>
      <c r="BK78">
        <f>IF(OR($D78="",AF78="",20&gt;$F78),0,IF(UPPER(TRIM(AF78))=IFERROR(INDEX(Key!$C$2:$C$263,MATCH($D78*100+20,Key!$G$2:$G$263,0)),"#"),1,0))</f>
        <v/>
      </c>
      <c r="BL78">
        <f>IF(OR($D78="",AG78="",21&gt;$F78),0,IF(UPPER(TRIM(AG78))=IFERROR(INDEX(Key!$C$2:$C$263,MATCH($D78*100+21,Key!$G$2:$G$263,0)),"#"),1,0))</f>
        <v/>
      </c>
      <c r="BM78">
        <f>IF(OR($D78="",AH78="",22&gt;$F78),0,IF(UPPER(TRIM(AH78))=IFERROR(INDEX(Key!$C$2:$C$263,MATCH($D78*100+22,Key!$G$2:$G$263,0)),"#"),1,0))</f>
        <v/>
      </c>
      <c r="BN78">
        <f>IF(OR($D78="",AI78="",23&gt;$F78),0,IF(UPPER(TRIM(AI78))=IFERROR(INDEX(Key!$C$2:$C$263,MATCH($D78*100+23,Key!$G$2:$G$263,0)),"#"),1,0))</f>
        <v/>
      </c>
      <c r="BO78">
        <f>IF(OR($D78="",AJ78="",24&gt;$F78),0,IF(UPPER(TRIM(AJ78))=IFERROR(INDEX(Key!$C$2:$C$263,MATCH($D78*100+24,Key!$G$2:$G$263,0)),"#"),1,0))</f>
        <v/>
      </c>
      <c r="BP78">
        <f>IF(OR($D78="",AK78="",25&gt;$F78),0,IF(UPPER(TRIM(AK78))=IFERROR(INDEX(Key!$C$2:$C$263,MATCH($D78*100+25,Key!$G$2:$G$263,0)),"#"),1,0))</f>
        <v/>
      </c>
      <c r="BQ78">
        <f>IF(OR($D78="",AL78="",26&gt;$F78),0,IF(UPPER(TRIM(AL78))=IFERROR(INDEX(Key!$C$2:$C$263,MATCH($D78*100+26,Key!$G$2:$G$263,0)),"#"),1,0))</f>
        <v/>
      </c>
      <c r="BR78">
        <f>IF(OR($D78="",AM78="",27&gt;$F78),0,IF(UPPER(TRIM(AM78))=IFERROR(INDEX(Key!$C$2:$C$263,MATCH($D78*100+27,Key!$G$2:$G$263,0)),"#"),1,0))</f>
        <v/>
      </c>
      <c r="BS78">
        <f>IF(OR($D78="",AN78="",28&gt;$F78),0,IF(UPPER(TRIM(AN78))=IFERROR(INDEX(Key!$C$2:$C$263,MATCH($D78*100+28,Key!$G$2:$G$263,0)),"#"),1,0))</f>
        <v/>
      </c>
      <c r="BT78">
        <f>IF(OR($D78="",AO78="",29&gt;$F78),0,IF(UPPER(TRIM(AO78))=IFERROR(INDEX(Key!$C$2:$C$263,MATCH($D78*100+29,Key!$G$2:$G$263,0)),"#"),1,0))</f>
        <v/>
      </c>
      <c r="BU78">
        <f>IF(OR($D78="",AP78="",30&gt;$F78),0,IF(UPPER(TRIM(AP78))=IFERROR(INDEX(Key!$C$2:$C$263,MATCH($D78*100+30,Key!$G$2:$G$263,0)),"#"),1,0))</f>
        <v/>
      </c>
    </row>
    <row r="79">
      <c r="A79" s="6" t="n"/>
      <c r="B79" s="6" t="n"/>
      <c r="C79" s="6" t="n"/>
      <c r="D79" s="6" t="n"/>
      <c r="E79" s="7">
        <f>IF($D79="","",IFERROR(INDEX(Papers!$B$2:$B$12,MATCH($D79,Papers!$A$2:$A$12,0)),"?"))</f>
        <v/>
      </c>
      <c r="F79" s="7">
        <f>IF($D79="","",IFERROR(INDEX(Papers!$C$2:$C$12,MATCH($D79,Papers!$A$2:$A$12,0)),0))</f>
        <v/>
      </c>
      <c r="G79" s="7">
        <f>IF($D79="","",COUNTIF(M79:AP79,"?*"))</f>
        <v/>
      </c>
      <c r="H79" s="7">
        <f>IF($D79="","",SUM(AR79:BU79))</f>
        <v/>
      </c>
      <c r="I79" s="7">
        <f>IF($D79="","",G79-H79)</f>
        <v/>
      </c>
      <c r="J79" s="7">
        <f>IF($D79="","",F79-G79)</f>
        <v/>
      </c>
      <c r="K79" s="7">
        <f>IF($D79="","",H79)</f>
        <v/>
      </c>
      <c r="L79" s="7">
        <f>IF($D79="","",IF(F79=0,"",ROUND(H79/F79*100,1)))</f>
        <v/>
      </c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R79">
        <f>IF(OR($D79="",M79="",1&gt;$F79),0,IF(UPPER(TRIM(M79))=IFERROR(INDEX(Key!$C$2:$C$263,MATCH($D79*100+1,Key!$G$2:$G$263,0)),"#"),1,0))</f>
        <v/>
      </c>
      <c r="AS79">
        <f>IF(OR($D79="",N79="",2&gt;$F79),0,IF(UPPER(TRIM(N79))=IFERROR(INDEX(Key!$C$2:$C$263,MATCH($D79*100+2,Key!$G$2:$G$263,0)),"#"),1,0))</f>
        <v/>
      </c>
      <c r="AT79">
        <f>IF(OR($D79="",O79="",3&gt;$F79),0,IF(UPPER(TRIM(O79))=IFERROR(INDEX(Key!$C$2:$C$263,MATCH($D79*100+3,Key!$G$2:$G$263,0)),"#"),1,0))</f>
        <v/>
      </c>
      <c r="AU79">
        <f>IF(OR($D79="",P79="",4&gt;$F79),0,IF(UPPER(TRIM(P79))=IFERROR(INDEX(Key!$C$2:$C$263,MATCH($D79*100+4,Key!$G$2:$G$263,0)),"#"),1,0))</f>
        <v/>
      </c>
      <c r="AV79">
        <f>IF(OR($D79="",Q79="",5&gt;$F79),0,IF(UPPER(TRIM(Q79))=IFERROR(INDEX(Key!$C$2:$C$263,MATCH($D79*100+5,Key!$G$2:$G$263,0)),"#"),1,0))</f>
        <v/>
      </c>
      <c r="AW79">
        <f>IF(OR($D79="",R79="",6&gt;$F79),0,IF(UPPER(TRIM(R79))=IFERROR(INDEX(Key!$C$2:$C$263,MATCH($D79*100+6,Key!$G$2:$G$263,0)),"#"),1,0))</f>
        <v/>
      </c>
      <c r="AX79">
        <f>IF(OR($D79="",S79="",7&gt;$F79),0,IF(UPPER(TRIM(S79))=IFERROR(INDEX(Key!$C$2:$C$263,MATCH($D79*100+7,Key!$G$2:$G$263,0)),"#"),1,0))</f>
        <v/>
      </c>
      <c r="AY79">
        <f>IF(OR($D79="",T79="",8&gt;$F79),0,IF(UPPER(TRIM(T79))=IFERROR(INDEX(Key!$C$2:$C$263,MATCH($D79*100+8,Key!$G$2:$G$263,0)),"#"),1,0))</f>
        <v/>
      </c>
      <c r="AZ79">
        <f>IF(OR($D79="",U79="",9&gt;$F79),0,IF(UPPER(TRIM(U79))=IFERROR(INDEX(Key!$C$2:$C$263,MATCH($D79*100+9,Key!$G$2:$G$263,0)),"#"),1,0))</f>
        <v/>
      </c>
      <c r="BA79">
        <f>IF(OR($D79="",V79="",10&gt;$F79),0,IF(UPPER(TRIM(V79))=IFERROR(INDEX(Key!$C$2:$C$263,MATCH($D79*100+10,Key!$G$2:$G$263,0)),"#"),1,0))</f>
        <v/>
      </c>
      <c r="BB79">
        <f>IF(OR($D79="",W79="",11&gt;$F79),0,IF(UPPER(TRIM(W79))=IFERROR(INDEX(Key!$C$2:$C$263,MATCH($D79*100+11,Key!$G$2:$G$263,0)),"#"),1,0))</f>
        <v/>
      </c>
      <c r="BC79">
        <f>IF(OR($D79="",X79="",12&gt;$F79),0,IF(UPPER(TRIM(X79))=IFERROR(INDEX(Key!$C$2:$C$263,MATCH($D79*100+12,Key!$G$2:$G$263,0)),"#"),1,0))</f>
        <v/>
      </c>
      <c r="BD79">
        <f>IF(OR($D79="",Y79="",13&gt;$F79),0,IF(UPPER(TRIM(Y79))=IFERROR(INDEX(Key!$C$2:$C$263,MATCH($D79*100+13,Key!$G$2:$G$263,0)),"#"),1,0))</f>
        <v/>
      </c>
      <c r="BE79">
        <f>IF(OR($D79="",Z79="",14&gt;$F79),0,IF(UPPER(TRIM(Z79))=IFERROR(INDEX(Key!$C$2:$C$263,MATCH($D79*100+14,Key!$G$2:$G$263,0)),"#"),1,0))</f>
        <v/>
      </c>
      <c r="BF79">
        <f>IF(OR($D79="",AA79="",15&gt;$F79),0,IF(UPPER(TRIM(AA79))=IFERROR(INDEX(Key!$C$2:$C$263,MATCH($D79*100+15,Key!$G$2:$G$263,0)),"#"),1,0))</f>
        <v/>
      </c>
      <c r="BG79">
        <f>IF(OR($D79="",AB79="",16&gt;$F79),0,IF(UPPER(TRIM(AB79))=IFERROR(INDEX(Key!$C$2:$C$263,MATCH($D79*100+16,Key!$G$2:$G$263,0)),"#"),1,0))</f>
        <v/>
      </c>
      <c r="BH79">
        <f>IF(OR($D79="",AC79="",17&gt;$F79),0,IF(UPPER(TRIM(AC79))=IFERROR(INDEX(Key!$C$2:$C$263,MATCH($D79*100+17,Key!$G$2:$G$263,0)),"#"),1,0))</f>
        <v/>
      </c>
      <c r="BI79">
        <f>IF(OR($D79="",AD79="",18&gt;$F79),0,IF(UPPER(TRIM(AD79))=IFERROR(INDEX(Key!$C$2:$C$263,MATCH($D79*100+18,Key!$G$2:$G$263,0)),"#"),1,0))</f>
        <v/>
      </c>
      <c r="BJ79">
        <f>IF(OR($D79="",AE79="",19&gt;$F79),0,IF(UPPER(TRIM(AE79))=IFERROR(INDEX(Key!$C$2:$C$263,MATCH($D79*100+19,Key!$G$2:$G$263,0)),"#"),1,0))</f>
        <v/>
      </c>
      <c r="BK79">
        <f>IF(OR($D79="",AF79="",20&gt;$F79),0,IF(UPPER(TRIM(AF79))=IFERROR(INDEX(Key!$C$2:$C$263,MATCH($D79*100+20,Key!$G$2:$G$263,0)),"#"),1,0))</f>
        <v/>
      </c>
      <c r="BL79">
        <f>IF(OR($D79="",AG79="",21&gt;$F79),0,IF(UPPER(TRIM(AG79))=IFERROR(INDEX(Key!$C$2:$C$263,MATCH($D79*100+21,Key!$G$2:$G$263,0)),"#"),1,0))</f>
        <v/>
      </c>
      <c r="BM79">
        <f>IF(OR($D79="",AH79="",22&gt;$F79),0,IF(UPPER(TRIM(AH79))=IFERROR(INDEX(Key!$C$2:$C$263,MATCH($D79*100+22,Key!$G$2:$G$263,0)),"#"),1,0))</f>
        <v/>
      </c>
      <c r="BN79">
        <f>IF(OR($D79="",AI79="",23&gt;$F79),0,IF(UPPER(TRIM(AI79))=IFERROR(INDEX(Key!$C$2:$C$263,MATCH($D79*100+23,Key!$G$2:$G$263,0)),"#"),1,0))</f>
        <v/>
      </c>
      <c r="BO79">
        <f>IF(OR($D79="",AJ79="",24&gt;$F79),0,IF(UPPER(TRIM(AJ79))=IFERROR(INDEX(Key!$C$2:$C$263,MATCH($D79*100+24,Key!$G$2:$G$263,0)),"#"),1,0))</f>
        <v/>
      </c>
      <c r="BP79">
        <f>IF(OR($D79="",AK79="",25&gt;$F79),0,IF(UPPER(TRIM(AK79))=IFERROR(INDEX(Key!$C$2:$C$263,MATCH($D79*100+25,Key!$G$2:$G$263,0)),"#"),1,0))</f>
        <v/>
      </c>
      <c r="BQ79">
        <f>IF(OR($D79="",AL79="",26&gt;$F79),0,IF(UPPER(TRIM(AL79))=IFERROR(INDEX(Key!$C$2:$C$263,MATCH($D79*100+26,Key!$G$2:$G$263,0)),"#"),1,0))</f>
        <v/>
      </c>
      <c r="BR79">
        <f>IF(OR($D79="",AM79="",27&gt;$F79),0,IF(UPPER(TRIM(AM79))=IFERROR(INDEX(Key!$C$2:$C$263,MATCH($D79*100+27,Key!$G$2:$G$263,0)),"#"),1,0))</f>
        <v/>
      </c>
      <c r="BS79">
        <f>IF(OR($D79="",AN79="",28&gt;$F79),0,IF(UPPER(TRIM(AN79))=IFERROR(INDEX(Key!$C$2:$C$263,MATCH($D79*100+28,Key!$G$2:$G$263,0)),"#"),1,0))</f>
        <v/>
      </c>
      <c r="BT79">
        <f>IF(OR($D79="",AO79="",29&gt;$F79),0,IF(UPPER(TRIM(AO79))=IFERROR(INDEX(Key!$C$2:$C$263,MATCH($D79*100+29,Key!$G$2:$G$263,0)),"#"),1,0))</f>
        <v/>
      </c>
      <c r="BU79">
        <f>IF(OR($D79="",AP79="",30&gt;$F79),0,IF(UPPER(TRIM(AP79))=IFERROR(INDEX(Key!$C$2:$C$263,MATCH($D79*100+30,Key!$G$2:$G$263,0)),"#"),1,0))</f>
        <v/>
      </c>
    </row>
    <row r="80">
      <c r="A80" s="6" t="n"/>
      <c r="B80" s="6" t="n"/>
      <c r="C80" s="6" t="n"/>
      <c r="D80" s="6" t="n"/>
      <c r="E80" s="7">
        <f>IF($D80="","",IFERROR(INDEX(Papers!$B$2:$B$12,MATCH($D80,Papers!$A$2:$A$12,0)),"?"))</f>
        <v/>
      </c>
      <c r="F80" s="7">
        <f>IF($D80="","",IFERROR(INDEX(Papers!$C$2:$C$12,MATCH($D80,Papers!$A$2:$A$12,0)),0))</f>
        <v/>
      </c>
      <c r="G80" s="7">
        <f>IF($D80="","",COUNTIF(M80:AP80,"?*"))</f>
        <v/>
      </c>
      <c r="H80" s="7">
        <f>IF($D80="","",SUM(AR80:BU80))</f>
        <v/>
      </c>
      <c r="I80" s="7">
        <f>IF($D80="","",G80-H80)</f>
        <v/>
      </c>
      <c r="J80" s="7">
        <f>IF($D80="","",F80-G80)</f>
        <v/>
      </c>
      <c r="K80" s="7">
        <f>IF($D80="","",H80)</f>
        <v/>
      </c>
      <c r="L80" s="7">
        <f>IF($D80="","",IF(F80=0,"",ROUND(H80/F80*100,1)))</f>
        <v/>
      </c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R80">
        <f>IF(OR($D80="",M80="",1&gt;$F80),0,IF(UPPER(TRIM(M80))=IFERROR(INDEX(Key!$C$2:$C$263,MATCH($D80*100+1,Key!$G$2:$G$263,0)),"#"),1,0))</f>
        <v/>
      </c>
      <c r="AS80">
        <f>IF(OR($D80="",N80="",2&gt;$F80),0,IF(UPPER(TRIM(N80))=IFERROR(INDEX(Key!$C$2:$C$263,MATCH($D80*100+2,Key!$G$2:$G$263,0)),"#"),1,0))</f>
        <v/>
      </c>
      <c r="AT80">
        <f>IF(OR($D80="",O80="",3&gt;$F80),0,IF(UPPER(TRIM(O80))=IFERROR(INDEX(Key!$C$2:$C$263,MATCH($D80*100+3,Key!$G$2:$G$263,0)),"#"),1,0))</f>
        <v/>
      </c>
      <c r="AU80">
        <f>IF(OR($D80="",P80="",4&gt;$F80),0,IF(UPPER(TRIM(P80))=IFERROR(INDEX(Key!$C$2:$C$263,MATCH($D80*100+4,Key!$G$2:$G$263,0)),"#"),1,0))</f>
        <v/>
      </c>
      <c r="AV80">
        <f>IF(OR($D80="",Q80="",5&gt;$F80),0,IF(UPPER(TRIM(Q80))=IFERROR(INDEX(Key!$C$2:$C$263,MATCH($D80*100+5,Key!$G$2:$G$263,0)),"#"),1,0))</f>
        <v/>
      </c>
      <c r="AW80">
        <f>IF(OR($D80="",R80="",6&gt;$F80),0,IF(UPPER(TRIM(R80))=IFERROR(INDEX(Key!$C$2:$C$263,MATCH($D80*100+6,Key!$G$2:$G$263,0)),"#"),1,0))</f>
        <v/>
      </c>
      <c r="AX80">
        <f>IF(OR($D80="",S80="",7&gt;$F80),0,IF(UPPER(TRIM(S80))=IFERROR(INDEX(Key!$C$2:$C$263,MATCH($D80*100+7,Key!$G$2:$G$263,0)),"#"),1,0))</f>
        <v/>
      </c>
      <c r="AY80">
        <f>IF(OR($D80="",T80="",8&gt;$F80),0,IF(UPPER(TRIM(T80))=IFERROR(INDEX(Key!$C$2:$C$263,MATCH($D80*100+8,Key!$G$2:$G$263,0)),"#"),1,0))</f>
        <v/>
      </c>
      <c r="AZ80">
        <f>IF(OR($D80="",U80="",9&gt;$F80),0,IF(UPPER(TRIM(U80))=IFERROR(INDEX(Key!$C$2:$C$263,MATCH($D80*100+9,Key!$G$2:$G$263,0)),"#"),1,0))</f>
        <v/>
      </c>
      <c r="BA80">
        <f>IF(OR($D80="",V80="",10&gt;$F80),0,IF(UPPER(TRIM(V80))=IFERROR(INDEX(Key!$C$2:$C$263,MATCH($D80*100+10,Key!$G$2:$G$263,0)),"#"),1,0))</f>
        <v/>
      </c>
      <c r="BB80">
        <f>IF(OR($D80="",W80="",11&gt;$F80),0,IF(UPPER(TRIM(W80))=IFERROR(INDEX(Key!$C$2:$C$263,MATCH($D80*100+11,Key!$G$2:$G$263,0)),"#"),1,0))</f>
        <v/>
      </c>
      <c r="BC80">
        <f>IF(OR($D80="",X80="",12&gt;$F80),0,IF(UPPER(TRIM(X80))=IFERROR(INDEX(Key!$C$2:$C$263,MATCH($D80*100+12,Key!$G$2:$G$263,0)),"#"),1,0))</f>
        <v/>
      </c>
      <c r="BD80">
        <f>IF(OR($D80="",Y80="",13&gt;$F80),0,IF(UPPER(TRIM(Y80))=IFERROR(INDEX(Key!$C$2:$C$263,MATCH($D80*100+13,Key!$G$2:$G$263,0)),"#"),1,0))</f>
        <v/>
      </c>
      <c r="BE80">
        <f>IF(OR($D80="",Z80="",14&gt;$F80),0,IF(UPPER(TRIM(Z80))=IFERROR(INDEX(Key!$C$2:$C$263,MATCH($D80*100+14,Key!$G$2:$G$263,0)),"#"),1,0))</f>
        <v/>
      </c>
      <c r="BF80">
        <f>IF(OR($D80="",AA80="",15&gt;$F80),0,IF(UPPER(TRIM(AA80))=IFERROR(INDEX(Key!$C$2:$C$263,MATCH($D80*100+15,Key!$G$2:$G$263,0)),"#"),1,0))</f>
        <v/>
      </c>
      <c r="BG80">
        <f>IF(OR($D80="",AB80="",16&gt;$F80),0,IF(UPPER(TRIM(AB80))=IFERROR(INDEX(Key!$C$2:$C$263,MATCH($D80*100+16,Key!$G$2:$G$263,0)),"#"),1,0))</f>
        <v/>
      </c>
      <c r="BH80">
        <f>IF(OR($D80="",AC80="",17&gt;$F80),0,IF(UPPER(TRIM(AC80))=IFERROR(INDEX(Key!$C$2:$C$263,MATCH($D80*100+17,Key!$G$2:$G$263,0)),"#"),1,0))</f>
        <v/>
      </c>
      <c r="BI80">
        <f>IF(OR($D80="",AD80="",18&gt;$F80),0,IF(UPPER(TRIM(AD80))=IFERROR(INDEX(Key!$C$2:$C$263,MATCH($D80*100+18,Key!$G$2:$G$263,0)),"#"),1,0))</f>
        <v/>
      </c>
      <c r="BJ80">
        <f>IF(OR($D80="",AE80="",19&gt;$F80),0,IF(UPPER(TRIM(AE80))=IFERROR(INDEX(Key!$C$2:$C$263,MATCH($D80*100+19,Key!$G$2:$G$263,0)),"#"),1,0))</f>
        <v/>
      </c>
      <c r="BK80">
        <f>IF(OR($D80="",AF80="",20&gt;$F80),0,IF(UPPER(TRIM(AF80))=IFERROR(INDEX(Key!$C$2:$C$263,MATCH($D80*100+20,Key!$G$2:$G$263,0)),"#"),1,0))</f>
        <v/>
      </c>
      <c r="BL80">
        <f>IF(OR($D80="",AG80="",21&gt;$F80),0,IF(UPPER(TRIM(AG80))=IFERROR(INDEX(Key!$C$2:$C$263,MATCH($D80*100+21,Key!$G$2:$G$263,0)),"#"),1,0))</f>
        <v/>
      </c>
      <c r="BM80">
        <f>IF(OR($D80="",AH80="",22&gt;$F80),0,IF(UPPER(TRIM(AH80))=IFERROR(INDEX(Key!$C$2:$C$263,MATCH($D80*100+22,Key!$G$2:$G$263,0)),"#"),1,0))</f>
        <v/>
      </c>
      <c r="BN80">
        <f>IF(OR($D80="",AI80="",23&gt;$F80),0,IF(UPPER(TRIM(AI80))=IFERROR(INDEX(Key!$C$2:$C$263,MATCH($D80*100+23,Key!$G$2:$G$263,0)),"#"),1,0))</f>
        <v/>
      </c>
      <c r="BO80">
        <f>IF(OR($D80="",AJ80="",24&gt;$F80),0,IF(UPPER(TRIM(AJ80))=IFERROR(INDEX(Key!$C$2:$C$263,MATCH($D80*100+24,Key!$G$2:$G$263,0)),"#"),1,0))</f>
        <v/>
      </c>
      <c r="BP80">
        <f>IF(OR($D80="",AK80="",25&gt;$F80),0,IF(UPPER(TRIM(AK80))=IFERROR(INDEX(Key!$C$2:$C$263,MATCH($D80*100+25,Key!$G$2:$G$263,0)),"#"),1,0))</f>
        <v/>
      </c>
      <c r="BQ80">
        <f>IF(OR($D80="",AL80="",26&gt;$F80),0,IF(UPPER(TRIM(AL80))=IFERROR(INDEX(Key!$C$2:$C$263,MATCH($D80*100+26,Key!$G$2:$G$263,0)),"#"),1,0))</f>
        <v/>
      </c>
      <c r="BR80">
        <f>IF(OR($D80="",AM80="",27&gt;$F80),0,IF(UPPER(TRIM(AM80))=IFERROR(INDEX(Key!$C$2:$C$263,MATCH($D80*100+27,Key!$G$2:$G$263,0)),"#"),1,0))</f>
        <v/>
      </c>
      <c r="BS80">
        <f>IF(OR($D80="",AN80="",28&gt;$F80),0,IF(UPPER(TRIM(AN80))=IFERROR(INDEX(Key!$C$2:$C$263,MATCH($D80*100+28,Key!$G$2:$G$263,0)),"#"),1,0))</f>
        <v/>
      </c>
      <c r="BT80">
        <f>IF(OR($D80="",AO80="",29&gt;$F80),0,IF(UPPER(TRIM(AO80))=IFERROR(INDEX(Key!$C$2:$C$263,MATCH($D80*100+29,Key!$G$2:$G$263,0)),"#"),1,0))</f>
        <v/>
      </c>
      <c r="BU80">
        <f>IF(OR($D80="",AP80="",30&gt;$F80),0,IF(UPPER(TRIM(AP80))=IFERROR(INDEX(Key!$C$2:$C$263,MATCH($D80*100+30,Key!$G$2:$G$263,0)),"#"),1,0))</f>
        <v/>
      </c>
    </row>
    <row r="81">
      <c r="A81" s="6" t="n"/>
      <c r="B81" s="6" t="n"/>
      <c r="C81" s="6" t="n"/>
      <c r="D81" s="6" t="n"/>
      <c r="E81" s="7">
        <f>IF($D81="","",IFERROR(INDEX(Papers!$B$2:$B$12,MATCH($D81,Papers!$A$2:$A$12,0)),"?"))</f>
        <v/>
      </c>
      <c r="F81" s="7">
        <f>IF($D81="","",IFERROR(INDEX(Papers!$C$2:$C$12,MATCH($D81,Papers!$A$2:$A$12,0)),0))</f>
        <v/>
      </c>
      <c r="G81" s="7">
        <f>IF($D81="","",COUNTIF(M81:AP81,"?*"))</f>
        <v/>
      </c>
      <c r="H81" s="7">
        <f>IF($D81="","",SUM(AR81:BU81))</f>
        <v/>
      </c>
      <c r="I81" s="7">
        <f>IF($D81="","",G81-H81)</f>
        <v/>
      </c>
      <c r="J81" s="7">
        <f>IF($D81="","",F81-G81)</f>
        <v/>
      </c>
      <c r="K81" s="7">
        <f>IF($D81="","",H81)</f>
        <v/>
      </c>
      <c r="L81" s="7">
        <f>IF($D81="","",IF(F81=0,"",ROUND(H81/F81*100,1)))</f>
        <v/>
      </c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R81">
        <f>IF(OR($D81="",M81="",1&gt;$F81),0,IF(UPPER(TRIM(M81))=IFERROR(INDEX(Key!$C$2:$C$263,MATCH($D81*100+1,Key!$G$2:$G$263,0)),"#"),1,0))</f>
        <v/>
      </c>
      <c r="AS81">
        <f>IF(OR($D81="",N81="",2&gt;$F81),0,IF(UPPER(TRIM(N81))=IFERROR(INDEX(Key!$C$2:$C$263,MATCH($D81*100+2,Key!$G$2:$G$263,0)),"#"),1,0))</f>
        <v/>
      </c>
      <c r="AT81">
        <f>IF(OR($D81="",O81="",3&gt;$F81),0,IF(UPPER(TRIM(O81))=IFERROR(INDEX(Key!$C$2:$C$263,MATCH($D81*100+3,Key!$G$2:$G$263,0)),"#"),1,0))</f>
        <v/>
      </c>
      <c r="AU81">
        <f>IF(OR($D81="",P81="",4&gt;$F81),0,IF(UPPER(TRIM(P81))=IFERROR(INDEX(Key!$C$2:$C$263,MATCH($D81*100+4,Key!$G$2:$G$263,0)),"#"),1,0))</f>
        <v/>
      </c>
      <c r="AV81">
        <f>IF(OR($D81="",Q81="",5&gt;$F81),0,IF(UPPER(TRIM(Q81))=IFERROR(INDEX(Key!$C$2:$C$263,MATCH($D81*100+5,Key!$G$2:$G$263,0)),"#"),1,0))</f>
        <v/>
      </c>
      <c r="AW81">
        <f>IF(OR($D81="",R81="",6&gt;$F81),0,IF(UPPER(TRIM(R81))=IFERROR(INDEX(Key!$C$2:$C$263,MATCH($D81*100+6,Key!$G$2:$G$263,0)),"#"),1,0))</f>
        <v/>
      </c>
      <c r="AX81">
        <f>IF(OR($D81="",S81="",7&gt;$F81),0,IF(UPPER(TRIM(S81))=IFERROR(INDEX(Key!$C$2:$C$263,MATCH($D81*100+7,Key!$G$2:$G$263,0)),"#"),1,0))</f>
        <v/>
      </c>
      <c r="AY81">
        <f>IF(OR($D81="",T81="",8&gt;$F81),0,IF(UPPER(TRIM(T81))=IFERROR(INDEX(Key!$C$2:$C$263,MATCH($D81*100+8,Key!$G$2:$G$263,0)),"#"),1,0))</f>
        <v/>
      </c>
      <c r="AZ81">
        <f>IF(OR($D81="",U81="",9&gt;$F81),0,IF(UPPER(TRIM(U81))=IFERROR(INDEX(Key!$C$2:$C$263,MATCH($D81*100+9,Key!$G$2:$G$263,0)),"#"),1,0))</f>
        <v/>
      </c>
      <c r="BA81">
        <f>IF(OR($D81="",V81="",10&gt;$F81),0,IF(UPPER(TRIM(V81))=IFERROR(INDEX(Key!$C$2:$C$263,MATCH($D81*100+10,Key!$G$2:$G$263,0)),"#"),1,0))</f>
        <v/>
      </c>
      <c r="BB81">
        <f>IF(OR($D81="",W81="",11&gt;$F81),0,IF(UPPER(TRIM(W81))=IFERROR(INDEX(Key!$C$2:$C$263,MATCH($D81*100+11,Key!$G$2:$G$263,0)),"#"),1,0))</f>
        <v/>
      </c>
      <c r="BC81">
        <f>IF(OR($D81="",X81="",12&gt;$F81),0,IF(UPPER(TRIM(X81))=IFERROR(INDEX(Key!$C$2:$C$263,MATCH($D81*100+12,Key!$G$2:$G$263,0)),"#"),1,0))</f>
        <v/>
      </c>
      <c r="BD81">
        <f>IF(OR($D81="",Y81="",13&gt;$F81),0,IF(UPPER(TRIM(Y81))=IFERROR(INDEX(Key!$C$2:$C$263,MATCH($D81*100+13,Key!$G$2:$G$263,0)),"#"),1,0))</f>
        <v/>
      </c>
      <c r="BE81">
        <f>IF(OR($D81="",Z81="",14&gt;$F81),0,IF(UPPER(TRIM(Z81))=IFERROR(INDEX(Key!$C$2:$C$263,MATCH($D81*100+14,Key!$G$2:$G$263,0)),"#"),1,0))</f>
        <v/>
      </c>
      <c r="BF81">
        <f>IF(OR($D81="",AA81="",15&gt;$F81),0,IF(UPPER(TRIM(AA81))=IFERROR(INDEX(Key!$C$2:$C$263,MATCH($D81*100+15,Key!$G$2:$G$263,0)),"#"),1,0))</f>
        <v/>
      </c>
      <c r="BG81">
        <f>IF(OR($D81="",AB81="",16&gt;$F81),0,IF(UPPER(TRIM(AB81))=IFERROR(INDEX(Key!$C$2:$C$263,MATCH($D81*100+16,Key!$G$2:$G$263,0)),"#"),1,0))</f>
        <v/>
      </c>
      <c r="BH81">
        <f>IF(OR($D81="",AC81="",17&gt;$F81),0,IF(UPPER(TRIM(AC81))=IFERROR(INDEX(Key!$C$2:$C$263,MATCH($D81*100+17,Key!$G$2:$G$263,0)),"#"),1,0))</f>
        <v/>
      </c>
      <c r="BI81">
        <f>IF(OR($D81="",AD81="",18&gt;$F81),0,IF(UPPER(TRIM(AD81))=IFERROR(INDEX(Key!$C$2:$C$263,MATCH($D81*100+18,Key!$G$2:$G$263,0)),"#"),1,0))</f>
        <v/>
      </c>
      <c r="BJ81">
        <f>IF(OR($D81="",AE81="",19&gt;$F81),0,IF(UPPER(TRIM(AE81))=IFERROR(INDEX(Key!$C$2:$C$263,MATCH($D81*100+19,Key!$G$2:$G$263,0)),"#"),1,0))</f>
        <v/>
      </c>
      <c r="BK81">
        <f>IF(OR($D81="",AF81="",20&gt;$F81),0,IF(UPPER(TRIM(AF81))=IFERROR(INDEX(Key!$C$2:$C$263,MATCH($D81*100+20,Key!$G$2:$G$263,0)),"#"),1,0))</f>
        <v/>
      </c>
      <c r="BL81">
        <f>IF(OR($D81="",AG81="",21&gt;$F81),0,IF(UPPER(TRIM(AG81))=IFERROR(INDEX(Key!$C$2:$C$263,MATCH($D81*100+21,Key!$G$2:$G$263,0)),"#"),1,0))</f>
        <v/>
      </c>
      <c r="BM81">
        <f>IF(OR($D81="",AH81="",22&gt;$F81),0,IF(UPPER(TRIM(AH81))=IFERROR(INDEX(Key!$C$2:$C$263,MATCH($D81*100+22,Key!$G$2:$G$263,0)),"#"),1,0))</f>
        <v/>
      </c>
      <c r="BN81">
        <f>IF(OR($D81="",AI81="",23&gt;$F81),0,IF(UPPER(TRIM(AI81))=IFERROR(INDEX(Key!$C$2:$C$263,MATCH($D81*100+23,Key!$G$2:$G$263,0)),"#"),1,0))</f>
        <v/>
      </c>
      <c r="BO81">
        <f>IF(OR($D81="",AJ81="",24&gt;$F81),0,IF(UPPER(TRIM(AJ81))=IFERROR(INDEX(Key!$C$2:$C$263,MATCH($D81*100+24,Key!$G$2:$G$263,0)),"#"),1,0))</f>
        <v/>
      </c>
      <c r="BP81">
        <f>IF(OR($D81="",AK81="",25&gt;$F81),0,IF(UPPER(TRIM(AK81))=IFERROR(INDEX(Key!$C$2:$C$263,MATCH($D81*100+25,Key!$G$2:$G$263,0)),"#"),1,0))</f>
        <v/>
      </c>
      <c r="BQ81">
        <f>IF(OR($D81="",AL81="",26&gt;$F81),0,IF(UPPER(TRIM(AL81))=IFERROR(INDEX(Key!$C$2:$C$263,MATCH($D81*100+26,Key!$G$2:$G$263,0)),"#"),1,0))</f>
        <v/>
      </c>
      <c r="BR81">
        <f>IF(OR($D81="",AM81="",27&gt;$F81),0,IF(UPPER(TRIM(AM81))=IFERROR(INDEX(Key!$C$2:$C$263,MATCH($D81*100+27,Key!$G$2:$G$263,0)),"#"),1,0))</f>
        <v/>
      </c>
      <c r="BS81">
        <f>IF(OR($D81="",AN81="",28&gt;$F81),0,IF(UPPER(TRIM(AN81))=IFERROR(INDEX(Key!$C$2:$C$263,MATCH($D81*100+28,Key!$G$2:$G$263,0)),"#"),1,0))</f>
        <v/>
      </c>
      <c r="BT81">
        <f>IF(OR($D81="",AO81="",29&gt;$F81),0,IF(UPPER(TRIM(AO81))=IFERROR(INDEX(Key!$C$2:$C$263,MATCH($D81*100+29,Key!$G$2:$G$263,0)),"#"),1,0))</f>
        <v/>
      </c>
      <c r="BU81">
        <f>IF(OR($D81="",AP81="",30&gt;$F81),0,IF(UPPER(TRIM(AP81))=IFERROR(INDEX(Key!$C$2:$C$263,MATCH($D81*100+30,Key!$G$2:$G$263,0)),"#"),1,0))</f>
        <v/>
      </c>
    </row>
    <row r="82">
      <c r="A82" s="6" t="n"/>
      <c r="B82" s="6" t="n"/>
      <c r="C82" s="6" t="n"/>
      <c r="D82" s="6" t="n"/>
      <c r="E82" s="7">
        <f>IF($D82="","",IFERROR(INDEX(Papers!$B$2:$B$12,MATCH($D82,Papers!$A$2:$A$12,0)),"?"))</f>
        <v/>
      </c>
      <c r="F82" s="7">
        <f>IF($D82="","",IFERROR(INDEX(Papers!$C$2:$C$12,MATCH($D82,Papers!$A$2:$A$12,0)),0))</f>
        <v/>
      </c>
      <c r="G82" s="7">
        <f>IF($D82="","",COUNTIF(M82:AP82,"?*"))</f>
        <v/>
      </c>
      <c r="H82" s="7">
        <f>IF($D82="","",SUM(AR82:BU82))</f>
        <v/>
      </c>
      <c r="I82" s="7">
        <f>IF($D82="","",G82-H82)</f>
        <v/>
      </c>
      <c r="J82" s="7">
        <f>IF($D82="","",F82-G82)</f>
        <v/>
      </c>
      <c r="K82" s="7">
        <f>IF($D82="","",H82)</f>
        <v/>
      </c>
      <c r="L82" s="7">
        <f>IF($D82="","",IF(F82=0,"",ROUND(H82/F82*100,1)))</f>
        <v/>
      </c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R82">
        <f>IF(OR($D82="",M82="",1&gt;$F82),0,IF(UPPER(TRIM(M82))=IFERROR(INDEX(Key!$C$2:$C$263,MATCH($D82*100+1,Key!$G$2:$G$263,0)),"#"),1,0))</f>
        <v/>
      </c>
      <c r="AS82">
        <f>IF(OR($D82="",N82="",2&gt;$F82),0,IF(UPPER(TRIM(N82))=IFERROR(INDEX(Key!$C$2:$C$263,MATCH($D82*100+2,Key!$G$2:$G$263,0)),"#"),1,0))</f>
        <v/>
      </c>
      <c r="AT82">
        <f>IF(OR($D82="",O82="",3&gt;$F82),0,IF(UPPER(TRIM(O82))=IFERROR(INDEX(Key!$C$2:$C$263,MATCH($D82*100+3,Key!$G$2:$G$263,0)),"#"),1,0))</f>
        <v/>
      </c>
      <c r="AU82">
        <f>IF(OR($D82="",P82="",4&gt;$F82),0,IF(UPPER(TRIM(P82))=IFERROR(INDEX(Key!$C$2:$C$263,MATCH($D82*100+4,Key!$G$2:$G$263,0)),"#"),1,0))</f>
        <v/>
      </c>
      <c r="AV82">
        <f>IF(OR($D82="",Q82="",5&gt;$F82),0,IF(UPPER(TRIM(Q82))=IFERROR(INDEX(Key!$C$2:$C$263,MATCH($D82*100+5,Key!$G$2:$G$263,0)),"#"),1,0))</f>
        <v/>
      </c>
      <c r="AW82">
        <f>IF(OR($D82="",R82="",6&gt;$F82),0,IF(UPPER(TRIM(R82))=IFERROR(INDEX(Key!$C$2:$C$263,MATCH($D82*100+6,Key!$G$2:$G$263,0)),"#"),1,0))</f>
        <v/>
      </c>
      <c r="AX82">
        <f>IF(OR($D82="",S82="",7&gt;$F82),0,IF(UPPER(TRIM(S82))=IFERROR(INDEX(Key!$C$2:$C$263,MATCH($D82*100+7,Key!$G$2:$G$263,0)),"#"),1,0))</f>
        <v/>
      </c>
      <c r="AY82">
        <f>IF(OR($D82="",T82="",8&gt;$F82),0,IF(UPPER(TRIM(T82))=IFERROR(INDEX(Key!$C$2:$C$263,MATCH($D82*100+8,Key!$G$2:$G$263,0)),"#"),1,0))</f>
        <v/>
      </c>
      <c r="AZ82">
        <f>IF(OR($D82="",U82="",9&gt;$F82),0,IF(UPPER(TRIM(U82))=IFERROR(INDEX(Key!$C$2:$C$263,MATCH($D82*100+9,Key!$G$2:$G$263,0)),"#"),1,0))</f>
        <v/>
      </c>
      <c r="BA82">
        <f>IF(OR($D82="",V82="",10&gt;$F82),0,IF(UPPER(TRIM(V82))=IFERROR(INDEX(Key!$C$2:$C$263,MATCH($D82*100+10,Key!$G$2:$G$263,0)),"#"),1,0))</f>
        <v/>
      </c>
      <c r="BB82">
        <f>IF(OR($D82="",W82="",11&gt;$F82),0,IF(UPPER(TRIM(W82))=IFERROR(INDEX(Key!$C$2:$C$263,MATCH($D82*100+11,Key!$G$2:$G$263,0)),"#"),1,0))</f>
        <v/>
      </c>
      <c r="BC82">
        <f>IF(OR($D82="",X82="",12&gt;$F82),0,IF(UPPER(TRIM(X82))=IFERROR(INDEX(Key!$C$2:$C$263,MATCH($D82*100+12,Key!$G$2:$G$263,0)),"#"),1,0))</f>
        <v/>
      </c>
      <c r="BD82">
        <f>IF(OR($D82="",Y82="",13&gt;$F82),0,IF(UPPER(TRIM(Y82))=IFERROR(INDEX(Key!$C$2:$C$263,MATCH($D82*100+13,Key!$G$2:$G$263,0)),"#"),1,0))</f>
        <v/>
      </c>
      <c r="BE82">
        <f>IF(OR($D82="",Z82="",14&gt;$F82),0,IF(UPPER(TRIM(Z82))=IFERROR(INDEX(Key!$C$2:$C$263,MATCH($D82*100+14,Key!$G$2:$G$263,0)),"#"),1,0))</f>
        <v/>
      </c>
      <c r="BF82">
        <f>IF(OR($D82="",AA82="",15&gt;$F82),0,IF(UPPER(TRIM(AA82))=IFERROR(INDEX(Key!$C$2:$C$263,MATCH($D82*100+15,Key!$G$2:$G$263,0)),"#"),1,0))</f>
        <v/>
      </c>
      <c r="BG82">
        <f>IF(OR($D82="",AB82="",16&gt;$F82),0,IF(UPPER(TRIM(AB82))=IFERROR(INDEX(Key!$C$2:$C$263,MATCH($D82*100+16,Key!$G$2:$G$263,0)),"#"),1,0))</f>
        <v/>
      </c>
      <c r="BH82">
        <f>IF(OR($D82="",AC82="",17&gt;$F82),0,IF(UPPER(TRIM(AC82))=IFERROR(INDEX(Key!$C$2:$C$263,MATCH($D82*100+17,Key!$G$2:$G$263,0)),"#"),1,0))</f>
        <v/>
      </c>
      <c r="BI82">
        <f>IF(OR($D82="",AD82="",18&gt;$F82),0,IF(UPPER(TRIM(AD82))=IFERROR(INDEX(Key!$C$2:$C$263,MATCH($D82*100+18,Key!$G$2:$G$263,0)),"#"),1,0))</f>
        <v/>
      </c>
      <c r="BJ82">
        <f>IF(OR($D82="",AE82="",19&gt;$F82),0,IF(UPPER(TRIM(AE82))=IFERROR(INDEX(Key!$C$2:$C$263,MATCH($D82*100+19,Key!$G$2:$G$263,0)),"#"),1,0))</f>
        <v/>
      </c>
      <c r="BK82">
        <f>IF(OR($D82="",AF82="",20&gt;$F82),0,IF(UPPER(TRIM(AF82))=IFERROR(INDEX(Key!$C$2:$C$263,MATCH($D82*100+20,Key!$G$2:$G$263,0)),"#"),1,0))</f>
        <v/>
      </c>
      <c r="BL82">
        <f>IF(OR($D82="",AG82="",21&gt;$F82),0,IF(UPPER(TRIM(AG82))=IFERROR(INDEX(Key!$C$2:$C$263,MATCH($D82*100+21,Key!$G$2:$G$263,0)),"#"),1,0))</f>
        <v/>
      </c>
      <c r="BM82">
        <f>IF(OR($D82="",AH82="",22&gt;$F82),0,IF(UPPER(TRIM(AH82))=IFERROR(INDEX(Key!$C$2:$C$263,MATCH($D82*100+22,Key!$G$2:$G$263,0)),"#"),1,0))</f>
        <v/>
      </c>
      <c r="BN82">
        <f>IF(OR($D82="",AI82="",23&gt;$F82),0,IF(UPPER(TRIM(AI82))=IFERROR(INDEX(Key!$C$2:$C$263,MATCH($D82*100+23,Key!$G$2:$G$263,0)),"#"),1,0))</f>
        <v/>
      </c>
      <c r="BO82">
        <f>IF(OR($D82="",AJ82="",24&gt;$F82),0,IF(UPPER(TRIM(AJ82))=IFERROR(INDEX(Key!$C$2:$C$263,MATCH($D82*100+24,Key!$G$2:$G$263,0)),"#"),1,0))</f>
        <v/>
      </c>
      <c r="BP82">
        <f>IF(OR($D82="",AK82="",25&gt;$F82),0,IF(UPPER(TRIM(AK82))=IFERROR(INDEX(Key!$C$2:$C$263,MATCH($D82*100+25,Key!$G$2:$G$263,0)),"#"),1,0))</f>
        <v/>
      </c>
      <c r="BQ82">
        <f>IF(OR($D82="",AL82="",26&gt;$F82),0,IF(UPPER(TRIM(AL82))=IFERROR(INDEX(Key!$C$2:$C$263,MATCH($D82*100+26,Key!$G$2:$G$263,0)),"#"),1,0))</f>
        <v/>
      </c>
      <c r="BR82">
        <f>IF(OR($D82="",AM82="",27&gt;$F82),0,IF(UPPER(TRIM(AM82))=IFERROR(INDEX(Key!$C$2:$C$263,MATCH($D82*100+27,Key!$G$2:$G$263,0)),"#"),1,0))</f>
        <v/>
      </c>
      <c r="BS82">
        <f>IF(OR($D82="",AN82="",28&gt;$F82),0,IF(UPPER(TRIM(AN82))=IFERROR(INDEX(Key!$C$2:$C$263,MATCH($D82*100+28,Key!$G$2:$G$263,0)),"#"),1,0))</f>
        <v/>
      </c>
      <c r="BT82">
        <f>IF(OR($D82="",AO82="",29&gt;$F82),0,IF(UPPER(TRIM(AO82))=IFERROR(INDEX(Key!$C$2:$C$263,MATCH($D82*100+29,Key!$G$2:$G$263,0)),"#"),1,0))</f>
        <v/>
      </c>
      <c r="BU82">
        <f>IF(OR($D82="",AP82="",30&gt;$F82),0,IF(UPPER(TRIM(AP82))=IFERROR(INDEX(Key!$C$2:$C$263,MATCH($D82*100+30,Key!$G$2:$G$263,0)),"#"),1,0))</f>
        <v/>
      </c>
    </row>
    <row r="83">
      <c r="A83" s="6" t="n"/>
      <c r="B83" s="6" t="n"/>
      <c r="C83" s="6" t="n"/>
      <c r="D83" s="6" t="n"/>
      <c r="E83" s="7">
        <f>IF($D83="","",IFERROR(INDEX(Papers!$B$2:$B$12,MATCH($D83,Papers!$A$2:$A$12,0)),"?"))</f>
        <v/>
      </c>
      <c r="F83" s="7">
        <f>IF($D83="","",IFERROR(INDEX(Papers!$C$2:$C$12,MATCH($D83,Papers!$A$2:$A$12,0)),0))</f>
        <v/>
      </c>
      <c r="G83" s="7">
        <f>IF($D83="","",COUNTIF(M83:AP83,"?*"))</f>
        <v/>
      </c>
      <c r="H83" s="7">
        <f>IF($D83="","",SUM(AR83:BU83))</f>
        <v/>
      </c>
      <c r="I83" s="7">
        <f>IF($D83="","",G83-H83)</f>
        <v/>
      </c>
      <c r="J83" s="7">
        <f>IF($D83="","",F83-G83)</f>
        <v/>
      </c>
      <c r="K83" s="7">
        <f>IF($D83="","",H83)</f>
        <v/>
      </c>
      <c r="L83" s="7">
        <f>IF($D83="","",IF(F83=0,"",ROUND(H83/F83*100,1)))</f>
        <v/>
      </c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R83">
        <f>IF(OR($D83="",M83="",1&gt;$F83),0,IF(UPPER(TRIM(M83))=IFERROR(INDEX(Key!$C$2:$C$263,MATCH($D83*100+1,Key!$G$2:$G$263,0)),"#"),1,0))</f>
        <v/>
      </c>
      <c r="AS83">
        <f>IF(OR($D83="",N83="",2&gt;$F83),0,IF(UPPER(TRIM(N83))=IFERROR(INDEX(Key!$C$2:$C$263,MATCH($D83*100+2,Key!$G$2:$G$263,0)),"#"),1,0))</f>
        <v/>
      </c>
      <c r="AT83">
        <f>IF(OR($D83="",O83="",3&gt;$F83),0,IF(UPPER(TRIM(O83))=IFERROR(INDEX(Key!$C$2:$C$263,MATCH($D83*100+3,Key!$G$2:$G$263,0)),"#"),1,0))</f>
        <v/>
      </c>
      <c r="AU83">
        <f>IF(OR($D83="",P83="",4&gt;$F83),0,IF(UPPER(TRIM(P83))=IFERROR(INDEX(Key!$C$2:$C$263,MATCH($D83*100+4,Key!$G$2:$G$263,0)),"#"),1,0))</f>
        <v/>
      </c>
      <c r="AV83">
        <f>IF(OR($D83="",Q83="",5&gt;$F83),0,IF(UPPER(TRIM(Q83))=IFERROR(INDEX(Key!$C$2:$C$263,MATCH($D83*100+5,Key!$G$2:$G$263,0)),"#"),1,0))</f>
        <v/>
      </c>
      <c r="AW83">
        <f>IF(OR($D83="",R83="",6&gt;$F83),0,IF(UPPER(TRIM(R83))=IFERROR(INDEX(Key!$C$2:$C$263,MATCH($D83*100+6,Key!$G$2:$G$263,0)),"#"),1,0))</f>
        <v/>
      </c>
      <c r="AX83">
        <f>IF(OR($D83="",S83="",7&gt;$F83),0,IF(UPPER(TRIM(S83))=IFERROR(INDEX(Key!$C$2:$C$263,MATCH($D83*100+7,Key!$G$2:$G$263,0)),"#"),1,0))</f>
        <v/>
      </c>
      <c r="AY83">
        <f>IF(OR($D83="",T83="",8&gt;$F83),0,IF(UPPER(TRIM(T83))=IFERROR(INDEX(Key!$C$2:$C$263,MATCH($D83*100+8,Key!$G$2:$G$263,0)),"#"),1,0))</f>
        <v/>
      </c>
      <c r="AZ83">
        <f>IF(OR($D83="",U83="",9&gt;$F83),0,IF(UPPER(TRIM(U83))=IFERROR(INDEX(Key!$C$2:$C$263,MATCH($D83*100+9,Key!$G$2:$G$263,0)),"#"),1,0))</f>
        <v/>
      </c>
      <c r="BA83">
        <f>IF(OR($D83="",V83="",10&gt;$F83),0,IF(UPPER(TRIM(V83))=IFERROR(INDEX(Key!$C$2:$C$263,MATCH($D83*100+10,Key!$G$2:$G$263,0)),"#"),1,0))</f>
        <v/>
      </c>
      <c r="BB83">
        <f>IF(OR($D83="",W83="",11&gt;$F83),0,IF(UPPER(TRIM(W83))=IFERROR(INDEX(Key!$C$2:$C$263,MATCH($D83*100+11,Key!$G$2:$G$263,0)),"#"),1,0))</f>
        <v/>
      </c>
      <c r="BC83">
        <f>IF(OR($D83="",X83="",12&gt;$F83),0,IF(UPPER(TRIM(X83))=IFERROR(INDEX(Key!$C$2:$C$263,MATCH($D83*100+12,Key!$G$2:$G$263,0)),"#"),1,0))</f>
        <v/>
      </c>
      <c r="BD83">
        <f>IF(OR($D83="",Y83="",13&gt;$F83),0,IF(UPPER(TRIM(Y83))=IFERROR(INDEX(Key!$C$2:$C$263,MATCH($D83*100+13,Key!$G$2:$G$263,0)),"#"),1,0))</f>
        <v/>
      </c>
      <c r="BE83">
        <f>IF(OR($D83="",Z83="",14&gt;$F83),0,IF(UPPER(TRIM(Z83))=IFERROR(INDEX(Key!$C$2:$C$263,MATCH($D83*100+14,Key!$G$2:$G$263,0)),"#"),1,0))</f>
        <v/>
      </c>
      <c r="BF83">
        <f>IF(OR($D83="",AA83="",15&gt;$F83),0,IF(UPPER(TRIM(AA83))=IFERROR(INDEX(Key!$C$2:$C$263,MATCH($D83*100+15,Key!$G$2:$G$263,0)),"#"),1,0))</f>
        <v/>
      </c>
      <c r="BG83">
        <f>IF(OR($D83="",AB83="",16&gt;$F83),0,IF(UPPER(TRIM(AB83))=IFERROR(INDEX(Key!$C$2:$C$263,MATCH($D83*100+16,Key!$G$2:$G$263,0)),"#"),1,0))</f>
        <v/>
      </c>
      <c r="BH83">
        <f>IF(OR($D83="",AC83="",17&gt;$F83),0,IF(UPPER(TRIM(AC83))=IFERROR(INDEX(Key!$C$2:$C$263,MATCH($D83*100+17,Key!$G$2:$G$263,0)),"#"),1,0))</f>
        <v/>
      </c>
      <c r="BI83">
        <f>IF(OR($D83="",AD83="",18&gt;$F83),0,IF(UPPER(TRIM(AD83))=IFERROR(INDEX(Key!$C$2:$C$263,MATCH($D83*100+18,Key!$G$2:$G$263,0)),"#"),1,0))</f>
        <v/>
      </c>
      <c r="BJ83">
        <f>IF(OR($D83="",AE83="",19&gt;$F83),0,IF(UPPER(TRIM(AE83))=IFERROR(INDEX(Key!$C$2:$C$263,MATCH($D83*100+19,Key!$G$2:$G$263,0)),"#"),1,0))</f>
        <v/>
      </c>
      <c r="BK83">
        <f>IF(OR($D83="",AF83="",20&gt;$F83),0,IF(UPPER(TRIM(AF83))=IFERROR(INDEX(Key!$C$2:$C$263,MATCH($D83*100+20,Key!$G$2:$G$263,0)),"#"),1,0))</f>
        <v/>
      </c>
      <c r="BL83">
        <f>IF(OR($D83="",AG83="",21&gt;$F83),0,IF(UPPER(TRIM(AG83))=IFERROR(INDEX(Key!$C$2:$C$263,MATCH($D83*100+21,Key!$G$2:$G$263,0)),"#"),1,0))</f>
        <v/>
      </c>
      <c r="BM83">
        <f>IF(OR($D83="",AH83="",22&gt;$F83),0,IF(UPPER(TRIM(AH83))=IFERROR(INDEX(Key!$C$2:$C$263,MATCH($D83*100+22,Key!$G$2:$G$263,0)),"#"),1,0))</f>
        <v/>
      </c>
      <c r="BN83">
        <f>IF(OR($D83="",AI83="",23&gt;$F83),0,IF(UPPER(TRIM(AI83))=IFERROR(INDEX(Key!$C$2:$C$263,MATCH($D83*100+23,Key!$G$2:$G$263,0)),"#"),1,0))</f>
        <v/>
      </c>
      <c r="BO83">
        <f>IF(OR($D83="",AJ83="",24&gt;$F83),0,IF(UPPER(TRIM(AJ83))=IFERROR(INDEX(Key!$C$2:$C$263,MATCH($D83*100+24,Key!$G$2:$G$263,0)),"#"),1,0))</f>
        <v/>
      </c>
      <c r="BP83">
        <f>IF(OR($D83="",AK83="",25&gt;$F83),0,IF(UPPER(TRIM(AK83))=IFERROR(INDEX(Key!$C$2:$C$263,MATCH($D83*100+25,Key!$G$2:$G$263,0)),"#"),1,0))</f>
        <v/>
      </c>
      <c r="BQ83">
        <f>IF(OR($D83="",AL83="",26&gt;$F83),0,IF(UPPER(TRIM(AL83))=IFERROR(INDEX(Key!$C$2:$C$263,MATCH($D83*100+26,Key!$G$2:$G$263,0)),"#"),1,0))</f>
        <v/>
      </c>
      <c r="BR83">
        <f>IF(OR($D83="",AM83="",27&gt;$F83),0,IF(UPPER(TRIM(AM83))=IFERROR(INDEX(Key!$C$2:$C$263,MATCH($D83*100+27,Key!$G$2:$G$263,0)),"#"),1,0))</f>
        <v/>
      </c>
      <c r="BS83">
        <f>IF(OR($D83="",AN83="",28&gt;$F83),0,IF(UPPER(TRIM(AN83))=IFERROR(INDEX(Key!$C$2:$C$263,MATCH($D83*100+28,Key!$G$2:$G$263,0)),"#"),1,0))</f>
        <v/>
      </c>
      <c r="BT83">
        <f>IF(OR($D83="",AO83="",29&gt;$F83),0,IF(UPPER(TRIM(AO83))=IFERROR(INDEX(Key!$C$2:$C$263,MATCH($D83*100+29,Key!$G$2:$G$263,0)),"#"),1,0))</f>
        <v/>
      </c>
      <c r="BU83">
        <f>IF(OR($D83="",AP83="",30&gt;$F83),0,IF(UPPER(TRIM(AP83))=IFERROR(INDEX(Key!$C$2:$C$263,MATCH($D83*100+30,Key!$G$2:$G$263,0)),"#"),1,0))</f>
        <v/>
      </c>
    </row>
    <row r="84">
      <c r="A84" s="6" t="n"/>
      <c r="B84" s="6" t="n"/>
      <c r="C84" s="6" t="n"/>
      <c r="D84" s="6" t="n"/>
      <c r="E84" s="7">
        <f>IF($D84="","",IFERROR(INDEX(Papers!$B$2:$B$12,MATCH($D84,Papers!$A$2:$A$12,0)),"?"))</f>
        <v/>
      </c>
      <c r="F84" s="7">
        <f>IF($D84="","",IFERROR(INDEX(Papers!$C$2:$C$12,MATCH($D84,Papers!$A$2:$A$12,0)),0))</f>
        <v/>
      </c>
      <c r="G84" s="7">
        <f>IF($D84="","",COUNTIF(M84:AP84,"?*"))</f>
        <v/>
      </c>
      <c r="H84" s="7">
        <f>IF($D84="","",SUM(AR84:BU84))</f>
        <v/>
      </c>
      <c r="I84" s="7">
        <f>IF($D84="","",G84-H84)</f>
        <v/>
      </c>
      <c r="J84" s="7">
        <f>IF($D84="","",F84-G84)</f>
        <v/>
      </c>
      <c r="K84" s="7">
        <f>IF($D84="","",H84)</f>
        <v/>
      </c>
      <c r="L84" s="7">
        <f>IF($D84="","",IF(F84=0,"",ROUND(H84/F84*100,1)))</f>
        <v/>
      </c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R84">
        <f>IF(OR($D84="",M84="",1&gt;$F84),0,IF(UPPER(TRIM(M84))=IFERROR(INDEX(Key!$C$2:$C$263,MATCH($D84*100+1,Key!$G$2:$G$263,0)),"#"),1,0))</f>
        <v/>
      </c>
      <c r="AS84">
        <f>IF(OR($D84="",N84="",2&gt;$F84),0,IF(UPPER(TRIM(N84))=IFERROR(INDEX(Key!$C$2:$C$263,MATCH($D84*100+2,Key!$G$2:$G$263,0)),"#"),1,0))</f>
        <v/>
      </c>
      <c r="AT84">
        <f>IF(OR($D84="",O84="",3&gt;$F84),0,IF(UPPER(TRIM(O84))=IFERROR(INDEX(Key!$C$2:$C$263,MATCH($D84*100+3,Key!$G$2:$G$263,0)),"#"),1,0))</f>
        <v/>
      </c>
      <c r="AU84">
        <f>IF(OR($D84="",P84="",4&gt;$F84),0,IF(UPPER(TRIM(P84))=IFERROR(INDEX(Key!$C$2:$C$263,MATCH($D84*100+4,Key!$G$2:$G$263,0)),"#"),1,0))</f>
        <v/>
      </c>
      <c r="AV84">
        <f>IF(OR($D84="",Q84="",5&gt;$F84),0,IF(UPPER(TRIM(Q84))=IFERROR(INDEX(Key!$C$2:$C$263,MATCH($D84*100+5,Key!$G$2:$G$263,0)),"#"),1,0))</f>
        <v/>
      </c>
      <c r="AW84">
        <f>IF(OR($D84="",R84="",6&gt;$F84),0,IF(UPPER(TRIM(R84))=IFERROR(INDEX(Key!$C$2:$C$263,MATCH($D84*100+6,Key!$G$2:$G$263,0)),"#"),1,0))</f>
        <v/>
      </c>
      <c r="AX84">
        <f>IF(OR($D84="",S84="",7&gt;$F84),0,IF(UPPER(TRIM(S84))=IFERROR(INDEX(Key!$C$2:$C$263,MATCH($D84*100+7,Key!$G$2:$G$263,0)),"#"),1,0))</f>
        <v/>
      </c>
      <c r="AY84">
        <f>IF(OR($D84="",T84="",8&gt;$F84),0,IF(UPPER(TRIM(T84))=IFERROR(INDEX(Key!$C$2:$C$263,MATCH($D84*100+8,Key!$G$2:$G$263,0)),"#"),1,0))</f>
        <v/>
      </c>
      <c r="AZ84">
        <f>IF(OR($D84="",U84="",9&gt;$F84),0,IF(UPPER(TRIM(U84))=IFERROR(INDEX(Key!$C$2:$C$263,MATCH($D84*100+9,Key!$G$2:$G$263,0)),"#"),1,0))</f>
        <v/>
      </c>
      <c r="BA84">
        <f>IF(OR($D84="",V84="",10&gt;$F84),0,IF(UPPER(TRIM(V84))=IFERROR(INDEX(Key!$C$2:$C$263,MATCH($D84*100+10,Key!$G$2:$G$263,0)),"#"),1,0))</f>
        <v/>
      </c>
      <c r="BB84">
        <f>IF(OR($D84="",W84="",11&gt;$F84),0,IF(UPPER(TRIM(W84))=IFERROR(INDEX(Key!$C$2:$C$263,MATCH($D84*100+11,Key!$G$2:$G$263,0)),"#"),1,0))</f>
        <v/>
      </c>
      <c r="BC84">
        <f>IF(OR($D84="",X84="",12&gt;$F84),0,IF(UPPER(TRIM(X84))=IFERROR(INDEX(Key!$C$2:$C$263,MATCH($D84*100+12,Key!$G$2:$G$263,0)),"#"),1,0))</f>
        <v/>
      </c>
      <c r="BD84">
        <f>IF(OR($D84="",Y84="",13&gt;$F84),0,IF(UPPER(TRIM(Y84))=IFERROR(INDEX(Key!$C$2:$C$263,MATCH($D84*100+13,Key!$G$2:$G$263,0)),"#"),1,0))</f>
        <v/>
      </c>
      <c r="BE84">
        <f>IF(OR($D84="",Z84="",14&gt;$F84),0,IF(UPPER(TRIM(Z84))=IFERROR(INDEX(Key!$C$2:$C$263,MATCH($D84*100+14,Key!$G$2:$G$263,0)),"#"),1,0))</f>
        <v/>
      </c>
      <c r="BF84">
        <f>IF(OR($D84="",AA84="",15&gt;$F84),0,IF(UPPER(TRIM(AA84))=IFERROR(INDEX(Key!$C$2:$C$263,MATCH($D84*100+15,Key!$G$2:$G$263,0)),"#"),1,0))</f>
        <v/>
      </c>
      <c r="BG84">
        <f>IF(OR($D84="",AB84="",16&gt;$F84),0,IF(UPPER(TRIM(AB84))=IFERROR(INDEX(Key!$C$2:$C$263,MATCH($D84*100+16,Key!$G$2:$G$263,0)),"#"),1,0))</f>
        <v/>
      </c>
      <c r="BH84">
        <f>IF(OR($D84="",AC84="",17&gt;$F84),0,IF(UPPER(TRIM(AC84))=IFERROR(INDEX(Key!$C$2:$C$263,MATCH($D84*100+17,Key!$G$2:$G$263,0)),"#"),1,0))</f>
        <v/>
      </c>
      <c r="BI84">
        <f>IF(OR($D84="",AD84="",18&gt;$F84),0,IF(UPPER(TRIM(AD84))=IFERROR(INDEX(Key!$C$2:$C$263,MATCH($D84*100+18,Key!$G$2:$G$263,0)),"#"),1,0))</f>
        <v/>
      </c>
      <c r="BJ84">
        <f>IF(OR($D84="",AE84="",19&gt;$F84),0,IF(UPPER(TRIM(AE84))=IFERROR(INDEX(Key!$C$2:$C$263,MATCH($D84*100+19,Key!$G$2:$G$263,0)),"#"),1,0))</f>
        <v/>
      </c>
      <c r="BK84">
        <f>IF(OR($D84="",AF84="",20&gt;$F84),0,IF(UPPER(TRIM(AF84))=IFERROR(INDEX(Key!$C$2:$C$263,MATCH($D84*100+20,Key!$G$2:$G$263,0)),"#"),1,0))</f>
        <v/>
      </c>
      <c r="BL84">
        <f>IF(OR($D84="",AG84="",21&gt;$F84),0,IF(UPPER(TRIM(AG84))=IFERROR(INDEX(Key!$C$2:$C$263,MATCH($D84*100+21,Key!$G$2:$G$263,0)),"#"),1,0))</f>
        <v/>
      </c>
      <c r="BM84">
        <f>IF(OR($D84="",AH84="",22&gt;$F84),0,IF(UPPER(TRIM(AH84))=IFERROR(INDEX(Key!$C$2:$C$263,MATCH($D84*100+22,Key!$G$2:$G$263,0)),"#"),1,0))</f>
        <v/>
      </c>
      <c r="BN84">
        <f>IF(OR($D84="",AI84="",23&gt;$F84),0,IF(UPPER(TRIM(AI84))=IFERROR(INDEX(Key!$C$2:$C$263,MATCH($D84*100+23,Key!$G$2:$G$263,0)),"#"),1,0))</f>
        <v/>
      </c>
      <c r="BO84">
        <f>IF(OR($D84="",AJ84="",24&gt;$F84),0,IF(UPPER(TRIM(AJ84))=IFERROR(INDEX(Key!$C$2:$C$263,MATCH($D84*100+24,Key!$G$2:$G$263,0)),"#"),1,0))</f>
        <v/>
      </c>
      <c r="BP84">
        <f>IF(OR($D84="",AK84="",25&gt;$F84),0,IF(UPPER(TRIM(AK84))=IFERROR(INDEX(Key!$C$2:$C$263,MATCH($D84*100+25,Key!$G$2:$G$263,0)),"#"),1,0))</f>
        <v/>
      </c>
      <c r="BQ84">
        <f>IF(OR($D84="",AL84="",26&gt;$F84),0,IF(UPPER(TRIM(AL84))=IFERROR(INDEX(Key!$C$2:$C$263,MATCH($D84*100+26,Key!$G$2:$G$263,0)),"#"),1,0))</f>
        <v/>
      </c>
      <c r="BR84">
        <f>IF(OR($D84="",AM84="",27&gt;$F84),0,IF(UPPER(TRIM(AM84))=IFERROR(INDEX(Key!$C$2:$C$263,MATCH($D84*100+27,Key!$G$2:$G$263,0)),"#"),1,0))</f>
        <v/>
      </c>
      <c r="BS84">
        <f>IF(OR($D84="",AN84="",28&gt;$F84),0,IF(UPPER(TRIM(AN84))=IFERROR(INDEX(Key!$C$2:$C$263,MATCH($D84*100+28,Key!$G$2:$G$263,0)),"#"),1,0))</f>
        <v/>
      </c>
      <c r="BT84">
        <f>IF(OR($D84="",AO84="",29&gt;$F84),0,IF(UPPER(TRIM(AO84))=IFERROR(INDEX(Key!$C$2:$C$263,MATCH($D84*100+29,Key!$G$2:$G$263,0)),"#"),1,0))</f>
        <v/>
      </c>
      <c r="BU84">
        <f>IF(OR($D84="",AP84="",30&gt;$F84),0,IF(UPPER(TRIM(AP84))=IFERROR(INDEX(Key!$C$2:$C$263,MATCH($D84*100+30,Key!$G$2:$G$263,0)),"#"),1,0))</f>
        <v/>
      </c>
    </row>
    <row r="85">
      <c r="A85" s="6" t="n"/>
      <c r="B85" s="6" t="n"/>
      <c r="C85" s="6" t="n"/>
      <c r="D85" s="6" t="n"/>
      <c r="E85" s="7">
        <f>IF($D85="","",IFERROR(INDEX(Papers!$B$2:$B$12,MATCH($D85,Papers!$A$2:$A$12,0)),"?"))</f>
        <v/>
      </c>
      <c r="F85" s="7">
        <f>IF($D85="","",IFERROR(INDEX(Papers!$C$2:$C$12,MATCH($D85,Papers!$A$2:$A$12,0)),0))</f>
        <v/>
      </c>
      <c r="G85" s="7">
        <f>IF($D85="","",COUNTIF(M85:AP85,"?*"))</f>
        <v/>
      </c>
      <c r="H85" s="7">
        <f>IF($D85="","",SUM(AR85:BU85))</f>
        <v/>
      </c>
      <c r="I85" s="7">
        <f>IF($D85="","",G85-H85)</f>
        <v/>
      </c>
      <c r="J85" s="7">
        <f>IF($D85="","",F85-G85)</f>
        <v/>
      </c>
      <c r="K85" s="7">
        <f>IF($D85="","",H85)</f>
        <v/>
      </c>
      <c r="L85" s="7">
        <f>IF($D85="","",IF(F85=0,"",ROUND(H85/F85*100,1)))</f>
        <v/>
      </c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R85">
        <f>IF(OR($D85="",M85="",1&gt;$F85),0,IF(UPPER(TRIM(M85))=IFERROR(INDEX(Key!$C$2:$C$263,MATCH($D85*100+1,Key!$G$2:$G$263,0)),"#"),1,0))</f>
        <v/>
      </c>
      <c r="AS85">
        <f>IF(OR($D85="",N85="",2&gt;$F85),0,IF(UPPER(TRIM(N85))=IFERROR(INDEX(Key!$C$2:$C$263,MATCH($D85*100+2,Key!$G$2:$G$263,0)),"#"),1,0))</f>
        <v/>
      </c>
      <c r="AT85">
        <f>IF(OR($D85="",O85="",3&gt;$F85),0,IF(UPPER(TRIM(O85))=IFERROR(INDEX(Key!$C$2:$C$263,MATCH($D85*100+3,Key!$G$2:$G$263,0)),"#"),1,0))</f>
        <v/>
      </c>
      <c r="AU85">
        <f>IF(OR($D85="",P85="",4&gt;$F85),0,IF(UPPER(TRIM(P85))=IFERROR(INDEX(Key!$C$2:$C$263,MATCH($D85*100+4,Key!$G$2:$G$263,0)),"#"),1,0))</f>
        <v/>
      </c>
      <c r="AV85">
        <f>IF(OR($D85="",Q85="",5&gt;$F85),0,IF(UPPER(TRIM(Q85))=IFERROR(INDEX(Key!$C$2:$C$263,MATCH($D85*100+5,Key!$G$2:$G$263,0)),"#"),1,0))</f>
        <v/>
      </c>
      <c r="AW85">
        <f>IF(OR($D85="",R85="",6&gt;$F85),0,IF(UPPER(TRIM(R85))=IFERROR(INDEX(Key!$C$2:$C$263,MATCH($D85*100+6,Key!$G$2:$G$263,0)),"#"),1,0))</f>
        <v/>
      </c>
      <c r="AX85">
        <f>IF(OR($D85="",S85="",7&gt;$F85),0,IF(UPPER(TRIM(S85))=IFERROR(INDEX(Key!$C$2:$C$263,MATCH($D85*100+7,Key!$G$2:$G$263,0)),"#"),1,0))</f>
        <v/>
      </c>
      <c r="AY85">
        <f>IF(OR($D85="",T85="",8&gt;$F85),0,IF(UPPER(TRIM(T85))=IFERROR(INDEX(Key!$C$2:$C$263,MATCH($D85*100+8,Key!$G$2:$G$263,0)),"#"),1,0))</f>
        <v/>
      </c>
      <c r="AZ85">
        <f>IF(OR($D85="",U85="",9&gt;$F85),0,IF(UPPER(TRIM(U85))=IFERROR(INDEX(Key!$C$2:$C$263,MATCH($D85*100+9,Key!$G$2:$G$263,0)),"#"),1,0))</f>
        <v/>
      </c>
      <c r="BA85">
        <f>IF(OR($D85="",V85="",10&gt;$F85),0,IF(UPPER(TRIM(V85))=IFERROR(INDEX(Key!$C$2:$C$263,MATCH($D85*100+10,Key!$G$2:$G$263,0)),"#"),1,0))</f>
        <v/>
      </c>
      <c r="BB85">
        <f>IF(OR($D85="",W85="",11&gt;$F85),0,IF(UPPER(TRIM(W85))=IFERROR(INDEX(Key!$C$2:$C$263,MATCH($D85*100+11,Key!$G$2:$G$263,0)),"#"),1,0))</f>
        <v/>
      </c>
      <c r="BC85">
        <f>IF(OR($D85="",X85="",12&gt;$F85),0,IF(UPPER(TRIM(X85))=IFERROR(INDEX(Key!$C$2:$C$263,MATCH($D85*100+12,Key!$G$2:$G$263,0)),"#"),1,0))</f>
        <v/>
      </c>
      <c r="BD85">
        <f>IF(OR($D85="",Y85="",13&gt;$F85),0,IF(UPPER(TRIM(Y85))=IFERROR(INDEX(Key!$C$2:$C$263,MATCH($D85*100+13,Key!$G$2:$G$263,0)),"#"),1,0))</f>
        <v/>
      </c>
      <c r="BE85">
        <f>IF(OR($D85="",Z85="",14&gt;$F85),0,IF(UPPER(TRIM(Z85))=IFERROR(INDEX(Key!$C$2:$C$263,MATCH($D85*100+14,Key!$G$2:$G$263,0)),"#"),1,0))</f>
        <v/>
      </c>
      <c r="BF85">
        <f>IF(OR($D85="",AA85="",15&gt;$F85),0,IF(UPPER(TRIM(AA85))=IFERROR(INDEX(Key!$C$2:$C$263,MATCH($D85*100+15,Key!$G$2:$G$263,0)),"#"),1,0))</f>
        <v/>
      </c>
      <c r="BG85">
        <f>IF(OR($D85="",AB85="",16&gt;$F85),0,IF(UPPER(TRIM(AB85))=IFERROR(INDEX(Key!$C$2:$C$263,MATCH($D85*100+16,Key!$G$2:$G$263,0)),"#"),1,0))</f>
        <v/>
      </c>
      <c r="BH85">
        <f>IF(OR($D85="",AC85="",17&gt;$F85),0,IF(UPPER(TRIM(AC85))=IFERROR(INDEX(Key!$C$2:$C$263,MATCH($D85*100+17,Key!$G$2:$G$263,0)),"#"),1,0))</f>
        <v/>
      </c>
      <c r="BI85">
        <f>IF(OR($D85="",AD85="",18&gt;$F85),0,IF(UPPER(TRIM(AD85))=IFERROR(INDEX(Key!$C$2:$C$263,MATCH($D85*100+18,Key!$G$2:$G$263,0)),"#"),1,0))</f>
        <v/>
      </c>
      <c r="BJ85">
        <f>IF(OR($D85="",AE85="",19&gt;$F85),0,IF(UPPER(TRIM(AE85))=IFERROR(INDEX(Key!$C$2:$C$263,MATCH($D85*100+19,Key!$G$2:$G$263,0)),"#"),1,0))</f>
        <v/>
      </c>
      <c r="BK85">
        <f>IF(OR($D85="",AF85="",20&gt;$F85),0,IF(UPPER(TRIM(AF85))=IFERROR(INDEX(Key!$C$2:$C$263,MATCH($D85*100+20,Key!$G$2:$G$263,0)),"#"),1,0))</f>
        <v/>
      </c>
      <c r="BL85">
        <f>IF(OR($D85="",AG85="",21&gt;$F85),0,IF(UPPER(TRIM(AG85))=IFERROR(INDEX(Key!$C$2:$C$263,MATCH($D85*100+21,Key!$G$2:$G$263,0)),"#"),1,0))</f>
        <v/>
      </c>
      <c r="BM85">
        <f>IF(OR($D85="",AH85="",22&gt;$F85),0,IF(UPPER(TRIM(AH85))=IFERROR(INDEX(Key!$C$2:$C$263,MATCH($D85*100+22,Key!$G$2:$G$263,0)),"#"),1,0))</f>
        <v/>
      </c>
      <c r="BN85">
        <f>IF(OR($D85="",AI85="",23&gt;$F85),0,IF(UPPER(TRIM(AI85))=IFERROR(INDEX(Key!$C$2:$C$263,MATCH($D85*100+23,Key!$G$2:$G$263,0)),"#"),1,0))</f>
        <v/>
      </c>
      <c r="BO85">
        <f>IF(OR($D85="",AJ85="",24&gt;$F85),0,IF(UPPER(TRIM(AJ85))=IFERROR(INDEX(Key!$C$2:$C$263,MATCH($D85*100+24,Key!$G$2:$G$263,0)),"#"),1,0))</f>
        <v/>
      </c>
      <c r="BP85">
        <f>IF(OR($D85="",AK85="",25&gt;$F85),0,IF(UPPER(TRIM(AK85))=IFERROR(INDEX(Key!$C$2:$C$263,MATCH($D85*100+25,Key!$G$2:$G$263,0)),"#"),1,0))</f>
        <v/>
      </c>
      <c r="BQ85">
        <f>IF(OR($D85="",AL85="",26&gt;$F85),0,IF(UPPER(TRIM(AL85))=IFERROR(INDEX(Key!$C$2:$C$263,MATCH($D85*100+26,Key!$G$2:$G$263,0)),"#"),1,0))</f>
        <v/>
      </c>
      <c r="BR85">
        <f>IF(OR($D85="",AM85="",27&gt;$F85),0,IF(UPPER(TRIM(AM85))=IFERROR(INDEX(Key!$C$2:$C$263,MATCH($D85*100+27,Key!$G$2:$G$263,0)),"#"),1,0))</f>
        <v/>
      </c>
      <c r="BS85">
        <f>IF(OR($D85="",AN85="",28&gt;$F85),0,IF(UPPER(TRIM(AN85))=IFERROR(INDEX(Key!$C$2:$C$263,MATCH($D85*100+28,Key!$G$2:$G$263,0)),"#"),1,0))</f>
        <v/>
      </c>
      <c r="BT85">
        <f>IF(OR($D85="",AO85="",29&gt;$F85),0,IF(UPPER(TRIM(AO85))=IFERROR(INDEX(Key!$C$2:$C$263,MATCH($D85*100+29,Key!$G$2:$G$263,0)),"#"),1,0))</f>
        <v/>
      </c>
      <c r="BU85">
        <f>IF(OR($D85="",AP85="",30&gt;$F85),0,IF(UPPER(TRIM(AP85))=IFERROR(INDEX(Key!$C$2:$C$263,MATCH($D85*100+30,Key!$G$2:$G$263,0)),"#"),1,0))</f>
        <v/>
      </c>
    </row>
    <row r="86">
      <c r="A86" s="6" t="n"/>
      <c r="B86" s="6" t="n"/>
      <c r="C86" s="6" t="n"/>
      <c r="D86" s="6" t="n"/>
      <c r="E86" s="7">
        <f>IF($D86="","",IFERROR(INDEX(Papers!$B$2:$B$12,MATCH($D86,Papers!$A$2:$A$12,0)),"?"))</f>
        <v/>
      </c>
      <c r="F86" s="7">
        <f>IF($D86="","",IFERROR(INDEX(Papers!$C$2:$C$12,MATCH($D86,Papers!$A$2:$A$12,0)),0))</f>
        <v/>
      </c>
      <c r="G86" s="7">
        <f>IF($D86="","",COUNTIF(M86:AP86,"?*"))</f>
        <v/>
      </c>
      <c r="H86" s="7">
        <f>IF($D86="","",SUM(AR86:BU86))</f>
        <v/>
      </c>
      <c r="I86" s="7">
        <f>IF($D86="","",G86-H86)</f>
        <v/>
      </c>
      <c r="J86" s="7">
        <f>IF($D86="","",F86-G86)</f>
        <v/>
      </c>
      <c r="K86" s="7">
        <f>IF($D86="","",H86)</f>
        <v/>
      </c>
      <c r="L86" s="7">
        <f>IF($D86="","",IF(F86=0,"",ROUND(H86/F86*100,1)))</f>
        <v/>
      </c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R86">
        <f>IF(OR($D86="",M86="",1&gt;$F86),0,IF(UPPER(TRIM(M86))=IFERROR(INDEX(Key!$C$2:$C$263,MATCH($D86*100+1,Key!$G$2:$G$263,0)),"#"),1,0))</f>
        <v/>
      </c>
      <c r="AS86">
        <f>IF(OR($D86="",N86="",2&gt;$F86),0,IF(UPPER(TRIM(N86))=IFERROR(INDEX(Key!$C$2:$C$263,MATCH($D86*100+2,Key!$G$2:$G$263,0)),"#"),1,0))</f>
        <v/>
      </c>
      <c r="AT86">
        <f>IF(OR($D86="",O86="",3&gt;$F86),0,IF(UPPER(TRIM(O86))=IFERROR(INDEX(Key!$C$2:$C$263,MATCH($D86*100+3,Key!$G$2:$G$263,0)),"#"),1,0))</f>
        <v/>
      </c>
      <c r="AU86">
        <f>IF(OR($D86="",P86="",4&gt;$F86),0,IF(UPPER(TRIM(P86))=IFERROR(INDEX(Key!$C$2:$C$263,MATCH($D86*100+4,Key!$G$2:$G$263,0)),"#"),1,0))</f>
        <v/>
      </c>
      <c r="AV86">
        <f>IF(OR($D86="",Q86="",5&gt;$F86),0,IF(UPPER(TRIM(Q86))=IFERROR(INDEX(Key!$C$2:$C$263,MATCH($D86*100+5,Key!$G$2:$G$263,0)),"#"),1,0))</f>
        <v/>
      </c>
      <c r="AW86">
        <f>IF(OR($D86="",R86="",6&gt;$F86),0,IF(UPPER(TRIM(R86))=IFERROR(INDEX(Key!$C$2:$C$263,MATCH($D86*100+6,Key!$G$2:$G$263,0)),"#"),1,0))</f>
        <v/>
      </c>
      <c r="AX86">
        <f>IF(OR($D86="",S86="",7&gt;$F86),0,IF(UPPER(TRIM(S86))=IFERROR(INDEX(Key!$C$2:$C$263,MATCH($D86*100+7,Key!$G$2:$G$263,0)),"#"),1,0))</f>
        <v/>
      </c>
      <c r="AY86">
        <f>IF(OR($D86="",T86="",8&gt;$F86),0,IF(UPPER(TRIM(T86))=IFERROR(INDEX(Key!$C$2:$C$263,MATCH($D86*100+8,Key!$G$2:$G$263,0)),"#"),1,0))</f>
        <v/>
      </c>
      <c r="AZ86">
        <f>IF(OR($D86="",U86="",9&gt;$F86),0,IF(UPPER(TRIM(U86))=IFERROR(INDEX(Key!$C$2:$C$263,MATCH($D86*100+9,Key!$G$2:$G$263,0)),"#"),1,0))</f>
        <v/>
      </c>
      <c r="BA86">
        <f>IF(OR($D86="",V86="",10&gt;$F86),0,IF(UPPER(TRIM(V86))=IFERROR(INDEX(Key!$C$2:$C$263,MATCH($D86*100+10,Key!$G$2:$G$263,0)),"#"),1,0))</f>
        <v/>
      </c>
      <c r="BB86">
        <f>IF(OR($D86="",W86="",11&gt;$F86),0,IF(UPPER(TRIM(W86))=IFERROR(INDEX(Key!$C$2:$C$263,MATCH($D86*100+11,Key!$G$2:$G$263,0)),"#"),1,0))</f>
        <v/>
      </c>
      <c r="BC86">
        <f>IF(OR($D86="",X86="",12&gt;$F86),0,IF(UPPER(TRIM(X86))=IFERROR(INDEX(Key!$C$2:$C$263,MATCH($D86*100+12,Key!$G$2:$G$263,0)),"#"),1,0))</f>
        <v/>
      </c>
      <c r="BD86">
        <f>IF(OR($D86="",Y86="",13&gt;$F86),0,IF(UPPER(TRIM(Y86))=IFERROR(INDEX(Key!$C$2:$C$263,MATCH($D86*100+13,Key!$G$2:$G$263,0)),"#"),1,0))</f>
        <v/>
      </c>
      <c r="BE86">
        <f>IF(OR($D86="",Z86="",14&gt;$F86),0,IF(UPPER(TRIM(Z86))=IFERROR(INDEX(Key!$C$2:$C$263,MATCH($D86*100+14,Key!$G$2:$G$263,0)),"#"),1,0))</f>
        <v/>
      </c>
      <c r="BF86">
        <f>IF(OR($D86="",AA86="",15&gt;$F86),0,IF(UPPER(TRIM(AA86))=IFERROR(INDEX(Key!$C$2:$C$263,MATCH($D86*100+15,Key!$G$2:$G$263,0)),"#"),1,0))</f>
        <v/>
      </c>
      <c r="BG86">
        <f>IF(OR($D86="",AB86="",16&gt;$F86),0,IF(UPPER(TRIM(AB86))=IFERROR(INDEX(Key!$C$2:$C$263,MATCH($D86*100+16,Key!$G$2:$G$263,0)),"#"),1,0))</f>
        <v/>
      </c>
      <c r="BH86">
        <f>IF(OR($D86="",AC86="",17&gt;$F86),0,IF(UPPER(TRIM(AC86))=IFERROR(INDEX(Key!$C$2:$C$263,MATCH($D86*100+17,Key!$G$2:$G$263,0)),"#"),1,0))</f>
        <v/>
      </c>
      <c r="BI86">
        <f>IF(OR($D86="",AD86="",18&gt;$F86),0,IF(UPPER(TRIM(AD86))=IFERROR(INDEX(Key!$C$2:$C$263,MATCH($D86*100+18,Key!$G$2:$G$263,0)),"#"),1,0))</f>
        <v/>
      </c>
      <c r="BJ86">
        <f>IF(OR($D86="",AE86="",19&gt;$F86),0,IF(UPPER(TRIM(AE86))=IFERROR(INDEX(Key!$C$2:$C$263,MATCH($D86*100+19,Key!$G$2:$G$263,0)),"#"),1,0))</f>
        <v/>
      </c>
      <c r="BK86">
        <f>IF(OR($D86="",AF86="",20&gt;$F86),0,IF(UPPER(TRIM(AF86))=IFERROR(INDEX(Key!$C$2:$C$263,MATCH($D86*100+20,Key!$G$2:$G$263,0)),"#"),1,0))</f>
        <v/>
      </c>
      <c r="BL86">
        <f>IF(OR($D86="",AG86="",21&gt;$F86),0,IF(UPPER(TRIM(AG86))=IFERROR(INDEX(Key!$C$2:$C$263,MATCH($D86*100+21,Key!$G$2:$G$263,0)),"#"),1,0))</f>
        <v/>
      </c>
      <c r="BM86">
        <f>IF(OR($D86="",AH86="",22&gt;$F86),0,IF(UPPER(TRIM(AH86))=IFERROR(INDEX(Key!$C$2:$C$263,MATCH($D86*100+22,Key!$G$2:$G$263,0)),"#"),1,0))</f>
        <v/>
      </c>
      <c r="BN86">
        <f>IF(OR($D86="",AI86="",23&gt;$F86),0,IF(UPPER(TRIM(AI86))=IFERROR(INDEX(Key!$C$2:$C$263,MATCH($D86*100+23,Key!$G$2:$G$263,0)),"#"),1,0))</f>
        <v/>
      </c>
      <c r="BO86">
        <f>IF(OR($D86="",AJ86="",24&gt;$F86),0,IF(UPPER(TRIM(AJ86))=IFERROR(INDEX(Key!$C$2:$C$263,MATCH($D86*100+24,Key!$G$2:$G$263,0)),"#"),1,0))</f>
        <v/>
      </c>
      <c r="BP86">
        <f>IF(OR($D86="",AK86="",25&gt;$F86),0,IF(UPPER(TRIM(AK86))=IFERROR(INDEX(Key!$C$2:$C$263,MATCH($D86*100+25,Key!$G$2:$G$263,0)),"#"),1,0))</f>
        <v/>
      </c>
      <c r="BQ86">
        <f>IF(OR($D86="",AL86="",26&gt;$F86),0,IF(UPPER(TRIM(AL86))=IFERROR(INDEX(Key!$C$2:$C$263,MATCH($D86*100+26,Key!$G$2:$G$263,0)),"#"),1,0))</f>
        <v/>
      </c>
      <c r="BR86">
        <f>IF(OR($D86="",AM86="",27&gt;$F86),0,IF(UPPER(TRIM(AM86))=IFERROR(INDEX(Key!$C$2:$C$263,MATCH($D86*100+27,Key!$G$2:$G$263,0)),"#"),1,0))</f>
        <v/>
      </c>
      <c r="BS86">
        <f>IF(OR($D86="",AN86="",28&gt;$F86),0,IF(UPPER(TRIM(AN86))=IFERROR(INDEX(Key!$C$2:$C$263,MATCH($D86*100+28,Key!$G$2:$G$263,0)),"#"),1,0))</f>
        <v/>
      </c>
      <c r="BT86">
        <f>IF(OR($D86="",AO86="",29&gt;$F86),0,IF(UPPER(TRIM(AO86))=IFERROR(INDEX(Key!$C$2:$C$263,MATCH($D86*100+29,Key!$G$2:$G$263,0)),"#"),1,0))</f>
        <v/>
      </c>
      <c r="BU86">
        <f>IF(OR($D86="",AP86="",30&gt;$F86),0,IF(UPPER(TRIM(AP86))=IFERROR(INDEX(Key!$C$2:$C$263,MATCH($D86*100+30,Key!$G$2:$G$263,0)),"#"),1,0))</f>
        <v/>
      </c>
    </row>
    <row r="87">
      <c r="A87" s="6" t="n"/>
      <c r="B87" s="6" t="n"/>
      <c r="C87" s="6" t="n"/>
      <c r="D87" s="6" t="n"/>
      <c r="E87" s="7">
        <f>IF($D87="","",IFERROR(INDEX(Papers!$B$2:$B$12,MATCH($D87,Papers!$A$2:$A$12,0)),"?"))</f>
        <v/>
      </c>
      <c r="F87" s="7">
        <f>IF($D87="","",IFERROR(INDEX(Papers!$C$2:$C$12,MATCH($D87,Papers!$A$2:$A$12,0)),0))</f>
        <v/>
      </c>
      <c r="G87" s="7">
        <f>IF($D87="","",COUNTIF(M87:AP87,"?*"))</f>
        <v/>
      </c>
      <c r="H87" s="7">
        <f>IF($D87="","",SUM(AR87:BU87))</f>
        <v/>
      </c>
      <c r="I87" s="7">
        <f>IF($D87="","",G87-H87)</f>
        <v/>
      </c>
      <c r="J87" s="7">
        <f>IF($D87="","",F87-G87)</f>
        <v/>
      </c>
      <c r="K87" s="7">
        <f>IF($D87="","",H87)</f>
        <v/>
      </c>
      <c r="L87" s="7">
        <f>IF($D87="","",IF(F87=0,"",ROUND(H87/F87*100,1)))</f>
        <v/>
      </c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R87">
        <f>IF(OR($D87="",M87="",1&gt;$F87),0,IF(UPPER(TRIM(M87))=IFERROR(INDEX(Key!$C$2:$C$263,MATCH($D87*100+1,Key!$G$2:$G$263,0)),"#"),1,0))</f>
        <v/>
      </c>
      <c r="AS87">
        <f>IF(OR($D87="",N87="",2&gt;$F87),0,IF(UPPER(TRIM(N87))=IFERROR(INDEX(Key!$C$2:$C$263,MATCH($D87*100+2,Key!$G$2:$G$263,0)),"#"),1,0))</f>
        <v/>
      </c>
      <c r="AT87">
        <f>IF(OR($D87="",O87="",3&gt;$F87),0,IF(UPPER(TRIM(O87))=IFERROR(INDEX(Key!$C$2:$C$263,MATCH($D87*100+3,Key!$G$2:$G$263,0)),"#"),1,0))</f>
        <v/>
      </c>
      <c r="AU87">
        <f>IF(OR($D87="",P87="",4&gt;$F87),0,IF(UPPER(TRIM(P87))=IFERROR(INDEX(Key!$C$2:$C$263,MATCH($D87*100+4,Key!$G$2:$G$263,0)),"#"),1,0))</f>
        <v/>
      </c>
      <c r="AV87">
        <f>IF(OR($D87="",Q87="",5&gt;$F87),0,IF(UPPER(TRIM(Q87))=IFERROR(INDEX(Key!$C$2:$C$263,MATCH($D87*100+5,Key!$G$2:$G$263,0)),"#"),1,0))</f>
        <v/>
      </c>
      <c r="AW87">
        <f>IF(OR($D87="",R87="",6&gt;$F87),0,IF(UPPER(TRIM(R87))=IFERROR(INDEX(Key!$C$2:$C$263,MATCH($D87*100+6,Key!$G$2:$G$263,0)),"#"),1,0))</f>
        <v/>
      </c>
      <c r="AX87">
        <f>IF(OR($D87="",S87="",7&gt;$F87),0,IF(UPPER(TRIM(S87))=IFERROR(INDEX(Key!$C$2:$C$263,MATCH($D87*100+7,Key!$G$2:$G$263,0)),"#"),1,0))</f>
        <v/>
      </c>
      <c r="AY87">
        <f>IF(OR($D87="",T87="",8&gt;$F87),0,IF(UPPER(TRIM(T87))=IFERROR(INDEX(Key!$C$2:$C$263,MATCH($D87*100+8,Key!$G$2:$G$263,0)),"#"),1,0))</f>
        <v/>
      </c>
      <c r="AZ87">
        <f>IF(OR($D87="",U87="",9&gt;$F87),0,IF(UPPER(TRIM(U87))=IFERROR(INDEX(Key!$C$2:$C$263,MATCH($D87*100+9,Key!$G$2:$G$263,0)),"#"),1,0))</f>
        <v/>
      </c>
      <c r="BA87">
        <f>IF(OR($D87="",V87="",10&gt;$F87),0,IF(UPPER(TRIM(V87))=IFERROR(INDEX(Key!$C$2:$C$263,MATCH($D87*100+10,Key!$G$2:$G$263,0)),"#"),1,0))</f>
        <v/>
      </c>
      <c r="BB87">
        <f>IF(OR($D87="",W87="",11&gt;$F87),0,IF(UPPER(TRIM(W87))=IFERROR(INDEX(Key!$C$2:$C$263,MATCH($D87*100+11,Key!$G$2:$G$263,0)),"#"),1,0))</f>
        <v/>
      </c>
      <c r="BC87">
        <f>IF(OR($D87="",X87="",12&gt;$F87),0,IF(UPPER(TRIM(X87))=IFERROR(INDEX(Key!$C$2:$C$263,MATCH($D87*100+12,Key!$G$2:$G$263,0)),"#"),1,0))</f>
        <v/>
      </c>
      <c r="BD87">
        <f>IF(OR($D87="",Y87="",13&gt;$F87),0,IF(UPPER(TRIM(Y87))=IFERROR(INDEX(Key!$C$2:$C$263,MATCH($D87*100+13,Key!$G$2:$G$263,0)),"#"),1,0))</f>
        <v/>
      </c>
      <c r="BE87">
        <f>IF(OR($D87="",Z87="",14&gt;$F87),0,IF(UPPER(TRIM(Z87))=IFERROR(INDEX(Key!$C$2:$C$263,MATCH($D87*100+14,Key!$G$2:$G$263,0)),"#"),1,0))</f>
        <v/>
      </c>
      <c r="BF87">
        <f>IF(OR($D87="",AA87="",15&gt;$F87),0,IF(UPPER(TRIM(AA87))=IFERROR(INDEX(Key!$C$2:$C$263,MATCH($D87*100+15,Key!$G$2:$G$263,0)),"#"),1,0))</f>
        <v/>
      </c>
      <c r="BG87">
        <f>IF(OR($D87="",AB87="",16&gt;$F87),0,IF(UPPER(TRIM(AB87))=IFERROR(INDEX(Key!$C$2:$C$263,MATCH($D87*100+16,Key!$G$2:$G$263,0)),"#"),1,0))</f>
        <v/>
      </c>
      <c r="BH87">
        <f>IF(OR($D87="",AC87="",17&gt;$F87),0,IF(UPPER(TRIM(AC87))=IFERROR(INDEX(Key!$C$2:$C$263,MATCH($D87*100+17,Key!$G$2:$G$263,0)),"#"),1,0))</f>
        <v/>
      </c>
      <c r="BI87">
        <f>IF(OR($D87="",AD87="",18&gt;$F87),0,IF(UPPER(TRIM(AD87))=IFERROR(INDEX(Key!$C$2:$C$263,MATCH($D87*100+18,Key!$G$2:$G$263,0)),"#"),1,0))</f>
        <v/>
      </c>
      <c r="BJ87">
        <f>IF(OR($D87="",AE87="",19&gt;$F87),0,IF(UPPER(TRIM(AE87))=IFERROR(INDEX(Key!$C$2:$C$263,MATCH($D87*100+19,Key!$G$2:$G$263,0)),"#"),1,0))</f>
        <v/>
      </c>
      <c r="BK87">
        <f>IF(OR($D87="",AF87="",20&gt;$F87),0,IF(UPPER(TRIM(AF87))=IFERROR(INDEX(Key!$C$2:$C$263,MATCH($D87*100+20,Key!$G$2:$G$263,0)),"#"),1,0))</f>
        <v/>
      </c>
      <c r="BL87">
        <f>IF(OR($D87="",AG87="",21&gt;$F87),0,IF(UPPER(TRIM(AG87))=IFERROR(INDEX(Key!$C$2:$C$263,MATCH($D87*100+21,Key!$G$2:$G$263,0)),"#"),1,0))</f>
        <v/>
      </c>
      <c r="BM87">
        <f>IF(OR($D87="",AH87="",22&gt;$F87),0,IF(UPPER(TRIM(AH87))=IFERROR(INDEX(Key!$C$2:$C$263,MATCH($D87*100+22,Key!$G$2:$G$263,0)),"#"),1,0))</f>
        <v/>
      </c>
      <c r="BN87">
        <f>IF(OR($D87="",AI87="",23&gt;$F87),0,IF(UPPER(TRIM(AI87))=IFERROR(INDEX(Key!$C$2:$C$263,MATCH($D87*100+23,Key!$G$2:$G$263,0)),"#"),1,0))</f>
        <v/>
      </c>
      <c r="BO87">
        <f>IF(OR($D87="",AJ87="",24&gt;$F87),0,IF(UPPER(TRIM(AJ87))=IFERROR(INDEX(Key!$C$2:$C$263,MATCH($D87*100+24,Key!$G$2:$G$263,0)),"#"),1,0))</f>
        <v/>
      </c>
      <c r="BP87">
        <f>IF(OR($D87="",AK87="",25&gt;$F87),0,IF(UPPER(TRIM(AK87))=IFERROR(INDEX(Key!$C$2:$C$263,MATCH($D87*100+25,Key!$G$2:$G$263,0)),"#"),1,0))</f>
        <v/>
      </c>
      <c r="BQ87">
        <f>IF(OR($D87="",AL87="",26&gt;$F87),0,IF(UPPER(TRIM(AL87))=IFERROR(INDEX(Key!$C$2:$C$263,MATCH($D87*100+26,Key!$G$2:$G$263,0)),"#"),1,0))</f>
        <v/>
      </c>
      <c r="BR87">
        <f>IF(OR($D87="",AM87="",27&gt;$F87),0,IF(UPPER(TRIM(AM87))=IFERROR(INDEX(Key!$C$2:$C$263,MATCH($D87*100+27,Key!$G$2:$G$263,0)),"#"),1,0))</f>
        <v/>
      </c>
      <c r="BS87">
        <f>IF(OR($D87="",AN87="",28&gt;$F87),0,IF(UPPER(TRIM(AN87))=IFERROR(INDEX(Key!$C$2:$C$263,MATCH($D87*100+28,Key!$G$2:$G$263,0)),"#"),1,0))</f>
        <v/>
      </c>
      <c r="BT87">
        <f>IF(OR($D87="",AO87="",29&gt;$F87),0,IF(UPPER(TRIM(AO87))=IFERROR(INDEX(Key!$C$2:$C$263,MATCH($D87*100+29,Key!$G$2:$G$263,0)),"#"),1,0))</f>
        <v/>
      </c>
      <c r="BU87">
        <f>IF(OR($D87="",AP87="",30&gt;$F87),0,IF(UPPER(TRIM(AP87))=IFERROR(INDEX(Key!$C$2:$C$263,MATCH($D87*100+30,Key!$G$2:$G$263,0)),"#"),1,0))</f>
        <v/>
      </c>
    </row>
    <row r="88">
      <c r="A88" s="6" t="n"/>
      <c r="B88" s="6" t="n"/>
      <c r="C88" s="6" t="n"/>
      <c r="D88" s="6" t="n"/>
      <c r="E88" s="7">
        <f>IF($D88="","",IFERROR(INDEX(Papers!$B$2:$B$12,MATCH($D88,Papers!$A$2:$A$12,0)),"?"))</f>
        <v/>
      </c>
      <c r="F88" s="7">
        <f>IF($D88="","",IFERROR(INDEX(Papers!$C$2:$C$12,MATCH($D88,Papers!$A$2:$A$12,0)),0))</f>
        <v/>
      </c>
      <c r="G88" s="7">
        <f>IF($D88="","",COUNTIF(M88:AP88,"?*"))</f>
        <v/>
      </c>
      <c r="H88" s="7">
        <f>IF($D88="","",SUM(AR88:BU88))</f>
        <v/>
      </c>
      <c r="I88" s="7">
        <f>IF($D88="","",G88-H88)</f>
        <v/>
      </c>
      <c r="J88" s="7">
        <f>IF($D88="","",F88-G88)</f>
        <v/>
      </c>
      <c r="K88" s="7">
        <f>IF($D88="","",H88)</f>
        <v/>
      </c>
      <c r="L88" s="7">
        <f>IF($D88="","",IF(F88=0,"",ROUND(H88/F88*100,1)))</f>
        <v/>
      </c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R88">
        <f>IF(OR($D88="",M88="",1&gt;$F88),0,IF(UPPER(TRIM(M88))=IFERROR(INDEX(Key!$C$2:$C$263,MATCH($D88*100+1,Key!$G$2:$G$263,0)),"#"),1,0))</f>
        <v/>
      </c>
      <c r="AS88">
        <f>IF(OR($D88="",N88="",2&gt;$F88),0,IF(UPPER(TRIM(N88))=IFERROR(INDEX(Key!$C$2:$C$263,MATCH($D88*100+2,Key!$G$2:$G$263,0)),"#"),1,0))</f>
        <v/>
      </c>
      <c r="AT88">
        <f>IF(OR($D88="",O88="",3&gt;$F88),0,IF(UPPER(TRIM(O88))=IFERROR(INDEX(Key!$C$2:$C$263,MATCH($D88*100+3,Key!$G$2:$G$263,0)),"#"),1,0))</f>
        <v/>
      </c>
      <c r="AU88">
        <f>IF(OR($D88="",P88="",4&gt;$F88),0,IF(UPPER(TRIM(P88))=IFERROR(INDEX(Key!$C$2:$C$263,MATCH($D88*100+4,Key!$G$2:$G$263,0)),"#"),1,0))</f>
        <v/>
      </c>
      <c r="AV88">
        <f>IF(OR($D88="",Q88="",5&gt;$F88),0,IF(UPPER(TRIM(Q88))=IFERROR(INDEX(Key!$C$2:$C$263,MATCH($D88*100+5,Key!$G$2:$G$263,0)),"#"),1,0))</f>
        <v/>
      </c>
      <c r="AW88">
        <f>IF(OR($D88="",R88="",6&gt;$F88),0,IF(UPPER(TRIM(R88))=IFERROR(INDEX(Key!$C$2:$C$263,MATCH($D88*100+6,Key!$G$2:$G$263,0)),"#"),1,0))</f>
        <v/>
      </c>
      <c r="AX88">
        <f>IF(OR($D88="",S88="",7&gt;$F88),0,IF(UPPER(TRIM(S88))=IFERROR(INDEX(Key!$C$2:$C$263,MATCH($D88*100+7,Key!$G$2:$G$263,0)),"#"),1,0))</f>
        <v/>
      </c>
      <c r="AY88">
        <f>IF(OR($D88="",T88="",8&gt;$F88),0,IF(UPPER(TRIM(T88))=IFERROR(INDEX(Key!$C$2:$C$263,MATCH($D88*100+8,Key!$G$2:$G$263,0)),"#"),1,0))</f>
        <v/>
      </c>
      <c r="AZ88">
        <f>IF(OR($D88="",U88="",9&gt;$F88),0,IF(UPPER(TRIM(U88))=IFERROR(INDEX(Key!$C$2:$C$263,MATCH($D88*100+9,Key!$G$2:$G$263,0)),"#"),1,0))</f>
        <v/>
      </c>
      <c r="BA88">
        <f>IF(OR($D88="",V88="",10&gt;$F88),0,IF(UPPER(TRIM(V88))=IFERROR(INDEX(Key!$C$2:$C$263,MATCH($D88*100+10,Key!$G$2:$G$263,0)),"#"),1,0))</f>
        <v/>
      </c>
      <c r="BB88">
        <f>IF(OR($D88="",W88="",11&gt;$F88),0,IF(UPPER(TRIM(W88))=IFERROR(INDEX(Key!$C$2:$C$263,MATCH($D88*100+11,Key!$G$2:$G$263,0)),"#"),1,0))</f>
        <v/>
      </c>
      <c r="BC88">
        <f>IF(OR($D88="",X88="",12&gt;$F88),0,IF(UPPER(TRIM(X88))=IFERROR(INDEX(Key!$C$2:$C$263,MATCH($D88*100+12,Key!$G$2:$G$263,0)),"#"),1,0))</f>
        <v/>
      </c>
      <c r="BD88">
        <f>IF(OR($D88="",Y88="",13&gt;$F88),0,IF(UPPER(TRIM(Y88))=IFERROR(INDEX(Key!$C$2:$C$263,MATCH($D88*100+13,Key!$G$2:$G$263,0)),"#"),1,0))</f>
        <v/>
      </c>
      <c r="BE88">
        <f>IF(OR($D88="",Z88="",14&gt;$F88),0,IF(UPPER(TRIM(Z88))=IFERROR(INDEX(Key!$C$2:$C$263,MATCH($D88*100+14,Key!$G$2:$G$263,0)),"#"),1,0))</f>
        <v/>
      </c>
      <c r="BF88">
        <f>IF(OR($D88="",AA88="",15&gt;$F88),0,IF(UPPER(TRIM(AA88))=IFERROR(INDEX(Key!$C$2:$C$263,MATCH($D88*100+15,Key!$G$2:$G$263,0)),"#"),1,0))</f>
        <v/>
      </c>
      <c r="BG88">
        <f>IF(OR($D88="",AB88="",16&gt;$F88),0,IF(UPPER(TRIM(AB88))=IFERROR(INDEX(Key!$C$2:$C$263,MATCH($D88*100+16,Key!$G$2:$G$263,0)),"#"),1,0))</f>
        <v/>
      </c>
      <c r="BH88">
        <f>IF(OR($D88="",AC88="",17&gt;$F88),0,IF(UPPER(TRIM(AC88))=IFERROR(INDEX(Key!$C$2:$C$263,MATCH($D88*100+17,Key!$G$2:$G$263,0)),"#"),1,0))</f>
        <v/>
      </c>
      <c r="BI88">
        <f>IF(OR($D88="",AD88="",18&gt;$F88),0,IF(UPPER(TRIM(AD88))=IFERROR(INDEX(Key!$C$2:$C$263,MATCH($D88*100+18,Key!$G$2:$G$263,0)),"#"),1,0))</f>
        <v/>
      </c>
      <c r="BJ88">
        <f>IF(OR($D88="",AE88="",19&gt;$F88),0,IF(UPPER(TRIM(AE88))=IFERROR(INDEX(Key!$C$2:$C$263,MATCH($D88*100+19,Key!$G$2:$G$263,0)),"#"),1,0))</f>
        <v/>
      </c>
      <c r="BK88">
        <f>IF(OR($D88="",AF88="",20&gt;$F88),0,IF(UPPER(TRIM(AF88))=IFERROR(INDEX(Key!$C$2:$C$263,MATCH($D88*100+20,Key!$G$2:$G$263,0)),"#"),1,0))</f>
        <v/>
      </c>
      <c r="BL88">
        <f>IF(OR($D88="",AG88="",21&gt;$F88),0,IF(UPPER(TRIM(AG88))=IFERROR(INDEX(Key!$C$2:$C$263,MATCH($D88*100+21,Key!$G$2:$G$263,0)),"#"),1,0))</f>
        <v/>
      </c>
      <c r="BM88">
        <f>IF(OR($D88="",AH88="",22&gt;$F88),0,IF(UPPER(TRIM(AH88))=IFERROR(INDEX(Key!$C$2:$C$263,MATCH($D88*100+22,Key!$G$2:$G$263,0)),"#"),1,0))</f>
        <v/>
      </c>
      <c r="BN88">
        <f>IF(OR($D88="",AI88="",23&gt;$F88),0,IF(UPPER(TRIM(AI88))=IFERROR(INDEX(Key!$C$2:$C$263,MATCH($D88*100+23,Key!$G$2:$G$263,0)),"#"),1,0))</f>
        <v/>
      </c>
      <c r="BO88">
        <f>IF(OR($D88="",AJ88="",24&gt;$F88),0,IF(UPPER(TRIM(AJ88))=IFERROR(INDEX(Key!$C$2:$C$263,MATCH($D88*100+24,Key!$G$2:$G$263,0)),"#"),1,0))</f>
        <v/>
      </c>
      <c r="BP88">
        <f>IF(OR($D88="",AK88="",25&gt;$F88),0,IF(UPPER(TRIM(AK88))=IFERROR(INDEX(Key!$C$2:$C$263,MATCH($D88*100+25,Key!$G$2:$G$263,0)),"#"),1,0))</f>
        <v/>
      </c>
      <c r="BQ88">
        <f>IF(OR($D88="",AL88="",26&gt;$F88),0,IF(UPPER(TRIM(AL88))=IFERROR(INDEX(Key!$C$2:$C$263,MATCH($D88*100+26,Key!$G$2:$G$263,0)),"#"),1,0))</f>
        <v/>
      </c>
      <c r="BR88">
        <f>IF(OR($D88="",AM88="",27&gt;$F88),0,IF(UPPER(TRIM(AM88))=IFERROR(INDEX(Key!$C$2:$C$263,MATCH($D88*100+27,Key!$G$2:$G$263,0)),"#"),1,0))</f>
        <v/>
      </c>
      <c r="BS88">
        <f>IF(OR($D88="",AN88="",28&gt;$F88),0,IF(UPPER(TRIM(AN88))=IFERROR(INDEX(Key!$C$2:$C$263,MATCH($D88*100+28,Key!$G$2:$G$263,0)),"#"),1,0))</f>
        <v/>
      </c>
      <c r="BT88">
        <f>IF(OR($D88="",AO88="",29&gt;$F88),0,IF(UPPER(TRIM(AO88))=IFERROR(INDEX(Key!$C$2:$C$263,MATCH($D88*100+29,Key!$G$2:$G$263,0)),"#"),1,0))</f>
        <v/>
      </c>
      <c r="BU88">
        <f>IF(OR($D88="",AP88="",30&gt;$F88),0,IF(UPPER(TRIM(AP88))=IFERROR(INDEX(Key!$C$2:$C$263,MATCH($D88*100+30,Key!$G$2:$G$263,0)),"#"),1,0))</f>
        <v/>
      </c>
    </row>
    <row r="89">
      <c r="A89" s="6" t="n"/>
      <c r="B89" s="6" t="n"/>
      <c r="C89" s="6" t="n"/>
      <c r="D89" s="6" t="n"/>
      <c r="E89" s="7">
        <f>IF($D89="","",IFERROR(INDEX(Papers!$B$2:$B$12,MATCH($D89,Papers!$A$2:$A$12,0)),"?"))</f>
        <v/>
      </c>
      <c r="F89" s="7">
        <f>IF($D89="","",IFERROR(INDEX(Papers!$C$2:$C$12,MATCH($D89,Papers!$A$2:$A$12,0)),0))</f>
        <v/>
      </c>
      <c r="G89" s="7">
        <f>IF($D89="","",COUNTIF(M89:AP89,"?*"))</f>
        <v/>
      </c>
      <c r="H89" s="7">
        <f>IF($D89="","",SUM(AR89:BU89))</f>
        <v/>
      </c>
      <c r="I89" s="7">
        <f>IF($D89="","",G89-H89)</f>
        <v/>
      </c>
      <c r="J89" s="7">
        <f>IF($D89="","",F89-G89)</f>
        <v/>
      </c>
      <c r="K89" s="7">
        <f>IF($D89="","",H89)</f>
        <v/>
      </c>
      <c r="L89" s="7">
        <f>IF($D89="","",IF(F89=0,"",ROUND(H89/F89*100,1)))</f>
        <v/>
      </c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R89">
        <f>IF(OR($D89="",M89="",1&gt;$F89),0,IF(UPPER(TRIM(M89))=IFERROR(INDEX(Key!$C$2:$C$263,MATCH($D89*100+1,Key!$G$2:$G$263,0)),"#"),1,0))</f>
        <v/>
      </c>
      <c r="AS89">
        <f>IF(OR($D89="",N89="",2&gt;$F89),0,IF(UPPER(TRIM(N89))=IFERROR(INDEX(Key!$C$2:$C$263,MATCH($D89*100+2,Key!$G$2:$G$263,0)),"#"),1,0))</f>
        <v/>
      </c>
      <c r="AT89">
        <f>IF(OR($D89="",O89="",3&gt;$F89),0,IF(UPPER(TRIM(O89))=IFERROR(INDEX(Key!$C$2:$C$263,MATCH($D89*100+3,Key!$G$2:$G$263,0)),"#"),1,0))</f>
        <v/>
      </c>
      <c r="AU89">
        <f>IF(OR($D89="",P89="",4&gt;$F89),0,IF(UPPER(TRIM(P89))=IFERROR(INDEX(Key!$C$2:$C$263,MATCH($D89*100+4,Key!$G$2:$G$263,0)),"#"),1,0))</f>
        <v/>
      </c>
      <c r="AV89">
        <f>IF(OR($D89="",Q89="",5&gt;$F89),0,IF(UPPER(TRIM(Q89))=IFERROR(INDEX(Key!$C$2:$C$263,MATCH($D89*100+5,Key!$G$2:$G$263,0)),"#"),1,0))</f>
        <v/>
      </c>
      <c r="AW89">
        <f>IF(OR($D89="",R89="",6&gt;$F89),0,IF(UPPER(TRIM(R89))=IFERROR(INDEX(Key!$C$2:$C$263,MATCH($D89*100+6,Key!$G$2:$G$263,0)),"#"),1,0))</f>
        <v/>
      </c>
      <c r="AX89">
        <f>IF(OR($D89="",S89="",7&gt;$F89),0,IF(UPPER(TRIM(S89))=IFERROR(INDEX(Key!$C$2:$C$263,MATCH($D89*100+7,Key!$G$2:$G$263,0)),"#"),1,0))</f>
        <v/>
      </c>
      <c r="AY89">
        <f>IF(OR($D89="",T89="",8&gt;$F89),0,IF(UPPER(TRIM(T89))=IFERROR(INDEX(Key!$C$2:$C$263,MATCH($D89*100+8,Key!$G$2:$G$263,0)),"#"),1,0))</f>
        <v/>
      </c>
      <c r="AZ89">
        <f>IF(OR($D89="",U89="",9&gt;$F89),0,IF(UPPER(TRIM(U89))=IFERROR(INDEX(Key!$C$2:$C$263,MATCH($D89*100+9,Key!$G$2:$G$263,0)),"#"),1,0))</f>
        <v/>
      </c>
      <c r="BA89">
        <f>IF(OR($D89="",V89="",10&gt;$F89),0,IF(UPPER(TRIM(V89))=IFERROR(INDEX(Key!$C$2:$C$263,MATCH($D89*100+10,Key!$G$2:$G$263,0)),"#"),1,0))</f>
        <v/>
      </c>
      <c r="BB89">
        <f>IF(OR($D89="",W89="",11&gt;$F89),0,IF(UPPER(TRIM(W89))=IFERROR(INDEX(Key!$C$2:$C$263,MATCH($D89*100+11,Key!$G$2:$G$263,0)),"#"),1,0))</f>
        <v/>
      </c>
      <c r="BC89">
        <f>IF(OR($D89="",X89="",12&gt;$F89),0,IF(UPPER(TRIM(X89))=IFERROR(INDEX(Key!$C$2:$C$263,MATCH($D89*100+12,Key!$G$2:$G$263,0)),"#"),1,0))</f>
        <v/>
      </c>
      <c r="BD89">
        <f>IF(OR($D89="",Y89="",13&gt;$F89),0,IF(UPPER(TRIM(Y89))=IFERROR(INDEX(Key!$C$2:$C$263,MATCH($D89*100+13,Key!$G$2:$G$263,0)),"#"),1,0))</f>
        <v/>
      </c>
      <c r="BE89">
        <f>IF(OR($D89="",Z89="",14&gt;$F89),0,IF(UPPER(TRIM(Z89))=IFERROR(INDEX(Key!$C$2:$C$263,MATCH($D89*100+14,Key!$G$2:$G$263,0)),"#"),1,0))</f>
        <v/>
      </c>
      <c r="BF89">
        <f>IF(OR($D89="",AA89="",15&gt;$F89),0,IF(UPPER(TRIM(AA89))=IFERROR(INDEX(Key!$C$2:$C$263,MATCH($D89*100+15,Key!$G$2:$G$263,0)),"#"),1,0))</f>
        <v/>
      </c>
      <c r="BG89">
        <f>IF(OR($D89="",AB89="",16&gt;$F89),0,IF(UPPER(TRIM(AB89))=IFERROR(INDEX(Key!$C$2:$C$263,MATCH($D89*100+16,Key!$G$2:$G$263,0)),"#"),1,0))</f>
        <v/>
      </c>
      <c r="BH89">
        <f>IF(OR($D89="",AC89="",17&gt;$F89),0,IF(UPPER(TRIM(AC89))=IFERROR(INDEX(Key!$C$2:$C$263,MATCH($D89*100+17,Key!$G$2:$G$263,0)),"#"),1,0))</f>
        <v/>
      </c>
      <c r="BI89">
        <f>IF(OR($D89="",AD89="",18&gt;$F89),0,IF(UPPER(TRIM(AD89))=IFERROR(INDEX(Key!$C$2:$C$263,MATCH($D89*100+18,Key!$G$2:$G$263,0)),"#"),1,0))</f>
        <v/>
      </c>
      <c r="BJ89">
        <f>IF(OR($D89="",AE89="",19&gt;$F89),0,IF(UPPER(TRIM(AE89))=IFERROR(INDEX(Key!$C$2:$C$263,MATCH($D89*100+19,Key!$G$2:$G$263,0)),"#"),1,0))</f>
        <v/>
      </c>
      <c r="BK89">
        <f>IF(OR($D89="",AF89="",20&gt;$F89),0,IF(UPPER(TRIM(AF89))=IFERROR(INDEX(Key!$C$2:$C$263,MATCH($D89*100+20,Key!$G$2:$G$263,0)),"#"),1,0))</f>
        <v/>
      </c>
      <c r="BL89">
        <f>IF(OR($D89="",AG89="",21&gt;$F89),0,IF(UPPER(TRIM(AG89))=IFERROR(INDEX(Key!$C$2:$C$263,MATCH($D89*100+21,Key!$G$2:$G$263,0)),"#"),1,0))</f>
        <v/>
      </c>
      <c r="BM89">
        <f>IF(OR($D89="",AH89="",22&gt;$F89),0,IF(UPPER(TRIM(AH89))=IFERROR(INDEX(Key!$C$2:$C$263,MATCH($D89*100+22,Key!$G$2:$G$263,0)),"#"),1,0))</f>
        <v/>
      </c>
      <c r="BN89">
        <f>IF(OR($D89="",AI89="",23&gt;$F89),0,IF(UPPER(TRIM(AI89))=IFERROR(INDEX(Key!$C$2:$C$263,MATCH($D89*100+23,Key!$G$2:$G$263,0)),"#"),1,0))</f>
        <v/>
      </c>
      <c r="BO89">
        <f>IF(OR($D89="",AJ89="",24&gt;$F89),0,IF(UPPER(TRIM(AJ89))=IFERROR(INDEX(Key!$C$2:$C$263,MATCH($D89*100+24,Key!$G$2:$G$263,0)),"#"),1,0))</f>
        <v/>
      </c>
      <c r="BP89">
        <f>IF(OR($D89="",AK89="",25&gt;$F89),0,IF(UPPER(TRIM(AK89))=IFERROR(INDEX(Key!$C$2:$C$263,MATCH($D89*100+25,Key!$G$2:$G$263,0)),"#"),1,0))</f>
        <v/>
      </c>
      <c r="BQ89">
        <f>IF(OR($D89="",AL89="",26&gt;$F89),0,IF(UPPER(TRIM(AL89))=IFERROR(INDEX(Key!$C$2:$C$263,MATCH($D89*100+26,Key!$G$2:$G$263,0)),"#"),1,0))</f>
        <v/>
      </c>
      <c r="BR89">
        <f>IF(OR($D89="",AM89="",27&gt;$F89),0,IF(UPPER(TRIM(AM89))=IFERROR(INDEX(Key!$C$2:$C$263,MATCH($D89*100+27,Key!$G$2:$G$263,0)),"#"),1,0))</f>
        <v/>
      </c>
      <c r="BS89">
        <f>IF(OR($D89="",AN89="",28&gt;$F89),0,IF(UPPER(TRIM(AN89))=IFERROR(INDEX(Key!$C$2:$C$263,MATCH($D89*100+28,Key!$G$2:$G$263,0)),"#"),1,0))</f>
        <v/>
      </c>
      <c r="BT89">
        <f>IF(OR($D89="",AO89="",29&gt;$F89),0,IF(UPPER(TRIM(AO89))=IFERROR(INDEX(Key!$C$2:$C$263,MATCH($D89*100+29,Key!$G$2:$G$263,0)),"#"),1,0))</f>
        <v/>
      </c>
      <c r="BU89">
        <f>IF(OR($D89="",AP89="",30&gt;$F89),0,IF(UPPER(TRIM(AP89))=IFERROR(INDEX(Key!$C$2:$C$263,MATCH($D89*100+30,Key!$G$2:$G$263,0)),"#"),1,0))</f>
        <v/>
      </c>
    </row>
    <row r="90">
      <c r="A90" s="6" t="n"/>
      <c r="B90" s="6" t="n"/>
      <c r="C90" s="6" t="n"/>
      <c r="D90" s="6" t="n"/>
      <c r="E90" s="7">
        <f>IF($D90="","",IFERROR(INDEX(Papers!$B$2:$B$12,MATCH($D90,Papers!$A$2:$A$12,0)),"?"))</f>
        <v/>
      </c>
      <c r="F90" s="7">
        <f>IF($D90="","",IFERROR(INDEX(Papers!$C$2:$C$12,MATCH($D90,Papers!$A$2:$A$12,0)),0))</f>
        <v/>
      </c>
      <c r="G90" s="7">
        <f>IF($D90="","",COUNTIF(M90:AP90,"?*"))</f>
        <v/>
      </c>
      <c r="H90" s="7">
        <f>IF($D90="","",SUM(AR90:BU90))</f>
        <v/>
      </c>
      <c r="I90" s="7">
        <f>IF($D90="","",G90-H90)</f>
        <v/>
      </c>
      <c r="J90" s="7">
        <f>IF($D90="","",F90-G90)</f>
        <v/>
      </c>
      <c r="K90" s="7">
        <f>IF($D90="","",H90)</f>
        <v/>
      </c>
      <c r="L90" s="7">
        <f>IF($D90="","",IF(F90=0,"",ROUND(H90/F90*100,1)))</f>
        <v/>
      </c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R90">
        <f>IF(OR($D90="",M90="",1&gt;$F90),0,IF(UPPER(TRIM(M90))=IFERROR(INDEX(Key!$C$2:$C$263,MATCH($D90*100+1,Key!$G$2:$G$263,0)),"#"),1,0))</f>
        <v/>
      </c>
      <c r="AS90">
        <f>IF(OR($D90="",N90="",2&gt;$F90),0,IF(UPPER(TRIM(N90))=IFERROR(INDEX(Key!$C$2:$C$263,MATCH($D90*100+2,Key!$G$2:$G$263,0)),"#"),1,0))</f>
        <v/>
      </c>
      <c r="AT90">
        <f>IF(OR($D90="",O90="",3&gt;$F90),0,IF(UPPER(TRIM(O90))=IFERROR(INDEX(Key!$C$2:$C$263,MATCH($D90*100+3,Key!$G$2:$G$263,0)),"#"),1,0))</f>
        <v/>
      </c>
      <c r="AU90">
        <f>IF(OR($D90="",P90="",4&gt;$F90),0,IF(UPPER(TRIM(P90))=IFERROR(INDEX(Key!$C$2:$C$263,MATCH($D90*100+4,Key!$G$2:$G$263,0)),"#"),1,0))</f>
        <v/>
      </c>
      <c r="AV90">
        <f>IF(OR($D90="",Q90="",5&gt;$F90),0,IF(UPPER(TRIM(Q90))=IFERROR(INDEX(Key!$C$2:$C$263,MATCH($D90*100+5,Key!$G$2:$G$263,0)),"#"),1,0))</f>
        <v/>
      </c>
      <c r="AW90">
        <f>IF(OR($D90="",R90="",6&gt;$F90),0,IF(UPPER(TRIM(R90))=IFERROR(INDEX(Key!$C$2:$C$263,MATCH($D90*100+6,Key!$G$2:$G$263,0)),"#"),1,0))</f>
        <v/>
      </c>
      <c r="AX90">
        <f>IF(OR($D90="",S90="",7&gt;$F90),0,IF(UPPER(TRIM(S90))=IFERROR(INDEX(Key!$C$2:$C$263,MATCH($D90*100+7,Key!$G$2:$G$263,0)),"#"),1,0))</f>
        <v/>
      </c>
      <c r="AY90">
        <f>IF(OR($D90="",T90="",8&gt;$F90),0,IF(UPPER(TRIM(T90))=IFERROR(INDEX(Key!$C$2:$C$263,MATCH($D90*100+8,Key!$G$2:$G$263,0)),"#"),1,0))</f>
        <v/>
      </c>
      <c r="AZ90">
        <f>IF(OR($D90="",U90="",9&gt;$F90),0,IF(UPPER(TRIM(U90))=IFERROR(INDEX(Key!$C$2:$C$263,MATCH($D90*100+9,Key!$G$2:$G$263,0)),"#"),1,0))</f>
        <v/>
      </c>
      <c r="BA90">
        <f>IF(OR($D90="",V90="",10&gt;$F90),0,IF(UPPER(TRIM(V90))=IFERROR(INDEX(Key!$C$2:$C$263,MATCH($D90*100+10,Key!$G$2:$G$263,0)),"#"),1,0))</f>
        <v/>
      </c>
      <c r="BB90">
        <f>IF(OR($D90="",W90="",11&gt;$F90),0,IF(UPPER(TRIM(W90))=IFERROR(INDEX(Key!$C$2:$C$263,MATCH($D90*100+11,Key!$G$2:$G$263,0)),"#"),1,0))</f>
        <v/>
      </c>
      <c r="BC90">
        <f>IF(OR($D90="",X90="",12&gt;$F90),0,IF(UPPER(TRIM(X90))=IFERROR(INDEX(Key!$C$2:$C$263,MATCH($D90*100+12,Key!$G$2:$G$263,0)),"#"),1,0))</f>
        <v/>
      </c>
      <c r="BD90">
        <f>IF(OR($D90="",Y90="",13&gt;$F90),0,IF(UPPER(TRIM(Y90))=IFERROR(INDEX(Key!$C$2:$C$263,MATCH($D90*100+13,Key!$G$2:$G$263,0)),"#"),1,0))</f>
        <v/>
      </c>
      <c r="BE90">
        <f>IF(OR($D90="",Z90="",14&gt;$F90),0,IF(UPPER(TRIM(Z90))=IFERROR(INDEX(Key!$C$2:$C$263,MATCH($D90*100+14,Key!$G$2:$G$263,0)),"#"),1,0))</f>
        <v/>
      </c>
      <c r="BF90">
        <f>IF(OR($D90="",AA90="",15&gt;$F90),0,IF(UPPER(TRIM(AA90))=IFERROR(INDEX(Key!$C$2:$C$263,MATCH($D90*100+15,Key!$G$2:$G$263,0)),"#"),1,0))</f>
        <v/>
      </c>
      <c r="BG90">
        <f>IF(OR($D90="",AB90="",16&gt;$F90),0,IF(UPPER(TRIM(AB90))=IFERROR(INDEX(Key!$C$2:$C$263,MATCH($D90*100+16,Key!$G$2:$G$263,0)),"#"),1,0))</f>
        <v/>
      </c>
      <c r="BH90">
        <f>IF(OR($D90="",AC90="",17&gt;$F90),0,IF(UPPER(TRIM(AC90))=IFERROR(INDEX(Key!$C$2:$C$263,MATCH($D90*100+17,Key!$G$2:$G$263,0)),"#"),1,0))</f>
        <v/>
      </c>
      <c r="BI90">
        <f>IF(OR($D90="",AD90="",18&gt;$F90),0,IF(UPPER(TRIM(AD90))=IFERROR(INDEX(Key!$C$2:$C$263,MATCH($D90*100+18,Key!$G$2:$G$263,0)),"#"),1,0))</f>
        <v/>
      </c>
      <c r="BJ90">
        <f>IF(OR($D90="",AE90="",19&gt;$F90),0,IF(UPPER(TRIM(AE90))=IFERROR(INDEX(Key!$C$2:$C$263,MATCH($D90*100+19,Key!$G$2:$G$263,0)),"#"),1,0))</f>
        <v/>
      </c>
      <c r="BK90">
        <f>IF(OR($D90="",AF90="",20&gt;$F90),0,IF(UPPER(TRIM(AF90))=IFERROR(INDEX(Key!$C$2:$C$263,MATCH($D90*100+20,Key!$G$2:$G$263,0)),"#"),1,0))</f>
        <v/>
      </c>
      <c r="BL90">
        <f>IF(OR($D90="",AG90="",21&gt;$F90),0,IF(UPPER(TRIM(AG90))=IFERROR(INDEX(Key!$C$2:$C$263,MATCH($D90*100+21,Key!$G$2:$G$263,0)),"#"),1,0))</f>
        <v/>
      </c>
      <c r="BM90">
        <f>IF(OR($D90="",AH90="",22&gt;$F90),0,IF(UPPER(TRIM(AH90))=IFERROR(INDEX(Key!$C$2:$C$263,MATCH($D90*100+22,Key!$G$2:$G$263,0)),"#"),1,0))</f>
        <v/>
      </c>
      <c r="BN90">
        <f>IF(OR($D90="",AI90="",23&gt;$F90),0,IF(UPPER(TRIM(AI90))=IFERROR(INDEX(Key!$C$2:$C$263,MATCH($D90*100+23,Key!$G$2:$G$263,0)),"#"),1,0))</f>
        <v/>
      </c>
      <c r="BO90">
        <f>IF(OR($D90="",AJ90="",24&gt;$F90),0,IF(UPPER(TRIM(AJ90))=IFERROR(INDEX(Key!$C$2:$C$263,MATCH($D90*100+24,Key!$G$2:$G$263,0)),"#"),1,0))</f>
        <v/>
      </c>
      <c r="BP90">
        <f>IF(OR($D90="",AK90="",25&gt;$F90),0,IF(UPPER(TRIM(AK90))=IFERROR(INDEX(Key!$C$2:$C$263,MATCH($D90*100+25,Key!$G$2:$G$263,0)),"#"),1,0))</f>
        <v/>
      </c>
      <c r="BQ90">
        <f>IF(OR($D90="",AL90="",26&gt;$F90),0,IF(UPPER(TRIM(AL90))=IFERROR(INDEX(Key!$C$2:$C$263,MATCH($D90*100+26,Key!$G$2:$G$263,0)),"#"),1,0))</f>
        <v/>
      </c>
      <c r="BR90">
        <f>IF(OR($D90="",AM90="",27&gt;$F90),0,IF(UPPER(TRIM(AM90))=IFERROR(INDEX(Key!$C$2:$C$263,MATCH($D90*100+27,Key!$G$2:$G$263,0)),"#"),1,0))</f>
        <v/>
      </c>
      <c r="BS90">
        <f>IF(OR($D90="",AN90="",28&gt;$F90),0,IF(UPPER(TRIM(AN90))=IFERROR(INDEX(Key!$C$2:$C$263,MATCH($D90*100+28,Key!$G$2:$G$263,0)),"#"),1,0))</f>
        <v/>
      </c>
      <c r="BT90">
        <f>IF(OR($D90="",AO90="",29&gt;$F90),0,IF(UPPER(TRIM(AO90))=IFERROR(INDEX(Key!$C$2:$C$263,MATCH($D90*100+29,Key!$G$2:$G$263,0)),"#"),1,0))</f>
        <v/>
      </c>
      <c r="BU90">
        <f>IF(OR($D90="",AP90="",30&gt;$F90),0,IF(UPPER(TRIM(AP90))=IFERROR(INDEX(Key!$C$2:$C$263,MATCH($D90*100+30,Key!$G$2:$G$263,0)),"#"),1,0))</f>
        <v/>
      </c>
    </row>
    <row r="91">
      <c r="A91" s="6" t="n"/>
      <c r="B91" s="6" t="n"/>
      <c r="C91" s="6" t="n"/>
      <c r="D91" s="6" t="n"/>
      <c r="E91" s="7">
        <f>IF($D91="","",IFERROR(INDEX(Papers!$B$2:$B$12,MATCH($D91,Papers!$A$2:$A$12,0)),"?"))</f>
        <v/>
      </c>
      <c r="F91" s="7">
        <f>IF($D91="","",IFERROR(INDEX(Papers!$C$2:$C$12,MATCH($D91,Papers!$A$2:$A$12,0)),0))</f>
        <v/>
      </c>
      <c r="G91" s="7">
        <f>IF($D91="","",COUNTIF(M91:AP91,"?*"))</f>
        <v/>
      </c>
      <c r="H91" s="7">
        <f>IF($D91="","",SUM(AR91:BU91))</f>
        <v/>
      </c>
      <c r="I91" s="7">
        <f>IF($D91="","",G91-H91)</f>
        <v/>
      </c>
      <c r="J91" s="7">
        <f>IF($D91="","",F91-G91)</f>
        <v/>
      </c>
      <c r="K91" s="7">
        <f>IF($D91="","",H91)</f>
        <v/>
      </c>
      <c r="L91" s="7">
        <f>IF($D91="","",IF(F91=0,"",ROUND(H91/F91*100,1)))</f>
        <v/>
      </c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R91">
        <f>IF(OR($D91="",M91="",1&gt;$F91),0,IF(UPPER(TRIM(M91))=IFERROR(INDEX(Key!$C$2:$C$263,MATCH($D91*100+1,Key!$G$2:$G$263,0)),"#"),1,0))</f>
        <v/>
      </c>
      <c r="AS91">
        <f>IF(OR($D91="",N91="",2&gt;$F91),0,IF(UPPER(TRIM(N91))=IFERROR(INDEX(Key!$C$2:$C$263,MATCH($D91*100+2,Key!$G$2:$G$263,0)),"#"),1,0))</f>
        <v/>
      </c>
      <c r="AT91">
        <f>IF(OR($D91="",O91="",3&gt;$F91),0,IF(UPPER(TRIM(O91))=IFERROR(INDEX(Key!$C$2:$C$263,MATCH($D91*100+3,Key!$G$2:$G$263,0)),"#"),1,0))</f>
        <v/>
      </c>
      <c r="AU91">
        <f>IF(OR($D91="",P91="",4&gt;$F91),0,IF(UPPER(TRIM(P91))=IFERROR(INDEX(Key!$C$2:$C$263,MATCH($D91*100+4,Key!$G$2:$G$263,0)),"#"),1,0))</f>
        <v/>
      </c>
      <c r="AV91">
        <f>IF(OR($D91="",Q91="",5&gt;$F91),0,IF(UPPER(TRIM(Q91))=IFERROR(INDEX(Key!$C$2:$C$263,MATCH($D91*100+5,Key!$G$2:$G$263,0)),"#"),1,0))</f>
        <v/>
      </c>
      <c r="AW91">
        <f>IF(OR($D91="",R91="",6&gt;$F91),0,IF(UPPER(TRIM(R91))=IFERROR(INDEX(Key!$C$2:$C$263,MATCH($D91*100+6,Key!$G$2:$G$263,0)),"#"),1,0))</f>
        <v/>
      </c>
      <c r="AX91">
        <f>IF(OR($D91="",S91="",7&gt;$F91),0,IF(UPPER(TRIM(S91))=IFERROR(INDEX(Key!$C$2:$C$263,MATCH($D91*100+7,Key!$G$2:$G$263,0)),"#"),1,0))</f>
        <v/>
      </c>
      <c r="AY91">
        <f>IF(OR($D91="",T91="",8&gt;$F91),0,IF(UPPER(TRIM(T91))=IFERROR(INDEX(Key!$C$2:$C$263,MATCH($D91*100+8,Key!$G$2:$G$263,0)),"#"),1,0))</f>
        <v/>
      </c>
      <c r="AZ91">
        <f>IF(OR($D91="",U91="",9&gt;$F91),0,IF(UPPER(TRIM(U91))=IFERROR(INDEX(Key!$C$2:$C$263,MATCH($D91*100+9,Key!$G$2:$G$263,0)),"#"),1,0))</f>
        <v/>
      </c>
      <c r="BA91">
        <f>IF(OR($D91="",V91="",10&gt;$F91),0,IF(UPPER(TRIM(V91))=IFERROR(INDEX(Key!$C$2:$C$263,MATCH($D91*100+10,Key!$G$2:$G$263,0)),"#"),1,0))</f>
        <v/>
      </c>
      <c r="BB91">
        <f>IF(OR($D91="",W91="",11&gt;$F91),0,IF(UPPER(TRIM(W91))=IFERROR(INDEX(Key!$C$2:$C$263,MATCH($D91*100+11,Key!$G$2:$G$263,0)),"#"),1,0))</f>
        <v/>
      </c>
      <c r="BC91">
        <f>IF(OR($D91="",X91="",12&gt;$F91),0,IF(UPPER(TRIM(X91))=IFERROR(INDEX(Key!$C$2:$C$263,MATCH($D91*100+12,Key!$G$2:$G$263,0)),"#"),1,0))</f>
        <v/>
      </c>
      <c r="BD91">
        <f>IF(OR($D91="",Y91="",13&gt;$F91),0,IF(UPPER(TRIM(Y91))=IFERROR(INDEX(Key!$C$2:$C$263,MATCH($D91*100+13,Key!$G$2:$G$263,0)),"#"),1,0))</f>
        <v/>
      </c>
      <c r="BE91">
        <f>IF(OR($D91="",Z91="",14&gt;$F91),0,IF(UPPER(TRIM(Z91))=IFERROR(INDEX(Key!$C$2:$C$263,MATCH($D91*100+14,Key!$G$2:$G$263,0)),"#"),1,0))</f>
        <v/>
      </c>
      <c r="BF91">
        <f>IF(OR($D91="",AA91="",15&gt;$F91),0,IF(UPPER(TRIM(AA91))=IFERROR(INDEX(Key!$C$2:$C$263,MATCH($D91*100+15,Key!$G$2:$G$263,0)),"#"),1,0))</f>
        <v/>
      </c>
      <c r="BG91">
        <f>IF(OR($D91="",AB91="",16&gt;$F91),0,IF(UPPER(TRIM(AB91))=IFERROR(INDEX(Key!$C$2:$C$263,MATCH($D91*100+16,Key!$G$2:$G$263,0)),"#"),1,0))</f>
        <v/>
      </c>
      <c r="BH91">
        <f>IF(OR($D91="",AC91="",17&gt;$F91),0,IF(UPPER(TRIM(AC91))=IFERROR(INDEX(Key!$C$2:$C$263,MATCH($D91*100+17,Key!$G$2:$G$263,0)),"#"),1,0))</f>
        <v/>
      </c>
      <c r="BI91">
        <f>IF(OR($D91="",AD91="",18&gt;$F91),0,IF(UPPER(TRIM(AD91))=IFERROR(INDEX(Key!$C$2:$C$263,MATCH($D91*100+18,Key!$G$2:$G$263,0)),"#"),1,0))</f>
        <v/>
      </c>
      <c r="BJ91">
        <f>IF(OR($D91="",AE91="",19&gt;$F91),0,IF(UPPER(TRIM(AE91))=IFERROR(INDEX(Key!$C$2:$C$263,MATCH($D91*100+19,Key!$G$2:$G$263,0)),"#"),1,0))</f>
        <v/>
      </c>
      <c r="BK91">
        <f>IF(OR($D91="",AF91="",20&gt;$F91),0,IF(UPPER(TRIM(AF91))=IFERROR(INDEX(Key!$C$2:$C$263,MATCH($D91*100+20,Key!$G$2:$G$263,0)),"#"),1,0))</f>
        <v/>
      </c>
      <c r="BL91">
        <f>IF(OR($D91="",AG91="",21&gt;$F91),0,IF(UPPER(TRIM(AG91))=IFERROR(INDEX(Key!$C$2:$C$263,MATCH($D91*100+21,Key!$G$2:$G$263,0)),"#"),1,0))</f>
        <v/>
      </c>
      <c r="BM91">
        <f>IF(OR($D91="",AH91="",22&gt;$F91),0,IF(UPPER(TRIM(AH91))=IFERROR(INDEX(Key!$C$2:$C$263,MATCH($D91*100+22,Key!$G$2:$G$263,0)),"#"),1,0))</f>
        <v/>
      </c>
      <c r="BN91">
        <f>IF(OR($D91="",AI91="",23&gt;$F91),0,IF(UPPER(TRIM(AI91))=IFERROR(INDEX(Key!$C$2:$C$263,MATCH($D91*100+23,Key!$G$2:$G$263,0)),"#"),1,0))</f>
        <v/>
      </c>
      <c r="BO91">
        <f>IF(OR($D91="",AJ91="",24&gt;$F91),0,IF(UPPER(TRIM(AJ91))=IFERROR(INDEX(Key!$C$2:$C$263,MATCH($D91*100+24,Key!$G$2:$G$263,0)),"#"),1,0))</f>
        <v/>
      </c>
      <c r="BP91">
        <f>IF(OR($D91="",AK91="",25&gt;$F91),0,IF(UPPER(TRIM(AK91))=IFERROR(INDEX(Key!$C$2:$C$263,MATCH($D91*100+25,Key!$G$2:$G$263,0)),"#"),1,0))</f>
        <v/>
      </c>
      <c r="BQ91">
        <f>IF(OR($D91="",AL91="",26&gt;$F91),0,IF(UPPER(TRIM(AL91))=IFERROR(INDEX(Key!$C$2:$C$263,MATCH($D91*100+26,Key!$G$2:$G$263,0)),"#"),1,0))</f>
        <v/>
      </c>
      <c r="BR91">
        <f>IF(OR($D91="",AM91="",27&gt;$F91),0,IF(UPPER(TRIM(AM91))=IFERROR(INDEX(Key!$C$2:$C$263,MATCH($D91*100+27,Key!$G$2:$G$263,0)),"#"),1,0))</f>
        <v/>
      </c>
      <c r="BS91">
        <f>IF(OR($D91="",AN91="",28&gt;$F91),0,IF(UPPER(TRIM(AN91))=IFERROR(INDEX(Key!$C$2:$C$263,MATCH($D91*100+28,Key!$G$2:$G$263,0)),"#"),1,0))</f>
        <v/>
      </c>
      <c r="BT91">
        <f>IF(OR($D91="",AO91="",29&gt;$F91),0,IF(UPPER(TRIM(AO91))=IFERROR(INDEX(Key!$C$2:$C$263,MATCH($D91*100+29,Key!$G$2:$G$263,0)),"#"),1,0))</f>
        <v/>
      </c>
      <c r="BU91">
        <f>IF(OR($D91="",AP91="",30&gt;$F91),0,IF(UPPER(TRIM(AP91))=IFERROR(INDEX(Key!$C$2:$C$263,MATCH($D91*100+30,Key!$G$2:$G$263,0)),"#"),1,0))</f>
        <v/>
      </c>
    </row>
    <row r="92">
      <c r="A92" s="6" t="n"/>
      <c r="B92" s="6" t="n"/>
      <c r="C92" s="6" t="n"/>
      <c r="D92" s="6" t="n"/>
      <c r="E92" s="7">
        <f>IF($D92="","",IFERROR(INDEX(Papers!$B$2:$B$12,MATCH($D92,Papers!$A$2:$A$12,0)),"?"))</f>
        <v/>
      </c>
      <c r="F92" s="7">
        <f>IF($D92="","",IFERROR(INDEX(Papers!$C$2:$C$12,MATCH($D92,Papers!$A$2:$A$12,0)),0))</f>
        <v/>
      </c>
      <c r="G92" s="7">
        <f>IF($D92="","",COUNTIF(M92:AP92,"?*"))</f>
        <v/>
      </c>
      <c r="H92" s="7">
        <f>IF($D92="","",SUM(AR92:BU92))</f>
        <v/>
      </c>
      <c r="I92" s="7">
        <f>IF($D92="","",G92-H92)</f>
        <v/>
      </c>
      <c r="J92" s="7">
        <f>IF($D92="","",F92-G92)</f>
        <v/>
      </c>
      <c r="K92" s="7">
        <f>IF($D92="","",H92)</f>
        <v/>
      </c>
      <c r="L92" s="7">
        <f>IF($D92="","",IF(F92=0,"",ROUND(H92/F92*100,1)))</f>
        <v/>
      </c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R92">
        <f>IF(OR($D92="",M92="",1&gt;$F92),0,IF(UPPER(TRIM(M92))=IFERROR(INDEX(Key!$C$2:$C$263,MATCH($D92*100+1,Key!$G$2:$G$263,0)),"#"),1,0))</f>
        <v/>
      </c>
      <c r="AS92">
        <f>IF(OR($D92="",N92="",2&gt;$F92),0,IF(UPPER(TRIM(N92))=IFERROR(INDEX(Key!$C$2:$C$263,MATCH($D92*100+2,Key!$G$2:$G$263,0)),"#"),1,0))</f>
        <v/>
      </c>
      <c r="AT92">
        <f>IF(OR($D92="",O92="",3&gt;$F92),0,IF(UPPER(TRIM(O92))=IFERROR(INDEX(Key!$C$2:$C$263,MATCH($D92*100+3,Key!$G$2:$G$263,0)),"#"),1,0))</f>
        <v/>
      </c>
      <c r="AU92">
        <f>IF(OR($D92="",P92="",4&gt;$F92),0,IF(UPPER(TRIM(P92))=IFERROR(INDEX(Key!$C$2:$C$263,MATCH($D92*100+4,Key!$G$2:$G$263,0)),"#"),1,0))</f>
        <v/>
      </c>
      <c r="AV92">
        <f>IF(OR($D92="",Q92="",5&gt;$F92),0,IF(UPPER(TRIM(Q92))=IFERROR(INDEX(Key!$C$2:$C$263,MATCH($D92*100+5,Key!$G$2:$G$263,0)),"#"),1,0))</f>
        <v/>
      </c>
      <c r="AW92">
        <f>IF(OR($D92="",R92="",6&gt;$F92),0,IF(UPPER(TRIM(R92))=IFERROR(INDEX(Key!$C$2:$C$263,MATCH($D92*100+6,Key!$G$2:$G$263,0)),"#"),1,0))</f>
        <v/>
      </c>
      <c r="AX92">
        <f>IF(OR($D92="",S92="",7&gt;$F92),0,IF(UPPER(TRIM(S92))=IFERROR(INDEX(Key!$C$2:$C$263,MATCH($D92*100+7,Key!$G$2:$G$263,0)),"#"),1,0))</f>
        <v/>
      </c>
      <c r="AY92">
        <f>IF(OR($D92="",T92="",8&gt;$F92),0,IF(UPPER(TRIM(T92))=IFERROR(INDEX(Key!$C$2:$C$263,MATCH($D92*100+8,Key!$G$2:$G$263,0)),"#"),1,0))</f>
        <v/>
      </c>
      <c r="AZ92">
        <f>IF(OR($D92="",U92="",9&gt;$F92),0,IF(UPPER(TRIM(U92))=IFERROR(INDEX(Key!$C$2:$C$263,MATCH($D92*100+9,Key!$G$2:$G$263,0)),"#"),1,0))</f>
        <v/>
      </c>
      <c r="BA92">
        <f>IF(OR($D92="",V92="",10&gt;$F92),0,IF(UPPER(TRIM(V92))=IFERROR(INDEX(Key!$C$2:$C$263,MATCH($D92*100+10,Key!$G$2:$G$263,0)),"#"),1,0))</f>
        <v/>
      </c>
      <c r="BB92">
        <f>IF(OR($D92="",W92="",11&gt;$F92),0,IF(UPPER(TRIM(W92))=IFERROR(INDEX(Key!$C$2:$C$263,MATCH($D92*100+11,Key!$G$2:$G$263,0)),"#"),1,0))</f>
        <v/>
      </c>
      <c r="BC92">
        <f>IF(OR($D92="",X92="",12&gt;$F92),0,IF(UPPER(TRIM(X92))=IFERROR(INDEX(Key!$C$2:$C$263,MATCH($D92*100+12,Key!$G$2:$G$263,0)),"#"),1,0))</f>
        <v/>
      </c>
      <c r="BD92">
        <f>IF(OR($D92="",Y92="",13&gt;$F92),0,IF(UPPER(TRIM(Y92))=IFERROR(INDEX(Key!$C$2:$C$263,MATCH($D92*100+13,Key!$G$2:$G$263,0)),"#"),1,0))</f>
        <v/>
      </c>
      <c r="BE92">
        <f>IF(OR($D92="",Z92="",14&gt;$F92),0,IF(UPPER(TRIM(Z92))=IFERROR(INDEX(Key!$C$2:$C$263,MATCH($D92*100+14,Key!$G$2:$G$263,0)),"#"),1,0))</f>
        <v/>
      </c>
      <c r="BF92">
        <f>IF(OR($D92="",AA92="",15&gt;$F92),0,IF(UPPER(TRIM(AA92))=IFERROR(INDEX(Key!$C$2:$C$263,MATCH($D92*100+15,Key!$G$2:$G$263,0)),"#"),1,0))</f>
        <v/>
      </c>
      <c r="BG92">
        <f>IF(OR($D92="",AB92="",16&gt;$F92),0,IF(UPPER(TRIM(AB92))=IFERROR(INDEX(Key!$C$2:$C$263,MATCH($D92*100+16,Key!$G$2:$G$263,0)),"#"),1,0))</f>
        <v/>
      </c>
      <c r="BH92">
        <f>IF(OR($D92="",AC92="",17&gt;$F92),0,IF(UPPER(TRIM(AC92))=IFERROR(INDEX(Key!$C$2:$C$263,MATCH($D92*100+17,Key!$G$2:$G$263,0)),"#"),1,0))</f>
        <v/>
      </c>
      <c r="BI92">
        <f>IF(OR($D92="",AD92="",18&gt;$F92),0,IF(UPPER(TRIM(AD92))=IFERROR(INDEX(Key!$C$2:$C$263,MATCH($D92*100+18,Key!$G$2:$G$263,0)),"#"),1,0))</f>
        <v/>
      </c>
      <c r="BJ92">
        <f>IF(OR($D92="",AE92="",19&gt;$F92),0,IF(UPPER(TRIM(AE92))=IFERROR(INDEX(Key!$C$2:$C$263,MATCH($D92*100+19,Key!$G$2:$G$263,0)),"#"),1,0))</f>
        <v/>
      </c>
      <c r="BK92">
        <f>IF(OR($D92="",AF92="",20&gt;$F92),0,IF(UPPER(TRIM(AF92))=IFERROR(INDEX(Key!$C$2:$C$263,MATCH($D92*100+20,Key!$G$2:$G$263,0)),"#"),1,0))</f>
        <v/>
      </c>
      <c r="BL92">
        <f>IF(OR($D92="",AG92="",21&gt;$F92),0,IF(UPPER(TRIM(AG92))=IFERROR(INDEX(Key!$C$2:$C$263,MATCH($D92*100+21,Key!$G$2:$G$263,0)),"#"),1,0))</f>
        <v/>
      </c>
      <c r="BM92">
        <f>IF(OR($D92="",AH92="",22&gt;$F92),0,IF(UPPER(TRIM(AH92))=IFERROR(INDEX(Key!$C$2:$C$263,MATCH($D92*100+22,Key!$G$2:$G$263,0)),"#"),1,0))</f>
        <v/>
      </c>
      <c r="BN92">
        <f>IF(OR($D92="",AI92="",23&gt;$F92),0,IF(UPPER(TRIM(AI92))=IFERROR(INDEX(Key!$C$2:$C$263,MATCH($D92*100+23,Key!$G$2:$G$263,0)),"#"),1,0))</f>
        <v/>
      </c>
      <c r="BO92">
        <f>IF(OR($D92="",AJ92="",24&gt;$F92),0,IF(UPPER(TRIM(AJ92))=IFERROR(INDEX(Key!$C$2:$C$263,MATCH($D92*100+24,Key!$G$2:$G$263,0)),"#"),1,0))</f>
        <v/>
      </c>
      <c r="BP92">
        <f>IF(OR($D92="",AK92="",25&gt;$F92),0,IF(UPPER(TRIM(AK92))=IFERROR(INDEX(Key!$C$2:$C$263,MATCH($D92*100+25,Key!$G$2:$G$263,0)),"#"),1,0))</f>
        <v/>
      </c>
      <c r="BQ92">
        <f>IF(OR($D92="",AL92="",26&gt;$F92),0,IF(UPPER(TRIM(AL92))=IFERROR(INDEX(Key!$C$2:$C$263,MATCH($D92*100+26,Key!$G$2:$G$263,0)),"#"),1,0))</f>
        <v/>
      </c>
      <c r="BR92">
        <f>IF(OR($D92="",AM92="",27&gt;$F92),0,IF(UPPER(TRIM(AM92))=IFERROR(INDEX(Key!$C$2:$C$263,MATCH($D92*100+27,Key!$G$2:$G$263,0)),"#"),1,0))</f>
        <v/>
      </c>
      <c r="BS92">
        <f>IF(OR($D92="",AN92="",28&gt;$F92),0,IF(UPPER(TRIM(AN92))=IFERROR(INDEX(Key!$C$2:$C$263,MATCH($D92*100+28,Key!$G$2:$G$263,0)),"#"),1,0))</f>
        <v/>
      </c>
      <c r="BT92">
        <f>IF(OR($D92="",AO92="",29&gt;$F92),0,IF(UPPER(TRIM(AO92))=IFERROR(INDEX(Key!$C$2:$C$263,MATCH($D92*100+29,Key!$G$2:$G$263,0)),"#"),1,0))</f>
        <v/>
      </c>
      <c r="BU92">
        <f>IF(OR($D92="",AP92="",30&gt;$F92),0,IF(UPPER(TRIM(AP92))=IFERROR(INDEX(Key!$C$2:$C$263,MATCH($D92*100+30,Key!$G$2:$G$263,0)),"#"),1,0))</f>
        <v/>
      </c>
    </row>
    <row r="93">
      <c r="A93" s="6" t="n"/>
      <c r="B93" s="6" t="n"/>
      <c r="C93" s="6" t="n"/>
      <c r="D93" s="6" t="n"/>
      <c r="E93" s="7">
        <f>IF($D93="","",IFERROR(INDEX(Papers!$B$2:$B$12,MATCH($D93,Papers!$A$2:$A$12,0)),"?"))</f>
        <v/>
      </c>
      <c r="F93" s="7">
        <f>IF($D93="","",IFERROR(INDEX(Papers!$C$2:$C$12,MATCH($D93,Papers!$A$2:$A$12,0)),0))</f>
        <v/>
      </c>
      <c r="G93" s="7">
        <f>IF($D93="","",COUNTIF(M93:AP93,"?*"))</f>
        <v/>
      </c>
      <c r="H93" s="7">
        <f>IF($D93="","",SUM(AR93:BU93))</f>
        <v/>
      </c>
      <c r="I93" s="7">
        <f>IF($D93="","",G93-H93)</f>
        <v/>
      </c>
      <c r="J93" s="7">
        <f>IF($D93="","",F93-G93)</f>
        <v/>
      </c>
      <c r="K93" s="7">
        <f>IF($D93="","",H93)</f>
        <v/>
      </c>
      <c r="L93" s="7">
        <f>IF($D93="","",IF(F93=0,"",ROUND(H93/F93*100,1)))</f>
        <v/>
      </c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R93">
        <f>IF(OR($D93="",M93="",1&gt;$F93),0,IF(UPPER(TRIM(M93))=IFERROR(INDEX(Key!$C$2:$C$263,MATCH($D93*100+1,Key!$G$2:$G$263,0)),"#"),1,0))</f>
        <v/>
      </c>
      <c r="AS93">
        <f>IF(OR($D93="",N93="",2&gt;$F93),0,IF(UPPER(TRIM(N93))=IFERROR(INDEX(Key!$C$2:$C$263,MATCH($D93*100+2,Key!$G$2:$G$263,0)),"#"),1,0))</f>
        <v/>
      </c>
      <c r="AT93">
        <f>IF(OR($D93="",O93="",3&gt;$F93),0,IF(UPPER(TRIM(O93))=IFERROR(INDEX(Key!$C$2:$C$263,MATCH($D93*100+3,Key!$G$2:$G$263,0)),"#"),1,0))</f>
        <v/>
      </c>
      <c r="AU93">
        <f>IF(OR($D93="",P93="",4&gt;$F93),0,IF(UPPER(TRIM(P93))=IFERROR(INDEX(Key!$C$2:$C$263,MATCH($D93*100+4,Key!$G$2:$G$263,0)),"#"),1,0))</f>
        <v/>
      </c>
      <c r="AV93">
        <f>IF(OR($D93="",Q93="",5&gt;$F93),0,IF(UPPER(TRIM(Q93))=IFERROR(INDEX(Key!$C$2:$C$263,MATCH($D93*100+5,Key!$G$2:$G$263,0)),"#"),1,0))</f>
        <v/>
      </c>
      <c r="AW93">
        <f>IF(OR($D93="",R93="",6&gt;$F93),0,IF(UPPER(TRIM(R93))=IFERROR(INDEX(Key!$C$2:$C$263,MATCH($D93*100+6,Key!$G$2:$G$263,0)),"#"),1,0))</f>
        <v/>
      </c>
      <c r="AX93">
        <f>IF(OR($D93="",S93="",7&gt;$F93),0,IF(UPPER(TRIM(S93))=IFERROR(INDEX(Key!$C$2:$C$263,MATCH($D93*100+7,Key!$G$2:$G$263,0)),"#"),1,0))</f>
        <v/>
      </c>
      <c r="AY93">
        <f>IF(OR($D93="",T93="",8&gt;$F93),0,IF(UPPER(TRIM(T93))=IFERROR(INDEX(Key!$C$2:$C$263,MATCH($D93*100+8,Key!$G$2:$G$263,0)),"#"),1,0))</f>
        <v/>
      </c>
      <c r="AZ93">
        <f>IF(OR($D93="",U93="",9&gt;$F93),0,IF(UPPER(TRIM(U93))=IFERROR(INDEX(Key!$C$2:$C$263,MATCH($D93*100+9,Key!$G$2:$G$263,0)),"#"),1,0))</f>
        <v/>
      </c>
      <c r="BA93">
        <f>IF(OR($D93="",V93="",10&gt;$F93),0,IF(UPPER(TRIM(V93))=IFERROR(INDEX(Key!$C$2:$C$263,MATCH($D93*100+10,Key!$G$2:$G$263,0)),"#"),1,0))</f>
        <v/>
      </c>
      <c r="BB93">
        <f>IF(OR($D93="",W93="",11&gt;$F93),0,IF(UPPER(TRIM(W93))=IFERROR(INDEX(Key!$C$2:$C$263,MATCH($D93*100+11,Key!$G$2:$G$263,0)),"#"),1,0))</f>
        <v/>
      </c>
      <c r="BC93">
        <f>IF(OR($D93="",X93="",12&gt;$F93),0,IF(UPPER(TRIM(X93))=IFERROR(INDEX(Key!$C$2:$C$263,MATCH($D93*100+12,Key!$G$2:$G$263,0)),"#"),1,0))</f>
        <v/>
      </c>
      <c r="BD93">
        <f>IF(OR($D93="",Y93="",13&gt;$F93),0,IF(UPPER(TRIM(Y93))=IFERROR(INDEX(Key!$C$2:$C$263,MATCH($D93*100+13,Key!$G$2:$G$263,0)),"#"),1,0))</f>
        <v/>
      </c>
      <c r="BE93">
        <f>IF(OR($D93="",Z93="",14&gt;$F93),0,IF(UPPER(TRIM(Z93))=IFERROR(INDEX(Key!$C$2:$C$263,MATCH($D93*100+14,Key!$G$2:$G$263,0)),"#"),1,0))</f>
        <v/>
      </c>
      <c r="BF93">
        <f>IF(OR($D93="",AA93="",15&gt;$F93),0,IF(UPPER(TRIM(AA93))=IFERROR(INDEX(Key!$C$2:$C$263,MATCH($D93*100+15,Key!$G$2:$G$263,0)),"#"),1,0))</f>
        <v/>
      </c>
      <c r="BG93">
        <f>IF(OR($D93="",AB93="",16&gt;$F93),0,IF(UPPER(TRIM(AB93))=IFERROR(INDEX(Key!$C$2:$C$263,MATCH($D93*100+16,Key!$G$2:$G$263,0)),"#"),1,0))</f>
        <v/>
      </c>
      <c r="BH93">
        <f>IF(OR($D93="",AC93="",17&gt;$F93),0,IF(UPPER(TRIM(AC93))=IFERROR(INDEX(Key!$C$2:$C$263,MATCH($D93*100+17,Key!$G$2:$G$263,0)),"#"),1,0))</f>
        <v/>
      </c>
      <c r="BI93">
        <f>IF(OR($D93="",AD93="",18&gt;$F93),0,IF(UPPER(TRIM(AD93))=IFERROR(INDEX(Key!$C$2:$C$263,MATCH($D93*100+18,Key!$G$2:$G$263,0)),"#"),1,0))</f>
        <v/>
      </c>
      <c r="BJ93">
        <f>IF(OR($D93="",AE93="",19&gt;$F93),0,IF(UPPER(TRIM(AE93))=IFERROR(INDEX(Key!$C$2:$C$263,MATCH($D93*100+19,Key!$G$2:$G$263,0)),"#"),1,0))</f>
        <v/>
      </c>
      <c r="BK93">
        <f>IF(OR($D93="",AF93="",20&gt;$F93),0,IF(UPPER(TRIM(AF93))=IFERROR(INDEX(Key!$C$2:$C$263,MATCH($D93*100+20,Key!$G$2:$G$263,0)),"#"),1,0))</f>
        <v/>
      </c>
      <c r="BL93">
        <f>IF(OR($D93="",AG93="",21&gt;$F93),0,IF(UPPER(TRIM(AG93))=IFERROR(INDEX(Key!$C$2:$C$263,MATCH($D93*100+21,Key!$G$2:$G$263,0)),"#"),1,0))</f>
        <v/>
      </c>
      <c r="BM93">
        <f>IF(OR($D93="",AH93="",22&gt;$F93),0,IF(UPPER(TRIM(AH93))=IFERROR(INDEX(Key!$C$2:$C$263,MATCH($D93*100+22,Key!$G$2:$G$263,0)),"#"),1,0))</f>
        <v/>
      </c>
      <c r="BN93">
        <f>IF(OR($D93="",AI93="",23&gt;$F93),0,IF(UPPER(TRIM(AI93))=IFERROR(INDEX(Key!$C$2:$C$263,MATCH($D93*100+23,Key!$G$2:$G$263,0)),"#"),1,0))</f>
        <v/>
      </c>
      <c r="BO93">
        <f>IF(OR($D93="",AJ93="",24&gt;$F93),0,IF(UPPER(TRIM(AJ93))=IFERROR(INDEX(Key!$C$2:$C$263,MATCH($D93*100+24,Key!$G$2:$G$263,0)),"#"),1,0))</f>
        <v/>
      </c>
      <c r="BP93">
        <f>IF(OR($D93="",AK93="",25&gt;$F93),0,IF(UPPER(TRIM(AK93))=IFERROR(INDEX(Key!$C$2:$C$263,MATCH($D93*100+25,Key!$G$2:$G$263,0)),"#"),1,0))</f>
        <v/>
      </c>
      <c r="BQ93">
        <f>IF(OR($D93="",AL93="",26&gt;$F93),0,IF(UPPER(TRIM(AL93))=IFERROR(INDEX(Key!$C$2:$C$263,MATCH($D93*100+26,Key!$G$2:$G$263,0)),"#"),1,0))</f>
        <v/>
      </c>
      <c r="BR93">
        <f>IF(OR($D93="",AM93="",27&gt;$F93),0,IF(UPPER(TRIM(AM93))=IFERROR(INDEX(Key!$C$2:$C$263,MATCH($D93*100+27,Key!$G$2:$G$263,0)),"#"),1,0))</f>
        <v/>
      </c>
      <c r="BS93">
        <f>IF(OR($D93="",AN93="",28&gt;$F93),0,IF(UPPER(TRIM(AN93))=IFERROR(INDEX(Key!$C$2:$C$263,MATCH($D93*100+28,Key!$G$2:$G$263,0)),"#"),1,0))</f>
        <v/>
      </c>
      <c r="BT93">
        <f>IF(OR($D93="",AO93="",29&gt;$F93),0,IF(UPPER(TRIM(AO93))=IFERROR(INDEX(Key!$C$2:$C$263,MATCH($D93*100+29,Key!$G$2:$G$263,0)),"#"),1,0))</f>
        <v/>
      </c>
      <c r="BU93">
        <f>IF(OR($D93="",AP93="",30&gt;$F93),0,IF(UPPER(TRIM(AP93))=IFERROR(INDEX(Key!$C$2:$C$263,MATCH($D93*100+30,Key!$G$2:$G$263,0)),"#"),1,0))</f>
        <v/>
      </c>
    </row>
    <row r="94">
      <c r="A94" s="6" t="n"/>
      <c r="B94" s="6" t="n"/>
      <c r="C94" s="6" t="n"/>
      <c r="D94" s="6" t="n"/>
      <c r="E94" s="7">
        <f>IF($D94="","",IFERROR(INDEX(Papers!$B$2:$B$12,MATCH($D94,Papers!$A$2:$A$12,0)),"?"))</f>
        <v/>
      </c>
      <c r="F94" s="7">
        <f>IF($D94="","",IFERROR(INDEX(Papers!$C$2:$C$12,MATCH($D94,Papers!$A$2:$A$12,0)),0))</f>
        <v/>
      </c>
      <c r="G94" s="7">
        <f>IF($D94="","",COUNTIF(M94:AP94,"?*"))</f>
        <v/>
      </c>
      <c r="H94" s="7">
        <f>IF($D94="","",SUM(AR94:BU94))</f>
        <v/>
      </c>
      <c r="I94" s="7">
        <f>IF($D94="","",G94-H94)</f>
        <v/>
      </c>
      <c r="J94" s="7">
        <f>IF($D94="","",F94-G94)</f>
        <v/>
      </c>
      <c r="K94" s="7">
        <f>IF($D94="","",H94)</f>
        <v/>
      </c>
      <c r="L94" s="7">
        <f>IF($D94="","",IF(F94=0,"",ROUND(H94/F94*100,1)))</f>
        <v/>
      </c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R94">
        <f>IF(OR($D94="",M94="",1&gt;$F94),0,IF(UPPER(TRIM(M94))=IFERROR(INDEX(Key!$C$2:$C$263,MATCH($D94*100+1,Key!$G$2:$G$263,0)),"#"),1,0))</f>
        <v/>
      </c>
      <c r="AS94">
        <f>IF(OR($D94="",N94="",2&gt;$F94),0,IF(UPPER(TRIM(N94))=IFERROR(INDEX(Key!$C$2:$C$263,MATCH($D94*100+2,Key!$G$2:$G$263,0)),"#"),1,0))</f>
        <v/>
      </c>
      <c r="AT94">
        <f>IF(OR($D94="",O94="",3&gt;$F94),0,IF(UPPER(TRIM(O94))=IFERROR(INDEX(Key!$C$2:$C$263,MATCH($D94*100+3,Key!$G$2:$G$263,0)),"#"),1,0))</f>
        <v/>
      </c>
      <c r="AU94">
        <f>IF(OR($D94="",P94="",4&gt;$F94),0,IF(UPPER(TRIM(P94))=IFERROR(INDEX(Key!$C$2:$C$263,MATCH($D94*100+4,Key!$G$2:$G$263,0)),"#"),1,0))</f>
        <v/>
      </c>
      <c r="AV94">
        <f>IF(OR($D94="",Q94="",5&gt;$F94),0,IF(UPPER(TRIM(Q94))=IFERROR(INDEX(Key!$C$2:$C$263,MATCH($D94*100+5,Key!$G$2:$G$263,0)),"#"),1,0))</f>
        <v/>
      </c>
      <c r="AW94">
        <f>IF(OR($D94="",R94="",6&gt;$F94),0,IF(UPPER(TRIM(R94))=IFERROR(INDEX(Key!$C$2:$C$263,MATCH($D94*100+6,Key!$G$2:$G$263,0)),"#"),1,0))</f>
        <v/>
      </c>
      <c r="AX94">
        <f>IF(OR($D94="",S94="",7&gt;$F94),0,IF(UPPER(TRIM(S94))=IFERROR(INDEX(Key!$C$2:$C$263,MATCH($D94*100+7,Key!$G$2:$G$263,0)),"#"),1,0))</f>
        <v/>
      </c>
      <c r="AY94">
        <f>IF(OR($D94="",T94="",8&gt;$F94),0,IF(UPPER(TRIM(T94))=IFERROR(INDEX(Key!$C$2:$C$263,MATCH($D94*100+8,Key!$G$2:$G$263,0)),"#"),1,0))</f>
        <v/>
      </c>
      <c r="AZ94">
        <f>IF(OR($D94="",U94="",9&gt;$F94),0,IF(UPPER(TRIM(U94))=IFERROR(INDEX(Key!$C$2:$C$263,MATCH($D94*100+9,Key!$G$2:$G$263,0)),"#"),1,0))</f>
        <v/>
      </c>
      <c r="BA94">
        <f>IF(OR($D94="",V94="",10&gt;$F94),0,IF(UPPER(TRIM(V94))=IFERROR(INDEX(Key!$C$2:$C$263,MATCH($D94*100+10,Key!$G$2:$G$263,0)),"#"),1,0))</f>
        <v/>
      </c>
      <c r="BB94">
        <f>IF(OR($D94="",W94="",11&gt;$F94),0,IF(UPPER(TRIM(W94))=IFERROR(INDEX(Key!$C$2:$C$263,MATCH($D94*100+11,Key!$G$2:$G$263,0)),"#"),1,0))</f>
        <v/>
      </c>
      <c r="BC94">
        <f>IF(OR($D94="",X94="",12&gt;$F94),0,IF(UPPER(TRIM(X94))=IFERROR(INDEX(Key!$C$2:$C$263,MATCH($D94*100+12,Key!$G$2:$G$263,0)),"#"),1,0))</f>
        <v/>
      </c>
      <c r="BD94">
        <f>IF(OR($D94="",Y94="",13&gt;$F94),0,IF(UPPER(TRIM(Y94))=IFERROR(INDEX(Key!$C$2:$C$263,MATCH($D94*100+13,Key!$G$2:$G$263,0)),"#"),1,0))</f>
        <v/>
      </c>
      <c r="BE94">
        <f>IF(OR($D94="",Z94="",14&gt;$F94),0,IF(UPPER(TRIM(Z94))=IFERROR(INDEX(Key!$C$2:$C$263,MATCH($D94*100+14,Key!$G$2:$G$263,0)),"#"),1,0))</f>
        <v/>
      </c>
      <c r="BF94">
        <f>IF(OR($D94="",AA94="",15&gt;$F94),0,IF(UPPER(TRIM(AA94))=IFERROR(INDEX(Key!$C$2:$C$263,MATCH($D94*100+15,Key!$G$2:$G$263,0)),"#"),1,0))</f>
        <v/>
      </c>
      <c r="BG94">
        <f>IF(OR($D94="",AB94="",16&gt;$F94),0,IF(UPPER(TRIM(AB94))=IFERROR(INDEX(Key!$C$2:$C$263,MATCH($D94*100+16,Key!$G$2:$G$263,0)),"#"),1,0))</f>
        <v/>
      </c>
      <c r="BH94">
        <f>IF(OR($D94="",AC94="",17&gt;$F94),0,IF(UPPER(TRIM(AC94))=IFERROR(INDEX(Key!$C$2:$C$263,MATCH($D94*100+17,Key!$G$2:$G$263,0)),"#"),1,0))</f>
        <v/>
      </c>
      <c r="BI94">
        <f>IF(OR($D94="",AD94="",18&gt;$F94),0,IF(UPPER(TRIM(AD94))=IFERROR(INDEX(Key!$C$2:$C$263,MATCH($D94*100+18,Key!$G$2:$G$263,0)),"#"),1,0))</f>
        <v/>
      </c>
      <c r="BJ94">
        <f>IF(OR($D94="",AE94="",19&gt;$F94),0,IF(UPPER(TRIM(AE94))=IFERROR(INDEX(Key!$C$2:$C$263,MATCH($D94*100+19,Key!$G$2:$G$263,0)),"#"),1,0))</f>
        <v/>
      </c>
      <c r="BK94">
        <f>IF(OR($D94="",AF94="",20&gt;$F94),0,IF(UPPER(TRIM(AF94))=IFERROR(INDEX(Key!$C$2:$C$263,MATCH($D94*100+20,Key!$G$2:$G$263,0)),"#"),1,0))</f>
        <v/>
      </c>
      <c r="BL94">
        <f>IF(OR($D94="",AG94="",21&gt;$F94),0,IF(UPPER(TRIM(AG94))=IFERROR(INDEX(Key!$C$2:$C$263,MATCH($D94*100+21,Key!$G$2:$G$263,0)),"#"),1,0))</f>
        <v/>
      </c>
      <c r="BM94">
        <f>IF(OR($D94="",AH94="",22&gt;$F94),0,IF(UPPER(TRIM(AH94))=IFERROR(INDEX(Key!$C$2:$C$263,MATCH($D94*100+22,Key!$G$2:$G$263,0)),"#"),1,0))</f>
        <v/>
      </c>
      <c r="BN94">
        <f>IF(OR($D94="",AI94="",23&gt;$F94),0,IF(UPPER(TRIM(AI94))=IFERROR(INDEX(Key!$C$2:$C$263,MATCH($D94*100+23,Key!$G$2:$G$263,0)),"#"),1,0))</f>
        <v/>
      </c>
      <c r="BO94">
        <f>IF(OR($D94="",AJ94="",24&gt;$F94),0,IF(UPPER(TRIM(AJ94))=IFERROR(INDEX(Key!$C$2:$C$263,MATCH($D94*100+24,Key!$G$2:$G$263,0)),"#"),1,0))</f>
        <v/>
      </c>
      <c r="BP94">
        <f>IF(OR($D94="",AK94="",25&gt;$F94),0,IF(UPPER(TRIM(AK94))=IFERROR(INDEX(Key!$C$2:$C$263,MATCH($D94*100+25,Key!$G$2:$G$263,0)),"#"),1,0))</f>
        <v/>
      </c>
      <c r="BQ94">
        <f>IF(OR($D94="",AL94="",26&gt;$F94),0,IF(UPPER(TRIM(AL94))=IFERROR(INDEX(Key!$C$2:$C$263,MATCH($D94*100+26,Key!$G$2:$G$263,0)),"#"),1,0))</f>
        <v/>
      </c>
      <c r="BR94">
        <f>IF(OR($D94="",AM94="",27&gt;$F94),0,IF(UPPER(TRIM(AM94))=IFERROR(INDEX(Key!$C$2:$C$263,MATCH($D94*100+27,Key!$G$2:$G$263,0)),"#"),1,0))</f>
        <v/>
      </c>
      <c r="BS94">
        <f>IF(OR($D94="",AN94="",28&gt;$F94),0,IF(UPPER(TRIM(AN94))=IFERROR(INDEX(Key!$C$2:$C$263,MATCH($D94*100+28,Key!$G$2:$G$263,0)),"#"),1,0))</f>
        <v/>
      </c>
      <c r="BT94">
        <f>IF(OR($D94="",AO94="",29&gt;$F94),0,IF(UPPER(TRIM(AO94))=IFERROR(INDEX(Key!$C$2:$C$263,MATCH($D94*100+29,Key!$G$2:$G$263,0)),"#"),1,0))</f>
        <v/>
      </c>
      <c r="BU94">
        <f>IF(OR($D94="",AP94="",30&gt;$F94),0,IF(UPPER(TRIM(AP94))=IFERROR(INDEX(Key!$C$2:$C$263,MATCH($D94*100+30,Key!$G$2:$G$263,0)),"#"),1,0))</f>
        <v/>
      </c>
    </row>
    <row r="95">
      <c r="A95" s="6" t="n"/>
      <c r="B95" s="6" t="n"/>
      <c r="C95" s="6" t="n"/>
      <c r="D95" s="6" t="n"/>
      <c r="E95" s="7">
        <f>IF($D95="","",IFERROR(INDEX(Papers!$B$2:$B$12,MATCH($D95,Papers!$A$2:$A$12,0)),"?"))</f>
        <v/>
      </c>
      <c r="F95" s="7">
        <f>IF($D95="","",IFERROR(INDEX(Papers!$C$2:$C$12,MATCH($D95,Papers!$A$2:$A$12,0)),0))</f>
        <v/>
      </c>
      <c r="G95" s="7">
        <f>IF($D95="","",COUNTIF(M95:AP95,"?*"))</f>
        <v/>
      </c>
      <c r="H95" s="7">
        <f>IF($D95="","",SUM(AR95:BU95))</f>
        <v/>
      </c>
      <c r="I95" s="7">
        <f>IF($D95="","",G95-H95)</f>
        <v/>
      </c>
      <c r="J95" s="7">
        <f>IF($D95="","",F95-G95)</f>
        <v/>
      </c>
      <c r="K95" s="7">
        <f>IF($D95="","",H95)</f>
        <v/>
      </c>
      <c r="L95" s="7">
        <f>IF($D95="","",IF(F95=0,"",ROUND(H95/F95*100,1)))</f>
        <v/>
      </c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R95">
        <f>IF(OR($D95="",M95="",1&gt;$F95),0,IF(UPPER(TRIM(M95))=IFERROR(INDEX(Key!$C$2:$C$263,MATCH($D95*100+1,Key!$G$2:$G$263,0)),"#"),1,0))</f>
        <v/>
      </c>
      <c r="AS95">
        <f>IF(OR($D95="",N95="",2&gt;$F95),0,IF(UPPER(TRIM(N95))=IFERROR(INDEX(Key!$C$2:$C$263,MATCH($D95*100+2,Key!$G$2:$G$263,0)),"#"),1,0))</f>
        <v/>
      </c>
      <c r="AT95">
        <f>IF(OR($D95="",O95="",3&gt;$F95),0,IF(UPPER(TRIM(O95))=IFERROR(INDEX(Key!$C$2:$C$263,MATCH($D95*100+3,Key!$G$2:$G$263,0)),"#"),1,0))</f>
        <v/>
      </c>
      <c r="AU95">
        <f>IF(OR($D95="",P95="",4&gt;$F95),0,IF(UPPER(TRIM(P95))=IFERROR(INDEX(Key!$C$2:$C$263,MATCH($D95*100+4,Key!$G$2:$G$263,0)),"#"),1,0))</f>
        <v/>
      </c>
      <c r="AV95">
        <f>IF(OR($D95="",Q95="",5&gt;$F95),0,IF(UPPER(TRIM(Q95))=IFERROR(INDEX(Key!$C$2:$C$263,MATCH($D95*100+5,Key!$G$2:$G$263,0)),"#"),1,0))</f>
        <v/>
      </c>
      <c r="AW95">
        <f>IF(OR($D95="",R95="",6&gt;$F95),0,IF(UPPER(TRIM(R95))=IFERROR(INDEX(Key!$C$2:$C$263,MATCH($D95*100+6,Key!$G$2:$G$263,0)),"#"),1,0))</f>
        <v/>
      </c>
      <c r="AX95">
        <f>IF(OR($D95="",S95="",7&gt;$F95),0,IF(UPPER(TRIM(S95))=IFERROR(INDEX(Key!$C$2:$C$263,MATCH($D95*100+7,Key!$G$2:$G$263,0)),"#"),1,0))</f>
        <v/>
      </c>
      <c r="AY95">
        <f>IF(OR($D95="",T95="",8&gt;$F95),0,IF(UPPER(TRIM(T95))=IFERROR(INDEX(Key!$C$2:$C$263,MATCH($D95*100+8,Key!$G$2:$G$263,0)),"#"),1,0))</f>
        <v/>
      </c>
      <c r="AZ95">
        <f>IF(OR($D95="",U95="",9&gt;$F95),0,IF(UPPER(TRIM(U95))=IFERROR(INDEX(Key!$C$2:$C$263,MATCH($D95*100+9,Key!$G$2:$G$263,0)),"#"),1,0))</f>
        <v/>
      </c>
      <c r="BA95">
        <f>IF(OR($D95="",V95="",10&gt;$F95),0,IF(UPPER(TRIM(V95))=IFERROR(INDEX(Key!$C$2:$C$263,MATCH($D95*100+10,Key!$G$2:$G$263,0)),"#"),1,0))</f>
        <v/>
      </c>
      <c r="BB95">
        <f>IF(OR($D95="",W95="",11&gt;$F95),0,IF(UPPER(TRIM(W95))=IFERROR(INDEX(Key!$C$2:$C$263,MATCH($D95*100+11,Key!$G$2:$G$263,0)),"#"),1,0))</f>
        <v/>
      </c>
      <c r="BC95">
        <f>IF(OR($D95="",X95="",12&gt;$F95),0,IF(UPPER(TRIM(X95))=IFERROR(INDEX(Key!$C$2:$C$263,MATCH($D95*100+12,Key!$G$2:$G$263,0)),"#"),1,0))</f>
        <v/>
      </c>
      <c r="BD95">
        <f>IF(OR($D95="",Y95="",13&gt;$F95),0,IF(UPPER(TRIM(Y95))=IFERROR(INDEX(Key!$C$2:$C$263,MATCH($D95*100+13,Key!$G$2:$G$263,0)),"#"),1,0))</f>
        <v/>
      </c>
      <c r="BE95">
        <f>IF(OR($D95="",Z95="",14&gt;$F95),0,IF(UPPER(TRIM(Z95))=IFERROR(INDEX(Key!$C$2:$C$263,MATCH($D95*100+14,Key!$G$2:$G$263,0)),"#"),1,0))</f>
        <v/>
      </c>
      <c r="BF95">
        <f>IF(OR($D95="",AA95="",15&gt;$F95),0,IF(UPPER(TRIM(AA95))=IFERROR(INDEX(Key!$C$2:$C$263,MATCH($D95*100+15,Key!$G$2:$G$263,0)),"#"),1,0))</f>
        <v/>
      </c>
      <c r="BG95">
        <f>IF(OR($D95="",AB95="",16&gt;$F95),0,IF(UPPER(TRIM(AB95))=IFERROR(INDEX(Key!$C$2:$C$263,MATCH($D95*100+16,Key!$G$2:$G$263,0)),"#"),1,0))</f>
        <v/>
      </c>
      <c r="BH95">
        <f>IF(OR($D95="",AC95="",17&gt;$F95),0,IF(UPPER(TRIM(AC95))=IFERROR(INDEX(Key!$C$2:$C$263,MATCH($D95*100+17,Key!$G$2:$G$263,0)),"#"),1,0))</f>
        <v/>
      </c>
      <c r="BI95">
        <f>IF(OR($D95="",AD95="",18&gt;$F95),0,IF(UPPER(TRIM(AD95))=IFERROR(INDEX(Key!$C$2:$C$263,MATCH($D95*100+18,Key!$G$2:$G$263,0)),"#"),1,0))</f>
        <v/>
      </c>
      <c r="BJ95">
        <f>IF(OR($D95="",AE95="",19&gt;$F95),0,IF(UPPER(TRIM(AE95))=IFERROR(INDEX(Key!$C$2:$C$263,MATCH($D95*100+19,Key!$G$2:$G$263,0)),"#"),1,0))</f>
        <v/>
      </c>
      <c r="BK95">
        <f>IF(OR($D95="",AF95="",20&gt;$F95),0,IF(UPPER(TRIM(AF95))=IFERROR(INDEX(Key!$C$2:$C$263,MATCH($D95*100+20,Key!$G$2:$G$263,0)),"#"),1,0))</f>
        <v/>
      </c>
      <c r="BL95">
        <f>IF(OR($D95="",AG95="",21&gt;$F95),0,IF(UPPER(TRIM(AG95))=IFERROR(INDEX(Key!$C$2:$C$263,MATCH($D95*100+21,Key!$G$2:$G$263,0)),"#"),1,0))</f>
        <v/>
      </c>
      <c r="BM95">
        <f>IF(OR($D95="",AH95="",22&gt;$F95),0,IF(UPPER(TRIM(AH95))=IFERROR(INDEX(Key!$C$2:$C$263,MATCH($D95*100+22,Key!$G$2:$G$263,0)),"#"),1,0))</f>
        <v/>
      </c>
      <c r="BN95">
        <f>IF(OR($D95="",AI95="",23&gt;$F95),0,IF(UPPER(TRIM(AI95))=IFERROR(INDEX(Key!$C$2:$C$263,MATCH($D95*100+23,Key!$G$2:$G$263,0)),"#"),1,0))</f>
        <v/>
      </c>
      <c r="BO95">
        <f>IF(OR($D95="",AJ95="",24&gt;$F95),0,IF(UPPER(TRIM(AJ95))=IFERROR(INDEX(Key!$C$2:$C$263,MATCH($D95*100+24,Key!$G$2:$G$263,0)),"#"),1,0))</f>
        <v/>
      </c>
      <c r="BP95">
        <f>IF(OR($D95="",AK95="",25&gt;$F95),0,IF(UPPER(TRIM(AK95))=IFERROR(INDEX(Key!$C$2:$C$263,MATCH($D95*100+25,Key!$G$2:$G$263,0)),"#"),1,0))</f>
        <v/>
      </c>
      <c r="BQ95">
        <f>IF(OR($D95="",AL95="",26&gt;$F95),0,IF(UPPER(TRIM(AL95))=IFERROR(INDEX(Key!$C$2:$C$263,MATCH($D95*100+26,Key!$G$2:$G$263,0)),"#"),1,0))</f>
        <v/>
      </c>
      <c r="BR95">
        <f>IF(OR($D95="",AM95="",27&gt;$F95),0,IF(UPPER(TRIM(AM95))=IFERROR(INDEX(Key!$C$2:$C$263,MATCH($D95*100+27,Key!$G$2:$G$263,0)),"#"),1,0))</f>
        <v/>
      </c>
      <c r="BS95">
        <f>IF(OR($D95="",AN95="",28&gt;$F95),0,IF(UPPER(TRIM(AN95))=IFERROR(INDEX(Key!$C$2:$C$263,MATCH($D95*100+28,Key!$G$2:$G$263,0)),"#"),1,0))</f>
        <v/>
      </c>
      <c r="BT95">
        <f>IF(OR($D95="",AO95="",29&gt;$F95),0,IF(UPPER(TRIM(AO95))=IFERROR(INDEX(Key!$C$2:$C$263,MATCH($D95*100+29,Key!$G$2:$G$263,0)),"#"),1,0))</f>
        <v/>
      </c>
      <c r="BU95">
        <f>IF(OR($D95="",AP95="",30&gt;$F95),0,IF(UPPER(TRIM(AP95))=IFERROR(INDEX(Key!$C$2:$C$263,MATCH($D95*100+30,Key!$G$2:$G$263,0)),"#"),1,0))</f>
        <v/>
      </c>
    </row>
    <row r="96">
      <c r="A96" s="6" t="n"/>
      <c r="B96" s="6" t="n"/>
      <c r="C96" s="6" t="n"/>
      <c r="D96" s="6" t="n"/>
      <c r="E96" s="7">
        <f>IF($D96="","",IFERROR(INDEX(Papers!$B$2:$B$12,MATCH($D96,Papers!$A$2:$A$12,0)),"?"))</f>
        <v/>
      </c>
      <c r="F96" s="7">
        <f>IF($D96="","",IFERROR(INDEX(Papers!$C$2:$C$12,MATCH($D96,Papers!$A$2:$A$12,0)),0))</f>
        <v/>
      </c>
      <c r="G96" s="7">
        <f>IF($D96="","",COUNTIF(M96:AP96,"?*"))</f>
        <v/>
      </c>
      <c r="H96" s="7">
        <f>IF($D96="","",SUM(AR96:BU96))</f>
        <v/>
      </c>
      <c r="I96" s="7">
        <f>IF($D96="","",G96-H96)</f>
        <v/>
      </c>
      <c r="J96" s="7">
        <f>IF($D96="","",F96-G96)</f>
        <v/>
      </c>
      <c r="K96" s="7">
        <f>IF($D96="","",H96)</f>
        <v/>
      </c>
      <c r="L96" s="7">
        <f>IF($D96="","",IF(F96=0,"",ROUND(H96/F96*100,1)))</f>
        <v/>
      </c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R96">
        <f>IF(OR($D96="",M96="",1&gt;$F96),0,IF(UPPER(TRIM(M96))=IFERROR(INDEX(Key!$C$2:$C$263,MATCH($D96*100+1,Key!$G$2:$G$263,0)),"#"),1,0))</f>
        <v/>
      </c>
      <c r="AS96">
        <f>IF(OR($D96="",N96="",2&gt;$F96),0,IF(UPPER(TRIM(N96))=IFERROR(INDEX(Key!$C$2:$C$263,MATCH($D96*100+2,Key!$G$2:$G$263,0)),"#"),1,0))</f>
        <v/>
      </c>
      <c r="AT96">
        <f>IF(OR($D96="",O96="",3&gt;$F96),0,IF(UPPER(TRIM(O96))=IFERROR(INDEX(Key!$C$2:$C$263,MATCH($D96*100+3,Key!$G$2:$G$263,0)),"#"),1,0))</f>
        <v/>
      </c>
      <c r="AU96">
        <f>IF(OR($D96="",P96="",4&gt;$F96),0,IF(UPPER(TRIM(P96))=IFERROR(INDEX(Key!$C$2:$C$263,MATCH($D96*100+4,Key!$G$2:$G$263,0)),"#"),1,0))</f>
        <v/>
      </c>
      <c r="AV96">
        <f>IF(OR($D96="",Q96="",5&gt;$F96),0,IF(UPPER(TRIM(Q96))=IFERROR(INDEX(Key!$C$2:$C$263,MATCH($D96*100+5,Key!$G$2:$G$263,0)),"#"),1,0))</f>
        <v/>
      </c>
      <c r="AW96">
        <f>IF(OR($D96="",R96="",6&gt;$F96),0,IF(UPPER(TRIM(R96))=IFERROR(INDEX(Key!$C$2:$C$263,MATCH($D96*100+6,Key!$G$2:$G$263,0)),"#"),1,0))</f>
        <v/>
      </c>
      <c r="AX96">
        <f>IF(OR($D96="",S96="",7&gt;$F96),0,IF(UPPER(TRIM(S96))=IFERROR(INDEX(Key!$C$2:$C$263,MATCH($D96*100+7,Key!$G$2:$G$263,0)),"#"),1,0))</f>
        <v/>
      </c>
      <c r="AY96">
        <f>IF(OR($D96="",T96="",8&gt;$F96),0,IF(UPPER(TRIM(T96))=IFERROR(INDEX(Key!$C$2:$C$263,MATCH($D96*100+8,Key!$G$2:$G$263,0)),"#"),1,0))</f>
        <v/>
      </c>
      <c r="AZ96">
        <f>IF(OR($D96="",U96="",9&gt;$F96),0,IF(UPPER(TRIM(U96))=IFERROR(INDEX(Key!$C$2:$C$263,MATCH($D96*100+9,Key!$G$2:$G$263,0)),"#"),1,0))</f>
        <v/>
      </c>
      <c r="BA96">
        <f>IF(OR($D96="",V96="",10&gt;$F96),0,IF(UPPER(TRIM(V96))=IFERROR(INDEX(Key!$C$2:$C$263,MATCH($D96*100+10,Key!$G$2:$G$263,0)),"#"),1,0))</f>
        <v/>
      </c>
      <c r="BB96">
        <f>IF(OR($D96="",W96="",11&gt;$F96),0,IF(UPPER(TRIM(W96))=IFERROR(INDEX(Key!$C$2:$C$263,MATCH($D96*100+11,Key!$G$2:$G$263,0)),"#"),1,0))</f>
        <v/>
      </c>
      <c r="BC96">
        <f>IF(OR($D96="",X96="",12&gt;$F96),0,IF(UPPER(TRIM(X96))=IFERROR(INDEX(Key!$C$2:$C$263,MATCH($D96*100+12,Key!$G$2:$G$263,0)),"#"),1,0))</f>
        <v/>
      </c>
      <c r="BD96">
        <f>IF(OR($D96="",Y96="",13&gt;$F96),0,IF(UPPER(TRIM(Y96))=IFERROR(INDEX(Key!$C$2:$C$263,MATCH($D96*100+13,Key!$G$2:$G$263,0)),"#"),1,0))</f>
        <v/>
      </c>
      <c r="BE96">
        <f>IF(OR($D96="",Z96="",14&gt;$F96),0,IF(UPPER(TRIM(Z96))=IFERROR(INDEX(Key!$C$2:$C$263,MATCH($D96*100+14,Key!$G$2:$G$263,0)),"#"),1,0))</f>
        <v/>
      </c>
      <c r="BF96">
        <f>IF(OR($D96="",AA96="",15&gt;$F96),0,IF(UPPER(TRIM(AA96))=IFERROR(INDEX(Key!$C$2:$C$263,MATCH($D96*100+15,Key!$G$2:$G$263,0)),"#"),1,0))</f>
        <v/>
      </c>
      <c r="BG96">
        <f>IF(OR($D96="",AB96="",16&gt;$F96),0,IF(UPPER(TRIM(AB96))=IFERROR(INDEX(Key!$C$2:$C$263,MATCH($D96*100+16,Key!$G$2:$G$263,0)),"#"),1,0))</f>
        <v/>
      </c>
      <c r="BH96">
        <f>IF(OR($D96="",AC96="",17&gt;$F96),0,IF(UPPER(TRIM(AC96))=IFERROR(INDEX(Key!$C$2:$C$263,MATCH($D96*100+17,Key!$G$2:$G$263,0)),"#"),1,0))</f>
        <v/>
      </c>
      <c r="BI96">
        <f>IF(OR($D96="",AD96="",18&gt;$F96),0,IF(UPPER(TRIM(AD96))=IFERROR(INDEX(Key!$C$2:$C$263,MATCH($D96*100+18,Key!$G$2:$G$263,0)),"#"),1,0))</f>
        <v/>
      </c>
      <c r="BJ96">
        <f>IF(OR($D96="",AE96="",19&gt;$F96),0,IF(UPPER(TRIM(AE96))=IFERROR(INDEX(Key!$C$2:$C$263,MATCH($D96*100+19,Key!$G$2:$G$263,0)),"#"),1,0))</f>
        <v/>
      </c>
      <c r="BK96">
        <f>IF(OR($D96="",AF96="",20&gt;$F96),0,IF(UPPER(TRIM(AF96))=IFERROR(INDEX(Key!$C$2:$C$263,MATCH($D96*100+20,Key!$G$2:$G$263,0)),"#"),1,0))</f>
        <v/>
      </c>
      <c r="BL96">
        <f>IF(OR($D96="",AG96="",21&gt;$F96),0,IF(UPPER(TRIM(AG96))=IFERROR(INDEX(Key!$C$2:$C$263,MATCH($D96*100+21,Key!$G$2:$G$263,0)),"#"),1,0))</f>
        <v/>
      </c>
      <c r="BM96">
        <f>IF(OR($D96="",AH96="",22&gt;$F96),0,IF(UPPER(TRIM(AH96))=IFERROR(INDEX(Key!$C$2:$C$263,MATCH($D96*100+22,Key!$G$2:$G$263,0)),"#"),1,0))</f>
        <v/>
      </c>
      <c r="BN96">
        <f>IF(OR($D96="",AI96="",23&gt;$F96),0,IF(UPPER(TRIM(AI96))=IFERROR(INDEX(Key!$C$2:$C$263,MATCH($D96*100+23,Key!$G$2:$G$263,0)),"#"),1,0))</f>
        <v/>
      </c>
      <c r="BO96">
        <f>IF(OR($D96="",AJ96="",24&gt;$F96),0,IF(UPPER(TRIM(AJ96))=IFERROR(INDEX(Key!$C$2:$C$263,MATCH($D96*100+24,Key!$G$2:$G$263,0)),"#"),1,0))</f>
        <v/>
      </c>
      <c r="BP96">
        <f>IF(OR($D96="",AK96="",25&gt;$F96),0,IF(UPPER(TRIM(AK96))=IFERROR(INDEX(Key!$C$2:$C$263,MATCH($D96*100+25,Key!$G$2:$G$263,0)),"#"),1,0))</f>
        <v/>
      </c>
      <c r="BQ96">
        <f>IF(OR($D96="",AL96="",26&gt;$F96),0,IF(UPPER(TRIM(AL96))=IFERROR(INDEX(Key!$C$2:$C$263,MATCH($D96*100+26,Key!$G$2:$G$263,0)),"#"),1,0))</f>
        <v/>
      </c>
      <c r="BR96">
        <f>IF(OR($D96="",AM96="",27&gt;$F96),0,IF(UPPER(TRIM(AM96))=IFERROR(INDEX(Key!$C$2:$C$263,MATCH($D96*100+27,Key!$G$2:$G$263,0)),"#"),1,0))</f>
        <v/>
      </c>
      <c r="BS96">
        <f>IF(OR($D96="",AN96="",28&gt;$F96),0,IF(UPPER(TRIM(AN96))=IFERROR(INDEX(Key!$C$2:$C$263,MATCH($D96*100+28,Key!$G$2:$G$263,0)),"#"),1,0))</f>
        <v/>
      </c>
      <c r="BT96">
        <f>IF(OR($D96="",AO96="",29&gt;$F96),0,IF(UPPER(TRIM(AO96))=IFERROR(INDEX(Key!$C$2:$C$263,MATCH($D96*100+29,Key!$G$2:$G$263,0)),"#"),1,0))</f>
        <v/>
      </c>
      <c r="BU96">
        <f>IF(OR($D96="",AP96="",30&gt;$F96),0,IF(UPPER(TRIM(AP96))=IFERROR(INDEX(Key!$C$2:$C$263,MATCH($D96*100+30,Key!$G$2:$G$263,0)),"#"),1,0))</f>
        <v/>
      </c>
    </row>
    <row r="97">
      <c r="A97" s="6" t="n"/>
      <c r="B97" s="6" t="n"/>
      <c r="C97" s="6" t="n"/>
      <c r="D97" s="6" t="n"/>
      <c r="E97" s="7">
        <f>IF($D97="","",IFERROR(INDEX(Papers!$B$2:$B$12,MATCH($D97,Papers!$A$2:$A$12,0)),"?"))</f>
        <v/>
      </c>
      <c r="F97" s="7">
        <f>IF($D97="","",IFERROR(INDEX(Papers!$C$2:$C$12,MATCH($D97,Papers!$A$2:$A$12,0)),0))</f>
        <v/>
      </c>
      <c r="G97" s="7">
        <f>IF($D97="","",COUNTIF(M97:AP97,"?*"))</f>
        <v/>
      </c>
      <c r="H97" s="7">
        <f>IF($D97="","",SUM(AR97:BU97))</f>
        <v/>
      </c>
      <c r="I97" s="7">
        <f>IF($D97="","",G97-H97)</f>
        <v/>
      </c>
      <c r="J97" s="7">
        <f>IF($D97="","",F97-G97)</f>
        <v/>
      </c>
      <c r="K97" s="7">
        <f>IF($D97="","",H97)</f>
        <v/>
      </c>
      <c r="L97" s="7">
        <f>IF($D97="","",IF(F97=0,"",ROUND(H97/F97*100,1)))</f>
        <v/>
      </c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R97">
        <f>IF(OR($D97="",M97="",1&gt;$F97),0,IF(UPPER(TRIM(M97))=IFERROR(INDEX(Key!$C$2:$C$263,MATCH($D97*100+1,Key!$G$2:$G$263,0)),"#"),1,0))</f>
        <v/>
      </c>
      <c r="AS97">
        <f>IF(OR($D97="",N97="",2&gt;$F97),0,IF(UPPER(TRIM(N97))=IFERROR(INDEX(Key!$C$2:$C$263,MATCH($D97*100+2,Key!$G$2:$G$263,0)),"#"),1,0))</f>
        <v/>
      </c>
      <c r="AT97">
        <f>IF(OR($D97="",O97="",3&gt;$F97),0,IF(UPPER(TRIM(O97))=IFERROR(INDEX(Key!$C$2:$C$263,MATCH($D97*100+3,Key!$G$2:$G$263,0)),"#"),1,0))</f>
        <v/>
      </c>
      <c r="AU97">
        <f>IF(OR($D97="",P97="",4&gt;$F97),0,IF(UPPER(TRIM(P97))=IFERROR(INDEX(Key!$C$2:$C$263,MATCH($D97*100+4,Key!$G$2:$G$263,0)),"#"),1,0))</f>
        <v/>
      </c>
      <c r="AV97">
        <f>IF(OR($D97="",Q97="",5&gt;$F97),0,IF(UPPER(TRIM(Q97))=IFERROR(INDEX(Key!$C$2:$C$263,MATCH($D97*100+5,Key!$G$2:$G$263,0)),"#"),1,0))</f>
        <v/>
      </c>
      <c r="AW97">
        <f>IF(OR($D97="",R97="",6&gt;$F97),0,IF(UPPER(TRIM(R97))=IFERROR(INDEX(Key!$C$2:$C$263,MATCH($D97*100+6,Key!$G$2:$G$263,0)),"#"),1,0))</f>
        <v/>
      </c>
      <c r="AX97">
        <f>IF(OR($D97="",S97="",7&gt;$F97),0,IF(UPPER(TRIM(S97))=IFERROR(INDEX(Key!$C$2:$C$263,MATCH($D97*100+7,Key!$G$2:$G$263,0)),"#"),1,0))</f>
        <v/>
      </c>
      <c r="AY97">
        <f>IF(OR($D97="",T97="",8&gt;$F97),0,IF(UPPER(TRIM(T97))=IFERROR(INDEX(Key!$C$2:$C$263,MATCH($D97*100+8,Key!$G$2:$G$263,0)),"#"),1,0))</f>
        <v/>
      </c>
      <c r="AZ97">
        <f>IF(OR($D97="",U97="",9&gt;$F97),0,IF(UPPER(TRIM(U97))=IFERROR(INDEX(Key!$C$2:$C$263,MATCH($D97*100+9,Key!$G$2:$G$263,0)),"#"),1,0))</f>
        <v/>
      </c>
      <c r="BA97">
        <f>IF(OR($D97="",V97="",10&gt;$F97),0,IF(UPPER(TRIM(V97))=IFERROR(INDEX(Key!$C$2:$C$263,MATCH($D97*100+10,Key!$G$2:$G$263,0)),"#"),1,0))</f>
        <v/>
      </c>
      <c r="BB97">
        <f>IF(OR($D97="",W97="",11&gt;$F97),0,IF(UPPER(TRIM(W97))=IFERROR(INDEX(Key!$C$2:$C$263,MATCH($D97*100+11,Key!$G$2:$G$263,0)),"#"),1,0))</f>
        <v/>
      </c>
      <c r="BC97">
        <f>IF(OR($D97="",X97="",12&gt;$F97),0,IF(UPPER(TRIM(X97))=IFERROR(INDEX(Key!$C$2:$C$263,MATCH($D97*100+12,Key!$G$2:$G$263,0)),"#"),1,0))</f>
        <v/>
      </c>
      <c r="BD97">
        <f>IF(OR($D97="",Y97="",13&gt;$F97),0,IF(UPPER(TRIM(Y97))=IFERROR(INDEX(Key!$C$2:$C$263,MATCH($D97*100+13,Key!$G$2:$G$263,0)),"#"),1,0))</f>
        <v/>
      </c>
      <c r="BE97">
        <f>IF(OR($D97="",Z97="",14&gt;$F97),0,IF(UPPER(TRIM(Z97))=IFERROR(INDEX(Key!$C$2:$C$263,MATCH($D97*100+14,Key!$G$2:$G$263,0)),"#"),1,0))</f>
        <v/>
      </c>
      <c r="BF97">
        <f>IF(OR($D97="",AA97="",15&gt;$F97),0,IF(UPPER(TRIM(AA97))=IFERROR(INDEX(Key!$C$2:$C$263,MATCH($D97*100+15,Key!$G$2:$G$263,0)),"#"),1,0))</f>
        <v/>
      </c>
      <c r="BG97">
        <f>IF(OR($D97="",AB97="",16&gt;$F97),0,IF(UPPER(TRIM(AB97))=IFERROR(INDEX(Key!$C$2:$C$263,MATCH($D97*100+16,Key!$G$2:$G$263,0)),"#"),1,0))</f>
        <v/>
      </c>
      <c r="BH97">
        <f>IF(OR($D97="",AC97="",17&gt;$F97),0,IF(UPPER(TRIM(AC97))=IFERROR(INDEX(Key!$C$2:$C$263,MATCH($D97*100+17,Key!$G$2:$G$263,0)),"#"),1,0))</f>
        <v/>
      </c>
      <c r="BI97">
        <f>IF(OR($D97="",AD97="",18&gt;$F97),0,IF(UPPER(TRIM(AD97))=IFERROR(INDEX(Key!$C$2:$C$263,MATCH($D97*100+18,Key!$G$2:$G$263,0)),"#"),1,0))</f>
        <v/>
      </c>
      <c r="BJ97">
        <f>IF(OR($D97="",AE97="",19&gt;$F97),0,IF(UPPER(TRIM(AE97))=IFERROR(INDEX(Key!$C$2:$C$263,MATCH($D97*100+19,Key!$G$2:$G$263,0)),"#"),1,0))</f>
        <v/>
      </c>
      <c r="BK97">
        <f>IF(OR($D97="",AF97="",20&gt;$F97),0,IF(UPPER(TRIM(AF97))=IFERROR(INDEX(Key!$C$2:$C$263,MATCH($D97*100+20,Key!$G$2:$G$263,0)),"#"),1,0))</f>
        <v/>
      </c>
      <c r="BL97">
        <f>IF(OR($D97="",AG97="",21&gt;$F97),0,IF(UPPER(TRIM(AG97))=IFERROR(INDEX(Key!$C$2:$C$263,MATCH($D97*100+21,Key!$G$2:$G$263,0)),"#"),1,0))</f>
        <v/>
      </c>
      <c r="BM97">
        <f>IF(OR($D97="",AH97="",22&gt;$F97),0,IF(UPPER(TRIM(AH97))=IFERROR(INDEX(Key!$C$2:$C$263,MATCH($D97*100+22,Key!$G$2:$G$263,0)),"#"),1,0))</f>
        <v/>
      </c>
      <c r="BN97">
        <f>IF(OR($D97="",AI97="",23&gt;$F97),0,IF(UPPER(TRIM(AI97))=IFERROR(INDEX(Key!$C$2:$C$263,MATCH($D97*100+23,Key!$G$2:$G$263,0)),"#"),1,0))</f>
        <v/>
      </c>
      <c r="BO97">
        <f>IF(OR($D97="",AJ97="",24&gt;$F97),0,IF(UPPER(TRIM(AJ97))=IFERROR(INDEX(Key!$C$2:$C$263,MATCH($D97*100+24,Key!$G$2:$G$263,0)),"#"),1,0))</f>
        <v/>
      </c>
      <c r="BP97">
        <f>IF(OR($D97="",AK97="",25&gt;$F97),0,IF(UPPER(TRIM(AK97))=IFERROR(INDEX(Key!$C$2:$C$263,MATCH($D97*100+25,Key!$G$2:$G$263,0)),"#"),1,0))</f>
        <v/>
      </c>
      <c r="BQ97">
        <f>IF(OR($D97="",AL97="",26&gt;$F97),0,IF(UPPER(TRIM(AL97))=IFERROR(INDEX(Key!$C$2:$C$263,MATCH($D97*100+26,Key!$G$2:$G$263,0)),"#"),1,0))</f>
        <v/>
      </c>
      <c r="BR97">
        <f>IF(OR($D97="",AM97="",27&gt;$F97),0,IF(UPPER(TRIM(AM97))=IFERROR(INDEX(Key!$C$2:$C$263,MATCH($D97*100+27,Key!$G$2:$G$263,0)),"#"),1,0))</f>
        <v/>
      </c>
      <c r="BS97">
        <f>IF(OR($D97="",AN97="",28&gt;$F97),0,IF(UPPER(TRIM(AN97))=IFERROR(INDEX(Key!$C$2:$C$263,MATCH($D97*100+28,Key!$G$2:$G$263,0)),"#"),1,0))</f>
        <v/>
      </c>
      <c r="BT97">
        <f>IF(OR($D97="",AO97="",29&gt;$F97),0,IF(UPPER(TRIM(AO97))=IFERROR(INDEX(Key!$C$2:$C$263,MATCH($D97*100+29,Key!$G$2:$G$263,0)),"#"),1,0))</f>
        <v/>
      </c>
      <c r="BU97">
        <f>IF(OR($D97="",AP97="",30&gt;$F97),0,IF(UPPER(TRIM(AP97))=IFERROR(INDEX(Key!$C$2:$C$263,MATCH($D97*100+30,Key!$G$2:$G$263,0)),"#"),1,0))</f>
        <v/>
      </c>
    </row>
    <row r="98">
      <c r="A98" s="6" t="n"/>
      <c r="B98" s="6" t="n"/>
      <c r="C98" s="6" t="n"/>
      <c r="D98" s="6" t="n"/>
      <c r="E98" s="7">
        <f>IF($D98="","",IFERROR(INDEX(Papers!$B$2:$B$12,MATCH($D98,Papers!$A$2:$A$12,0)),"?"))</f>
        <v/>
      </c>
      <c r="F98" s="7">
        <f>IF($D98="","",IFERROR(INDEX(Papers!$C$2:$C$12,MATCH($D98,Papers!$A$2:$A$12,0)),0))</f>
        <v/>
      </c>
      <c r="G98" s="7">
        <f>IF($D98="","",COUNTIF(M98:AP98,"?*"))</f>
        <v/>
      </c>
      <c r="H98" s="7">
        <f>IF($D98="","",SUM(AR98:BU98))</f>
        <v/>
      </c>
      <c r="I98" s="7">
        <f>IF($D98="","",G98-H98)</f>
        <v/>
      </c>
      <c r="J98" s="7">
        <f>IF($D98="","",F98-G98)</f>
        <v/>
      </c>
      <c r="K98" s="7">
        <f>IF($D98="","",H98)</f>
        <v/>
      </c>
      <c r="L98" s="7">
        <f>IF($D98="","",IF(F98=0,"",ROUND(H98/F98*100,1)))</f>
        <v/>
      </c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R98">
        <f>IF(OR($D98="",M98="",1&gt;$F98),0,IF(UPPER(TRIM(M98))=IFERROR(INDEX(Key!$C$2:$C$263,MATCH($D98*100+1,Key!$G$2:$G$263,0)),"#"),1,0))</f>
        <v/>
      </c>
      <c r="AS98">
        <f>IF(OR($D98="",N98="",2&gt;$F98),0,IF(UPPER(TRIM(N98))=IFERROR(INDEX(Key!$C$2:$C$263,MATCH($D98*100+2,Key!$G$2:$G$263,0)),"#"),1,0))</f>
        <v/>
      </c>
      <c r="AT98">
        <f>IF(OR($D98="",O98="",3&gt;$F98),0,IF(UPPER(TRIM(O98))=IFERROR(INDEX(Key!$C$2:$C$263,MATCH($D98*100+3,Key!$G$2:$G$263,0)),"#"),1,0))</f>
        <v/>
      </c>
      <c r="AU98">
        <f>IF(OR($D98="",P98="",4&gt;$F98),0,IF(UPPER(TRIM(P98))=IFERROR(INDEX(Key!$C$2:$C$263,MATCH($D98*100+4,Key!$G$2:$G$263,0)),"#"),1,0))</f>
        <v/>
      </c>
      <c r="AV98">
        <f>IF(OR($D98="",Q98="",5&gt;$F98),0,IF(UPPER(TRIM(Q98))=IFERROR(INDEX(Key!$C$2:$C$263,MATCH($D98*100+5,Key!$G$2:$G$263,0)),"#"),1,0))</f>
        <v/>
      </c>
      <c r="AW98">
        <f>IF(OR($D98="",R98="",6&gt;$F98),0,IF(UPPER(TRIM(R98))=IFERROR(INDEX(Key!$C$2:$C$263,MATCH($D98*100+6,Key!$G$2:$G$263,0)),"#"),1,0))</f>
        <v/>
      </c>
      <c r="AX98">
        <f>IF(OR($D98="",S98="",7&gt;$F98),0,IF(UPPER(TRIM(S98))=IFERROR(INDEX(Key!$C$2:$C$263,MATCH($D98*100+7,Key!$G$2:$G$263,0)),"#"),1,0))</f>
        <v/>
      </c>
      <c r="AY98">
        <f>IF(OR($D98="",T98="",8&gt;$F98),0,IF(UPPER(TRIM(T98))=IFERROR(INDEX(Key!$C$2:$C$263,MATCH($D98*100+8,Key!$G$2:$G$263,0)),"#"),1,0))</f>
        <v/>
      </c>
      <c r="AZ98">
        <f>IF(OR($D98="",U98="",9&gt;$F98),0,IF(UPPER(TRIM(U98))=IFERROR(INDEX(Key!$C$2:$C$263,MATCH($D98*100+9,Key!$G$2:$G$263,0)),"#"),1,0))</f>
        <v/>
      </c>
      <c r="BA98">
        <f>IF(OR($D98="",V98="",10&gt;$F98),0,IF(UPPER(TRIM(V98))=IFERROR(INDEX(Key!$C$2:$C$263,MATCH($D98*100+10,Key!$G$2:$G$263,0)),"#"),1,0))</f>
        <v/>
      </c>
      <c r="BB98">
        <f>IF(OR($D98="",W98="",11&gt;$F98),0,IF(UPPER(TRIM(W98))=IFERROR(INDEX(Key!$C$2:$C$263,MATCH($D98*100+11,Key!$G$2:$G$263,0)),"#"),1,0))</f>
        <v/>
      </c>
      <c r="BC98">
        <f>IF(OR($D98="",X98="",12&gt;$F98),0,IF(UPPER(TRIM(X98))=IFERROR(INDEX(Key!$C$2:$C$263,MATCH($D98*100+12,Key!$G$2:$G$263,0)),"#"),1,0))</f>
        <v/>
      </c>
      <c r="BD98">
        <f>IF(OR($D98="",Y98="",13&gt;$F98),0,IF(UPPER(TRIM(Y98))=IFERROR(INDEX(Key!$C$2:$C$263,MATCH($D98*100+13,Key!$G$2:$G$263,0)),"#"),1,0))</f>
        <v/>
      </c>
      <c r="BE98">
        <f>IF(OR($D98="",Z98="",14&gt;$F98),0,IF(UPPER(TRIM(Z98))=IFERROR(INDEX(Key!$C$2:$C$263,MATCH($D98*100+14,Key!$G$2:$G$263,0)),"#"),1,0))</f>
        <v/>
      </c>
      <c r="BF98">
        <f>IF(OR($D98="",AA98="",15&gt;$F98),0,IF(UPPER(TRIM(AA98))=IFERROR(INDEX(Key!$C$2:$C$263,MATCH($D98*100+15,Key!$G$2:$G$263,0)),"#"),1,0))</f>
        <v/>
      </c>
      <c r="BG98">
        <f>IF(OR($D98="",AB98="",16&gt;$F98),0,IF(UPPER(TRIM(AB98))=IFERROR(INDEX(Key!$C$2:$C$263,MATCH($D98*100+16,Key!$G$2:$G$263,0)),"#"),1,0))</f>
        <v/>
      </c>
      <c r="BH98">
        <f>IF(OR($D98="",AC98="",17&gt;$F98),0,IF(UPPER(TRIM(AC98))=IFERROR(INDEX(Key!$C$2:$C$263,MATCH($D98*100+17,Key!$G$2:$G$263,0)),"#"),1,0))</f>
        <v/>
      </c>
      <c r="BI98">
        <f>IF(OR($D98="",AD98="",18&gt;$F98),0,IF(UPPER(TRIM(AD98))=IFERROR(INDEX(Key!$C$2:$C$263,MATCH($D98*100+18,Key!$G$2:$G$263,0)),"#"),1,0))</f>
        <v/>
      </c>
      <c r="BJ98">
        <f>IF(OR($D98="",AE98="",19&gt;$F98),0,IF(UPPER(TRIM(AE98))=IFERROR(INDEX(Key!$C$2:$C$263,MATCH($D98*100+19,Key!$G$2:$G$263,0)),"#"),1,0))</f>
        <v/>
      </c>
      <c r="BK98">
        <f>IF(OR($D98="",AF98="",20&gt;$F98),0,IF(UPPER(TRIM(AF98))=IFERROR(INDEX(Key!$C$2:$C$263,MATCH($D98*100+20,Key!$G$2:$G$263,0)),"#"),1,0))</f>
        <v/>
      </c>
      <c r="BL98">
        <f>IF(OR($D98="",AG98="",21&gt;$F98),0,IF(UPPER(TRIM(AG98))=IFERROR(INDEX(Key!$C$2:$C$263,MATCH($D98*100+21,Key!$G$2:$G$263,0)),"#"),1,0))</f>
        <v/>
      </c>
      <c r="BM98">
        <f>IF(OR($D98="",AH98="",22&gt;$F98),0,IF(UPPER(TRIM(AH98))=IFERROR(INDEX(Key!$C$2:$C$263,MATCH($D98*100+22,Key!$G$2:$G$263,0)),"#"),1,0))</f>
        <v/>
      </c>
      <c r="BN98">
        <f>IF(OR($D98="",AI98="",23&gt;$F98),0,IF(UPPER(TRIM(AI98))=IFERROR(INDEX(Key!$C$2:$C$263,MATCH($D98*100+23,Key!$G$2:$G$263,0)),"#"),1,0))</f>
        <v/>
      </c>
      <c r="BO98">
        <f>IF(OR($D98="",AJ98="",24&gt;$F98),0,IF(UPPER(TRIM(AJ98))=IFERROR(INDEX(Key!$C$2:$C$263,MATCH($D98*100+24,Key!$G$2:$G$263,0)),"#"),1,0))</f>
        <v/>
      </c>
      <c r="BP98">
        <f>IF(OR($D98="",AK98="",25&gt;$F98),0,IF(UPPER(TRIM(AK98))=IFERROR(INDEX(Key!$C$2:$C$263,MATCH($D98*100+25,Key!$G$2:$G$263,0)),"#"),1,0))</f>
        <v/>
      </c>
      <c r="BQ98">
        <f>IF(OR($D98="",AL98="",26&gt;$F98),0,IF(UPPER(TRIM(AL98))=IFERROR(INDEX(Key!$C$2:$C$263,MATCH($D98*100+26,Key!$G$2:$G$263,0)),"#"),1,0))</f>
        <v/>
      </c>
      <c r="BR98">
        <f>IF(OR($D98="",AM98="",27&gt;$F98),0,IF(UPPER(TRIM(AM98))=IFERROR(INDEX(Key!$C$2:$C$263,MATCH($D98*100+27,Key!$G$2:$G$263,0)),"#"),1,0))</f>
        <v/>
      </c>
      <c r="BS98">
        <f>IF(OR($D98="",AN98="",28&gt;$F98),0,IF(UPPER(TRIM(AN98))=IFERROR(INDEX(Key!$C$2:$C$263,MATCH($D98*100+28,Key!$G$2:$G$263,0)),"#"),1,0))</f>
        <v/>
      </c>
      <c r="BT98">
        <f>IF(OR($D98="",AO98="",29&gt;$F98),0,IF(UPPER(TRIM(AO98))=IFERROR(INDEX(Key!$C$2:$C$263,MATCH($D98*100+29,Key!$G$2:$G$263,0)),"#"),1,0))</f>
        <v/>
      </c>
      <c r="BU98">
        <f>IF(OR($D98="",AP98="",30&gt;$F98),0,IF(UPPER(TRIM(AP98))=IFERROR(INDEX(Key!$C$2:$C$263,MATCH($D98*100+30,Key!$G$2:$G$263,0)),"#"),1,0))</f>
        <v/>
      </c>
    </row>
    <row r="99">
      <c r="A99" s="6" t="n"/>
      <c r="B99" s="6" t="n"/>
      <c r="C99" s="6" t="n"/>
      <c r="D99" s="6" t="n"/>
      <c r="E99" s="7">
        <f>IF($D99="","",IFERROR(INDEX(Papers!$B$2:$B$12,MATCH($D99,Papers!$A$2:$A$12,0)),"?"))</f>
        <v/>
      </c>
      <c r="F99" s="7">
        <f>IF($D99="","",IFERROR(INDEX(Papers!$C$2:$C$12,MATCH($D99,Papers!$A$2:$A$12,0)),0))</f>
        <v/>
      </c>
      <c r="G99" s="7">
        <f>IF($D99="","",COUNTIF(M99:AP99,"?*"))</f>
        <v/>
      </c>
      <c r="H99" s="7">
        <f>IF($D99="","",SUM(AR99:BU99))</f>
        <v/>
      </c>
      <c r="I99" s="7">
        <f>IF($D99="","",G99-H99)</f>
        <v/>
      </c>
      <c r="J99" s="7">
        <f>IF($D99="","",F99-G99)</f>
        <v/>
      </c>
      <c r="K99" s="7">
        <f>IF($D99="","",H99)</f>
        <v/>
      </c>
      <c r="L99" s="7">
        <f>IF($D99="","",IF(F99=0,"",ROUND(H99/F99*100,1)))</f>
        <v/>
      </c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R99">
        <f>IF(OR($D99="",M99="",1&gt;$F99),0,IF(UPPER(TRIM(M99))=IFERROR(INDEX(Key!$C$2:$C$263,MATCH($D99*100+1,Key!$G$2:$G$263,0)),"#"),1,0))</f>
        <v/>
      </c>
      <c r="AS99">
        <f>IF(OR($D99="",N99="",2&gt;$F99),0,IF(UPPER(TRIM(N99))=IFERROR(INDEX(Key!$C$2:$C$263,MATCH($D99*100+2,Key!$G$2:$G$263,0)),"#"),1,0))</f>
        <v/>
      </c>
      <c r="AT99">
        <f>IF(OR($D99="",O99="",3&gt;$F99),0,IF(UPPER(TRIM(O99))=IFERROR(INDEX(Key!$C$2:$C$263,MATCH($D99*100+3,Key!$G$2:$G$263,0)),"#"),1,0))</f>
        <v/>
      </c>
      <c r="AU99">
        <f>IF(OR($D99="",P99="",4&gt;$F99),0,IF(UPPER(TRIM(P99))=IFERROR(INDEX(Key!$C$2:$C$263,MATCH($D99*100+4,Key!$G$2:$G$263,0)),"#"),1,0))</f>
        <v/>
      </c>
      <c r="AV99">
        <f>IF(OR($D99="",Q99="",5&gt;$F99),0,IF(UPPER(TRIM(Q99))=IFERROR(INDEX(Key!$C$2:$C$263,MATCH($D99*100+5,Key!$G$2:$G$263,0)),"#"),1,0))</f>
        <v/>
      </c>
      <c r="AW99">
        <f>IF(OR($D99="",R99="",6&gt;$F99),0,IF(UPPER(TRIM(R99))=IFERROR(INDEX(Key!$C$2:$C$263,MATCH($D99*100+6,Key!$G$2:$G$263,0)),"#"),1,0))</f>
        <v/>
      </c>
      <c r="AX99">
        <f>IF(OR($D99="",S99="",7&gt;$F99),0,IF(UPPER(TRIM(S99))=IFERROR(INDEX(Key!$C$2:$C$263,MATCH($D99*100+7,Key!$G$2:$G$263,0)),"#"),1,0))</f>
        <v/>
      </c>
      <c r="AY99">
        <f>IF(OR($D99="",T99="",8&gt;$F99),0,IF(UPPER(TRIM(T99))=IFERROR(INDEX(Key!$C$2:$C$263,MATCH($D99*100+8,Key!$G$2:$G$263,0)),"#"),1,0))</f>
        <v/>
      </c>
      <c r="AZ99">
        <f>IF(OR($D99="",U99="",9&gt;$F99),0,IF(UPPER(TRIM(U99))=IFERROR(INDEX(Key!$C$2:$C$263,MATCH($D99*100+9,Key!$G$2:$G$263,0)),"#"),1,0))</f>
        <v/>
      </c>
      <c r="BA99">
        <f>IF(OR($D99="",V99="",10&gt;$F99),0,IF(UPPER(TRIM(V99))=IFERROR(INDEX(Key!$C$2:$C$263,MATCH($D99*100+10,Key!$G$2:$G$263,0)),"#"),1,0))</f>
        <v/>
      </c>
      <c r="BB99">
        <f>IF(OR($D99="",W99="",11&gt;$F99),0,IF(UPPER(TRIM(W99))=IFERROR(INDEX(Key!$C$2:$C$263,MATCH($D99*100+11,Key!$G$2:$G$263,0)),"#"),1,0))</f>
        <v/>
      </c>
      <c r="BC99">
        <f>IF(OR($D99="",X99="",12&gt;$F99),0,IF(UPPER(TRIM(X99))=IFERROR(INDEX(Key!$C$2:$C$263,MATCH($D99*100+12,Key!$G$2:$G$263,0)),"#"),1,0))</f>
        <v/>
      </c>
      <c r="BD99">
        <f>IF(OR($D99="",Y99="",13&gt;$F99),0,IF(UPPER(TRIM(Y99))=IFERROR(INDEX(Key!$C$2:$C$263,MATCH($D99*100+13,Key!$G$2:$G$263,0)),"#"),1,0))</f>
        <v/>
      </c>
      <c r="BE99">
        <f>IF(OR($D99="",Z99="",14&gt;$F99),0,IF(UPPER(TRIM(Z99))=IFERROR(INDEX(Key!$C$2:$C$263,MATCH($D99*100+14,Key!$G$2:$G$263,0)),"#"),1,0))</f>
        <v/>
      </c>
      <c r="BF99">
        <f>IF(OR($D99="",AA99="",15&gt;$F99),0,IF(UPPER(TRIM(AA99))=IFERROR(INDEX(Key!$C$2:$C$263,MATCH($D99*100+15,Key!$G$2:$G$263,0)),"#"),1,0))</f>
        <v/>
      </c>
      <c r="BG99">
        <f>IF(OR($D99="",AB99="",16&gt;$F99),0,IF(UPPER(TRIM(AB99))=IFERROR(INDEX(Key!$C$2:$C$263,MATCH($D99*100+16,Key!$G$2:$G$263,0)),"#"),1,0))</f>
        <v/>
      </c>
      <c r="BH99">
        <f>IF(OR($D99="",AC99="",17&gt;$F99),0,IF(UPPER(TRIM(AC99))=IFERROR(INDEX(Key!$C$2:$C$263,MATCH($D99*100+17,Key!$G$2:$G$263,0)),"#"),1,0))</f>
        <v/>
      </c>
      <c r="BI99">
        <f>IF(OR($D99="",AD99="",18&gt;$F99),0,IF(UPPER(TRIM(AD99))=IFERROR(INDEX(Key!$C$2:$C$263,MATCH($D99*100+18,Key!$G$2:$G$263,0)),"#"),1,0))</f>
        <v/>
      </c>
      <c r="BJ99">
        <f>IF(OR($D99="",AE99="",19&gt;$F99),0,IF(UPPER(TRIM(AE99))=IFERROR(INDEX(Key!$C$2:$C$263,MATCH($D99*100+19,Key!$G$2:$G$263,0)),"#"),1,0))</f>
        <v/>
      </c>
      <c r="BK99">
        <f>IF(OR($D99="",AF99="",20&gt;$F99),0,IF(UPPER(TRIM(AF99))=IFERROR(INDEX(Key!$C$2:$C$263,MATCH($D99*100+20,Key!$G$2:$G$263,0)),"#"),1,0))</f>
        <v/>
      </c>
      <c r="BL99">
        <f>IF(OR($D99="",AG99="",21&gt;$F99),0,IF(UPPER(TRIM(AG99))=IFERROR(INDEX(Key!$C$2:$C$263,MATCH($D99*100+21,Key!$G$2:$G$263,0)),"#"),1,0))</f>
        <v/>
      </c>
      <c r="BM99">
        <f>IF(OR($D99="",AH99="",22&gt;$F99),0,IF(UPPER(TRIM(AH99))=IFERROR(INDEX(Key!$C$2:$C$263,MATCH($D99*100+22,Key!$G$2:$G$263,0)),"#"),1,0))</f>
        <v/>
      </c>
      <c r="BN99">
        <f>IF(OR($D99="",AI99="",23&gt;$F99),0,IF(UPPER(TRIM(AI99))=IFERROR(INDEX(Key!$C$2:$C$263,MATCH($D99*100+23,Key!$G$2:$G$263,0)),"#"),1,0))</f>
        <v/>
      </c>
      <c r="BO99">
        <f>IF(OR($D99="",AJ99="",24&gt;$F99),0,IF(UPPER(TRIM(AJ99))=IFERROR(INDEX(Key!$C$2:$C$263,MATCH($D99*100+24,Key!$G$2:$G$263,0)),"#"),1,0))</f>
        <v/>
      </c>
      <c r="BP99">
        <f>IF(OR($D99="",AK99="",25&gt;$F99),0,IF(UPPER(TRIM(AK99))=IFERROR(INDEX(Key!$C$2:$C$263,MATCH($D99*100+25,Key!$G$2:$G$263,0)),"#"),1,0))</f>
        <v/>
      </c>
      <c r="BQ99">
        <f>IF(OR($D99="",AL99="",26&gt;$F99),0,IF(UPPER(TRIM(AL99))=IFERROR(INDEX(Key!$C$2:$C$263,MATCH($D99*100+26,Key!$G$2:$G$263,0)),"#"),1,0))</f>
        <v/>
      </c>
      <c r="BR99">
        <f>IF(OR($D99="",AM99="",27&gt;$F99),0,IF(UPPER(TRIM(AM99))=IFERROR(INDEX(Key!$C$2:$C$263,MATCH($D99*100+27,Key!$G$2:$G$263,0)),"#"),1,0))</f>
        <v/>
      </c>
      <c r="BS99">
        <f>IF(OR($D99="",AN99="",28&gt;$F99),0,IF(UPPER(TRIM(AN99))=IFERROR(INDEX(Key!$C$2:$C$263,MATCH($D99*100+28,Key!$G$2:$G$263,0)),"#"),1,0))</f>
        <v/>
      </c>
      <c r="BT99">
        <f>IF(OR($D99="",AO99="",29&gt;$F99),0,IF(UPPER(TRIM(AO99))=IFERROR(INDEX(Key!$C$2:$C$263,MATCH($D99*100+29,Key!$G$2:$G$263,0)),"#"),1,0))</f>
        <v/>
      </c>
      <c r="BU99">
        <f>IF(OR($D99="",AP99="",30&gt;$F99),0,IF(UPPER(TRIM(AP99))=IFERROR(INDEX(Key!$C$2:$C$263,MATCH($D99*100+30,Key!$G$2:$G$263,0)),"#"),1,0))</f>
        <v/>
      </c>
    </row>
    <row r="100">
      <c r="A100" s="6" t="n"/>
      <c r="B100" s="6" t="n"/>
      <c r="C100" s="6" t="n"/>
      <c r="D100" s="6" t="n"/>
      <c r="E100" s="7">
        <f>IF($D100="","",IFERROR(INDEX(Papers!$B$2:$B$12,MATCH($D100,Papers!$A$2:$A$12,0)),"?"))</f>
        <v/>
      </c>
      <c r="F100" s="7">
        <f>IF($D100="","",IFERROR(INDEX(Papers!$C$2:$C$12,MATCH($D100,Papers!$A$2:$A$12,0)),0))</f>
        <v/>
      </c>
      <c r="G100" s="7">
        <f>IF($D100="","",COUNTIF(M100:AP100,"?*"))</f>
        <v/>
      </c>
      <c r="H100" s="7">
        <f>IF($D100="","",SUM(AR100:BU100))</f>
        <v/>
      </c>
      <c r="I100" s="7">
        <f>IF($D100="","",G100-H100)</f>
        <v/>
      </c>
      <c r="J100" s="7">
        <f>IF($D100="","",F100-G100)</f>
        <v/>
      </c>
      <c r="K100" s="7">
        <f>IF($D100="","",H100)</f>
        <v/>
      </c>
      <c r="L100" s="7">
        <f>IF($D100="","",IF(F100=0,"",ROUND(H100/F100*100,1)))</f>
        <v/>
      </c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R100">
        <f>IF(OR($D100="",M100="",1&gt;$F100),0,IF(UPPER(TRIM(M100))=IFERROR(INDEX(Key!$C$2:$C$263,MATCH($D100*100+1,Key!$G$2:$G$263,0)),"#"),1,0))</f>
        <v/>
      </c>
      <c r="AS100">
        <f>IF(OR($D100="",N100="",2&gt;$F100),0,IF(UPPER(TRIM(N100))=IFERROR(INDEX(Key!$C$2:$C$263,MATCH($D100*100+2,Key!$G$2:$G$263,0)),"#"),1,0))</f>
        <v/>
      </c>
      <c r="AT100">
        <f>IF(OR($D100="",O100="",3&gt;$F100),0,IF(UPPER(TRIM(O100))=IFERROR(INDEX(Key!$C$2:$C$263,MATCH($D100*100+3,Key!$G$2:$G$263,0)),"#"),1,0))</f>
        <v/>
      </c>
      <c r="AU100">
        <f>IF(OR($D100="",P100="",4&gt;$F100),0,IF(UPPER(TRIM(P100))=IFERROR(INDEX(Key!$C$2:$C$263,MATCH($D100*100+4,Key!$G$2:$G$263,0)),"#"),1,0))</f>
        <v/>
      </c>
      <c r="AV100">
        <f>IF(OR($D100="",Q100="",5&gt;$F100),0,IF(UPPER(TRIM(Q100))=IFERROR(INDEX(Key!$C$2:$C$263,MATCH($D100*100+5,Key!$G$2:$G$263,0)),"#"),1,0))</f>
        <v/>
      </c>
      <c r="AW100">
        <f>IF(OR($D100="",R100="",6&gt;$F100),0,IF(UPPER(TRIM(R100))=IFERROR(INDEX(Key!$C$2:$C$263,MATCH($D100*100+6,Key!$G$2:$G$263,0)),"#"),1,0))</f>
        <v/>
      </c>
      <c r="AX100">
        <f>IF(OR($D100="",S100="",7&gt;$F100),0,IF(UPPER(TRIM(S100))=IFERROR(INDEX(Key!$C$2:$C$263,MATCH($D100*100+7,Key!$G$2:$G$263,0)),"#"),1,0))</f>
        <v/>
      </c>
      <c r="AY100">
        <f>IF(OR($D100="",T100="",8&gt;$F100),0,IF(UPPER(TRIM(T100))=IFERROR(INDEX(Key!$C$2:$C$263,MATCH($D100*100+8,Key!$G$2:$G$263,0)),"#"),1,0))</f>
        <v/>
      </c>
      <c r="AZ100">
        <f>IF(OR($D100="",U100="",9&gt;$F100),0,IF(UPPER(TRIM(U100))=IFERROR(INDEX(Key!$C$2:$C$263,MATCH($D100*100+9,Key!$G$2:$G$263,0)),"#"),1,0))</f>
        <v/>
      </c>
      <c r="BA100">
        <f>IF(OR($D100="",V100="",10&gt;$F100),0,IF(UPPER(TRIM(V100))=IFERROR(INDEX(Key!$C$2:$C$263,MATCH($D100*100+10,Key!$G$2:$G$263,0)),"#"),1,0))</f>
        <v/>
      </c>
      <c r="BB100">
        <f>IF(OR($D100="",W100="",11&gt;$F100),0,IF(UPPER(TRIM(W100))=IFERROR(INDEX(Key!$C$2:$C$263,MATCH($D100*100+11,Key!$G$2:$G$263,0)),"#"),1,0))</f>
        <v/>
      </c>
      <c r="BC100">
        <f>IF(OR($D100="",X100="",12&gt;$F100),0,IF(UPPER(TRIM(X100))=IFERROR(INDEX(Key!$C$2:$C$263,MATCH($D100*100+12,Key!$G$2:$G$263,0)),"#"),1,0))</f>
        <v/>
      </c>
      <c r="BD100">
        <f>IF(OR($D100="",Y100="",13&gt;$F100),0,IF(UPPER(TRIM(Y100))=IFERROR(INDEX(Key!$C$2:$C$263,MATCH($D100*100+13,Key!$G$2:$G$263,0)),"#"),1,0))</f>
        <v/>
      </c>
      <c r="BE100">
        <f>IF(OR($D100="",Z100="",14&gt;$F100),0,IF(UPPER(TRIM(Z100))=IFERROR(INDEX(Key!$C$2:$C$263,MATCH($D100*100+14,Key!$G$2:$G$263,0)),"#"),1,0))</f>
        <v/>
      </c>
      <c r="BF100">
        <f>IF(OR($D100="",AA100="",15&gt;$F100),0,IF(UPPER(TRIM(AA100))=IFERROR(INDEX(Key!$C$2:$C$263,MATCH($D100*100+15,Key!$G$2:$G$263,0)),"#"),1,0))</f>
        <v/>
      </c>
      <c r="BG100">
        <f>IF(OR($D100="",AB100="",16&gt;$F100),0,IF(UPPER(TRIM(AB100))=IFERROR(INDEX(Key!$C$2:$C$263,MATCH($D100*100+16,Key!$G$2:$G$263,0)),"#"),1,0))</f>
        <v/>
      </c>
      <c r="BH100">
        <f>IF(OR($D100="",AC100="",17&gt;$F100),0,IF(UPPER(TRIM(AC100))=IFERROR(INDEX(Key!$C$2:$C$263,MATCH($D100*100+17,Key!$G$2:$G$263,0)),"#"),1,0))</f>
        <v/>
      </c>
      <c r="BI100">
        <f>IF(OR($D100="",AD100="",18&gt;$F100),0,IF(UPPER(TRIM(AD100))=IFERROR(INDEX(Key!$C$2:$C$263,MATCH($D100*100+18,Key!$G$2:$G$263,0)),"#"),1,0))</f>
        <v/>
      </c>
      <c r="BJ100">
        <f>IF(OR($D100="",AE100="",19&gt;$F100),0,IF(UPPER(TRIM(AE100))=IFERROR(INDEX(Key!$C$2:$C$263,MATCH($D100*100+19,Key!$G$2:$G$263,0)),"#"),1,0))</f>
        <v/>
      </c>
      <c r="BK100">
        <f>IF(OR($D100="",AF100="",20&gt;$F100),0,IF(UPPER(TRIM(AF100))=IFERROR(INDEX(Key!$C$2:$C$263,MATCH($D100*100+20,Key!$G$2:$G$263,0)),"#"),1,0))</f>
        <v/>
      </c>
      <c r="BL100">
        <f>IF(OR($D100="",AG100="",21&gt;$F100),0,IF(UPPER(TRIM(AG100))=IFERROR(INDEX(Key!$C$2:$C$263,MATCH($D100*100+21,Key!$G$2:$G$263,0)),"#"),1,0))</f>
        <v/>
      </c>
      <c r="BM100">
        <f>IF(OR($D100="",AH100="",22&gt;$F100),0,IF(UPPER(TRIM(AH100))=IFERROR(INDEX(Key!$C$2:$C$263,MATCH($D100*100+22,Key!$G$2:$G$263,0)),"#"),1,0))</f>
        <v/>
      </c>
      <c r="BN100">
        <f>IF(OR($D100="",AI100="",23&gt;$F100),0,IF(UPPER(TRIM(AI100))=IFERROR(INDEX(Key!$C$2:$C$263,MATCH($D100*100+23,Key!$G$2:$G$263,0)),"#"),1,0))</f>
        <v/>
      </c>
      <c r="BO100">
        <f>IF(OR($D100="",AJ100="",24&gt;$F100),0,IF(UPPER(TRIM(AJ100))=IFERROR(INDEX(Key!$C$2:$C$263,MATCH($D100*100+24,Key!$G$2:$G$263,0)),"#"),1,0))</f>
        <v/>
      </c>
      <c r="BP100">
        <f>IF(OR($D100="",AK100="",25&gt;$F100),0,IF(UPPER(TRIM(AK100))=IFERROR(INDEX(Key!$C$2:$C$263,MATCH($D100*100+25,Key!$G$2:$G$263,0)),"#"),1,0))</f>
        <v/>
      </c>
      <c r="BQ100">
        <f>IF(OR($D100="",AL100="",26&gt;$F100),0,IF(UPPER(TRIM(AL100))=IFERROR(INDEX(Key!$C$2:$C$263,MATCH($D100*100+26,Key!$G$2:$G$263,0)),"#"),1,0))</f>
        <v/>
      </c>
      <c r="BR100">
        <f>IF(OR($D100="",AM100="",27&gt;$F100),0,IF(UPPER(TRIM(AM100))=IFERROR(INDEX(Key!$C$2:$C$263,MATCH($D100*100+27,Key!$G$2:$G$263,0)),"#"),1,0))</f>
        <v/>
      </c>
      <c r="BS100">
        <f>IF(OR($D100="",AN100="",28&gt;$F100),0,IF(UPPER(TRIM(AN100))=IFERROR(INDEX(Key!$C$2:$C$263,MATCH($D100*100+28,Key!$G$2:$G$263,0)),"#"),1,0))</f>
        <v/>
      </c>
      <c r="BT100">
        <f>IF(OR($D100="",AO100="",29&gt;$F100),0,IF(UPPER(TRIM(AO100))=IFERROR(INDEX(Key!$C$2:$C$263,MATCH($D100*100+29,Key!$G$2:$G$263,0)),"#"),1,0))</f>
        <v/>
      </c>
      <c r="BU100">
        <f>IF(OR($D100="",AP100="",30&gt;$F100),0,IF(UPPER(TRIM(AP100))=IFERROR(INDEX(Key!$C$2:$C$263,MATCH($D100*100+30,Key!$G$2:$G$263,0)),"#"),1,0))</f>
        <v/>
      </c>
    </row>
    <row r="101">
      <c r="A101" s="6" t="n"/>
      <c r="B101" s="6" t="n"/>
      <c r="C101" s="6" t="n"/>
      <c r="D101" s="6" t="n"/>
      <c r="E101" s="7">
        <f>IF($D101="","",IFERROR(INDEX(Papers!$B$2:$B$12,MATCH($D101,Papers!$A$2:$A$12,0)),"?"))</f>
        <v/>
      </c>
      <c r="F101" s="7">
        <f>IF($D101="","",IFERROR(INDEX(Papers!$C$2:$C$12,MATCH($D101,Papers!$A$2:$A$12,0)),0))</f>
        <v/>
      </c>
      <c r="G101" s="7">
        <f>IF($D101="","",COUNTIF(M101:AP101,"?*"))</f>
        <v/>
      </c>
      <c r="H101" s="7">
        <f>IF($D101="","",SUM(AR101:BU101))</f>
        <v/>
      </c>
      <c r="I101" s="7">
        <f>IF($D101="","",G101-H101)</f>
        <v/>
      </c>
      <c r="J101" s="7">
        <f>IF($D101="","",F101-G101)</f>
        <v/>
      </c>
      <c r="K101" s="7">
        <f>IF($D101="","",H101)</f>
        <v/>
      </c>
      <c r="L101" s="7">
        <f>IF($D101="","",IF(F101=0,"",ROUND(H101/F101*100,1)))</f>
        <v/>
      </c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R101">
        <f>IF(OR($D101="",M101="",1&gt;$F101),0,IF(UPPER(TRIM(M101))=IFERROR(INDEX(Key!$C$2:$C$263,MATCH($D101*100+1,Key!$G$2:$G$263,0)),"#"),1,0))</f>
        <v/>
      </c>
      <c r="AS101">
        <f>IF(OR($D101="",N101="",2&gt;$F101),0,IF(UPPER(TRIM(N101))=IFERROR(INDEX(Key!$C$2:$C$263,MATCH($D101*100+2,Key!$G$2:$G$263,0)),"#"),1,0))</f>
        <v/>
      </c>
      <c r="AT101">
        <f>IF(OR($D101="",O101="",3&gt;$F101),0,IF(UPPER(TRIM(O101))=IFERROR(INDEX(Key!$C$2:$C$263,MATCH($D101*100+3,Key!$G$2:$G$263,0)),"#"),1,0))</f>
        <v/>
      </c>
      <c r="AU101">
        <f>IF(OR($D101="",P101="",4&gt;$F101),0,IF(UPPER(TRIM(P101))=IFERROR(INDEX(Key!$C$2:$C$263,MATCH($D101*100+4,Key!$G$2:$G$263,0)),"#"),1,0))</f>
        <v/>
      </c>
      <c r="AV101">
        <f>IF(OR($D101="",Q101="",5&gt;$F101),0,IF(UPPER(TRIM(Q101))=IFERROR(INDEX(Key!$C$2:$C$263,MATCH($D101*100+5,Key!$G$2:$G$263,0)),"#"),1,0))</f>
        <v/>
      </c>
      <c r="AW101">
        <f>IF(OR($D101="",R101="",6&gt;$F101),0,IF(UPPER(TRIM(R101))=IFERROR(INDEX(Key!$C$2:$C$263,MATCH($D101*100+6,Key!$G$2:$G$263,0)),"#"),1,0))</f>
        <v/>
      </c>
      <c r="AX101">
        <f>IF(OR($D101="",S101="",7&gt;$F101),0,IF(UPPER(TRIM(S101))=IFERROR(INDEX(Key!$C$2:$C$263,MATCH($D101*100+7,Key!$G$2:$G$263,0)),"#"),1,0))</f>
        <v/>
      </c>
      <c r="AY101">
        <f>IF(OR($D101="",T101="",8&gt;$F101),0,IF(UPPER(TRIM(T101))=IFERROR(INDEX(Key!$C$2:$C$263,MATCH($D101*100+8,Key!$G$2:$G$263,0)),"#"),1,0))</f>
        <v/>
      </c>
      <c r="AZ101">
        <f>IF(OR($D101="",U101="",9&gt;$F101),0,IF(UPPER(TRIM(U101))=IFERROR(INDEX(Key!$C$2:$C$263,MATCH($D101*100+9,Key!$G$2:$G$263,0)),"#"),1,0))</f>
        <v/>
      </c>
      <c r="BA101">
        <f>IF(OR($D101="",V101="",10&gt;$F101),0,IF(UPPER(TRIM(V101))=IFERROR(INDEX(Key!$C$2:$C$263,MATCH($D101*100+10,Key!$G$2:$G$263,0)),"#"),1,0))</f>
        <v/>
      </c>
      <c r="BB101">
        <f>IF(OR($D101="",W101="",11&gt;$F101),0,IF(UPPER(TRIM(W101))=IFERROR(INDEX(Key!$C$2:$C$263,MATCH($D101*100+11,Key!$G$2:$G$263,0)),"#"),1,0))</f>
        <v/>
      </c>
      <c r="BC101">
        <f>IF(OR($D101="",X101="",12&gt;$F101),0,IF(UPPER(TRIM(X101))=IFERROR(INDEX(Key!$C$2:$C$263,MATCH($D101*100+12,Key!$G$2:$G$263,0)),"#"),1,0))</f>
        <v/>
      </c>
      <c r="BD101">
        <f>IF(OR($D101="",Y101="",13&gt;$F101),0,IF(UPPER(TRIM(Y101))=IFERROR(INDEX(Key!$C$2:$C$263,MATCH($D101*100+13,Key!$G$2:$G$263,0)),"#"),1,0))</f>
        <v/>
      </c>
      <c r="BE101">
        <f>IF(OR($D101="",Z101="",14&gt;$F101),0,IF(UPPER(TRIM(Z101))=IFERROR(INDEX(Key!$C$2:$C$263,MATCH($D101*100+14,Key!$G$2:$G$263,0)),"#"),1,0))</f>
        <v/>
      </c>
      <c r="BF101">
        <f>IF(OR($D101="",AA101="",15&gt;$F101),0,IF(UPPER(TRIM(AA101))=IFERROR(INDEX(Key!$C$2:$C$263,MATCH($D101*100+15,Key!$G$2:$G$263,0)),"#"),1,0))</f>
        <v/>
      </c>
      <c r="BG101">
        <f>IF(OR($D101="",AB101="",16&gt;$F101),0,IF(UPPER(TRIM(AB101))=IFERROR(INDEX(Key!$C$2:$C$263,MATCH($D101*100+16,Key!$G$2:$G$263,0)),"#"),1,0))</f>
        <v/>
      </c>
      <c r="BH101">
        <f>IF(OR($D101="",AC101="",17&gt;$F101),0,IF(UPPER(TRIM(AC101))=IFERROR(INDEX(Key!$C$2:$C$263,MATCH($D101*100+17,Key!$G$2:$G$263,0)),"#"),1,0))</f>
        <v/>
      </c>
      <c r="BI101">
        <f>IF(OR($D101="",AD101="",18&gt;$F101),0,IF(UPPER(TRIM(AD101))=IFERROR(INDEX(Key!$C$2:$C$263,MATCH($D101*100+18,Key!$G$2:$G$263,0)),"#"),1,0))</f>
        <v/>
      </c>
      <c r="BJ101">
        <f>IF(OR($D101="",AE101="",19&gt;$F101),0,IF(UPPER(TRIM(AE101))=IFERROR(INDEX(Key!$C$2:$C$263,MATCH($D101*100+19,Key!$G$2:$G$263,0)),"#"),1,0))</f>
        <v/>
      </c>
      <c r="BK101">
        <f>IF(OR($D101="",AF101="",20&gt;$F101),0,IF(UPPER(TRIM(AF101))=IFERROR(INDEX(Key!$C$2:$C$263,MATCH($D101*100+20,Key!$G$2:$G$263,0)),"#"),1,0))</f>
        <v/>
      </c>
      <c r="BL101">
        <f>IF(OR($D101="",AG101="",21&gt;$F101),0,IF(UPPER(TRIM(AG101))=IFERROR(INDEX(Key!$C$2:$C$263,MATCH($D101*100+21,Key!$G$2:$G$263,0)),"#"),1,0))</f>
        <v/>
      </c>
      <c r="BM101">
        <f>IF(OR($D101="",AH101="",22&gt;$F101),0,IF(UPPER(TRIM(AH101))=IFERROR(INDEX(Key!$C$2:$C$263,MATCH($D101*100+22,Key!$G$2:$G$263,0)),"#"),1,0))</f>
        <v/>
      </c>
      <c r="BN101">
        <f>IF(OR($D101="",AI101="",23&gt;$F101),0,IF(UPPER(TRIM(AI101))=IFERROR(INDEX(Key!$C$2:$C$263,MATCH($D101*100+23,Key!$G$2:$G$263,0)),"#"),1,0))</f>
        <v/>
      </c>
      <c r="BO101">
        <f>IF(OR($D101="",AJ101="",24&gt;$F101),0,IF(UPPER(TRIM(AJ101))=IFERROR(INDEX(Key!$C$2:$C$263,MATCH($D101*100+24,Key!$G$2:$G$263,0)),"#"),1,0))</f>
        <v/>
      </c>
      <c r="BP101">
        <f>IF(OR($D101="",AK101="",25&gt;$F101),0,IF(UPPER(TRIM(AK101))=IFERROR(INDEX(Key!$C$2:$C$263,MATCH($D101*100+25,Key!$G$2:$G$263,0)),"#"),1,0))</f>
        <v/>
      </c>
      <c r="BQ101">
        <f>IF(OR($D101="",AL101="",26&gt;$F101),0,IF(UPPER(TRIM(AL101))=IFERROR(INDEX(Key!$C$2:$C$263,MATCH($D101*100+26,Key!$G$2:$G$263,0)),"#"),1,0))</f>
        <v/>
      </c>
      <c r="BR101">
        <f>IF(OR($D101="",AM101="",27&gt;$F101),0,IF(UPPER(TRIM(AM101))=IFERROR(INDEX(Key!$C$2:$C$263,MATCH($D101*100+27,Key!$G$2:$G$263,0)),"#"),1,0))</f>
        <v/>
      </c>
      <c r="BS101">
        <f>IF(OR($D101="",AN101="",28&gt;$F101),0,IF(UPPER(TRIM(AN101))=IFERROR(INDEX(Key!$C$2:$C$263,MATCH($D101*100+28,Key!$G$2:$G$263,0)),"#"),1,0))</f>
        <v/>
      </c>
      <c r="BT101">
        <f>IF(OR($D101="",AO101="",29&gt;$F101),0,IF(UPPER(TRIM(AO101))=IFERROR(INDEX(Key!$C$2:$C$263,MATCH($D101*100+29,Key!$G$2:$G$263,0)),"#"),1,0))</f>
        <v/>
      </c>
      <c r="BU101">
        <f>IF(OR($D101="",AP101="",30&gt;$F101),0,IF(UPPER(TRIM(AP101))=IFERROR(INDEX(Key!$C$2:$C$263,MATCH($D101*100+30,Key!$G$2:$G$263,0)),"#"),1,0))</f>
        <v/>
      </c>
    </row>
    <row r="102">
      <c r="A102" s="6" t="n"/>
      <c r="B102" s="6" t="n"/>
      <c r="C102" s="6" t="n"/>
      <c r="D102" s="6" t="n"/>
      <c r="E102" s="7">
        <f>IF($D102="","",IFERROR(INDEX(Papers!$B$2:$B$12,MATCH($D102,Papers!$A$2:$A$12,0)),"?"))</f>
        <v/>
      </c>
      <c r="F102" s="7">
        <f>IF($D102="","",IFERROR(INDEX(Papers!$C$2:$C$12,MATCH($D102,Papers!$A$2:$A$12,0)),0))</f>
        <v/>
      </c>
      <c r="G102" s="7">
        <f>IF($D102="","",COUNTIF(M102:AP102,"?*"))</f>
        <v/>
      </c>
      <c r="H102" s="7">
        <f>IF($D102="","",SUM(AR102:BU102))</f>
        <v/>
      </c>
      <c r="I102" s="7">
        <f>IF($D102="","",G102-H102)</f>
        <v/>
      </c>
      <c r="J102" s="7">
        <f>IF($D102="","",F102-G102)</f>
        <v/>
      </c>
      <c r="K102" s="7">
        <f>IF($D102="","",H102)</f>
        <v/>
      </c>
      <c r="L102" s="7">
        <f>IF($D102="","",IF(F102=0,"",ROUND(H102/F102*100,1)))</f>
        <v/>
      </c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R102">
        <f>IF(OR($D102="",M102="",1&gt;$F102),0,IF(UPPER(TRIM(M102))=IFERROR(INDEX(Key!$C$2:$C$263,MATCH($D102*100+1,Key!$G$2:$G$263,0)),"#"),1,0))</f>
        <v/>
      </c>
      <c r="AS102">
        <f>IF(OR($D102="",N102="",2&gt;$F102),0,IF(UPPER(TRIM(N102))=IFERROR(INDEX(Key!$C$2:$C$263,MATCH($D102*100+2,Key!$G$2:$G$263,0)),"#"),1,0))</f>
        <v/>
      </c>
      <c r="AT102">
        <f>IF(OR($D102="",O102="",3&gt;$F102),0,IF(UPPER(TRIM(O102))=IFERROR(INDEX(Key!$C$2:$C$263,MATCH($D102*100+3,Key!$G$2:$G$263,0)),"#"),1,0))</f>
        <v/>
      </c>
      <c r="AU102">
        <f>IF(OR($D102="",P102="",4&gt;$F102),0,IF(UPPER(TRIM(P102))=IFERROR(INDEX(Key!$C$2:$C$263,MATCH($D102*100+4,Key!$G$2:$G$263,0)),"#"),1,0))</f>
        <v/>
      </c>
      <c r="AV102">
        <f>IF(OR($D102="",Q102="",5&gt;$F102),0,IF(UPPER(TRIM(Q102))=IFERROR(INDEX(Key!$C$2:$C$263,MATCH($D102*100+5,Key!$G$2:$G$263,0)),"#"),1,0))</f>
        <v/>
      </c>
      <c r="AW102">
        <f>IF(OR($D102="",R102="",6&gt;$F102),0,IF(UPPER(TRIM(R102))=IFERROR(INDEX(Key!$C$2:$C$263,MATCH($D102*100+6,Key!$G$2:$G$263,0)),"#"),1,0))</f>
        <v/>
      </c>
      <c r="AX102">
        <f>IF(OR($D102="",S102="",7&gt;$F102),0,IF(UPPER(TRIM(S102))=IFERROR(INDEX(Key!$C$2:$C$263,MATCH($D102*100+7,Key!$G$2:$G$263,0)),"#"),1,0))</f>
        <v/>
      </c>
      <c r="AY102">
        <f>IF(OR($D102="",T102="",8&gt;$F102),0,IF(UPPER(TRIM(T102))=IFERROR(INDEX(Key!$C$2:$C$263,MATCH($D102*100+8,Key!$G$2:$G$263,0)),"#"),1,0))</f>
        <v/>
      </c>
      <c r="AZ102">
        <f>IF(OR($D102="",U102="",9&gt;$F102),0,IF(UPPER(TRIM(U102))=IFERROR(INDEX(Key!$C$2:$C$263,MATCH($D102*100+9,Key!$G$2:$G$263,0)),"#"),1,0))</f>
        <v/>
      </c>
      <c r="BA102">
        <f>IF(OR($D102="",V102="",10&gt;$F102),0,IF(UPPER(TRIM(V102))=IFERROR(INDEX(Key!$C$2:$C$263,MATCH($D102*100+10,Key!$G$2:$G$263,0)),"#"),1,0))</f>
        <v/>
      </c>
      <c r="BB102">
        <f>IF(OR($D102="",W102="",11&gt;$F102),0,IF(UPPER(TRIM(W102))=IFERROR(INDEX(Key!$C$2:$C$263,MATCH($D102*100+11,Key!$G$2:$G$263,0)),"#"),1,0))</f>
        <v/>
      </c>
      <c r="BC102">
        <f>IF(OR($D102="",X102="",12&gt;$F102),0,IF(UPPER(TRIM(X102))=IFERROR(INDEX(Key!$C$2:$C$263,MATCH($D102*100+12,Key!$G$2:$G$263,0)),"#"),1,0))</f>
        <v/>
      </c>
      <c r="BD102">
        <f>IF(OR($D102="",Y102="",13&gt;$F102),0,IF(UPPER(TRIM(Y102))=IFERROR(INDEX(Key!$C$2:$C$263,MATCH($D102*100+13,Key!$G$2:$G$263,0)),"#"),1,0))</f>
        <v/>
      </c>
      <c r="BE102">
        <f>IF(OR($D102="",Z102="",14&gt;$F102),0,IF(UPPER(TRIM(Z102))=IFERROR(INDEX(Key!$C$2:$C$263,MATCH($D102*100+14,Key!$G$2:$G$263,0)),"#"),1,0))</f>
        <v/>
      </c>
      <c r="BF102">
        <f>IF(OR($D102="",AA102="",15&gt;$F102),0,IF(UPPER(TRIM(AA102))=IFERROR(INDEX(Key!$C$2:$C$263,MATCH($D102*100+15,Key!$G$2:$G$263,0)),"#"),1,0))</f>
        <v/>
      </c>
      <c r="BG102">
        <f>IF(OR($D102="",AB102="",16&gt;$F102),0,IF(UPPER(TRIM(AB102))=IFERROR(INDEX(Key!$C$2:$C$263,MATCH($D102*100+16,Key!$G$2:$G$263,0)),"#"),1,0))</f>
        <v/>
      </c>
      <c r="BH102">
        <f>IF(OR($D102="",AC102="",17&gt;$F102),0,IF(UPPER(TRIM(AC102))=IFERROR(INDEX(Key!$C$2:$C$263,MATCH($D102*100+17,Key!$G$2:$G$263,0)),"#"),1,0))</f>
        <v/>
      </c>
      <c r="BI102">
        <f>IF(OR($D102="",AD102="",18&gt;$F102),0,IF(UPPER(TRIM(AD102))=IFERROR(INDEX(Key!$C$2:$C$263,MATCH($D102*100+18,Key!$G$2:$G$263,0)),"#"),1,0))</f>
        <v/>
      </c>
      <c r="BJ102">
        <f>IF(OR($D102="",AE102="",19&gt;$F102),0,IF(UPPER(TRIM(AE102))=IFERROR(INDEX(Key!$C$2:$C$263,MATCH($D102*100+19,Key!$G$2:$G$263,0)),"#"),1,0))</f>
        <v/>
      </c>
      <c r="BK102">
        <f>IF(OR($D102="",AF102="",20&gt;$F102),0,IF(UPPER(TRIM(AF102))=IFERROR(INDEX(Key!$C$2:$C$263,MATCH($D102*100+20,Key!$G$2:$G$263,0)),"#"),1,0))</f>
        <v/>
      </c>
      <c r="BL102">
        <f>IF(OR($D102="",AG102="",21&gt;$F102),0,IF(UPPER(TRIM(AG102))=IFERROR(INDEX(Key!$C$2:$C$263,MATCH($D102*100+21,Key!$G$2:$G$263,0)),"#"),1,0))</f>
        <v/>
      </c>
      <c r="BM102">
        <f>IF(OR($D102="",AH102="",22&gt;$F102),0,IF(UPPER(TRIM(AH102))=IFERROR(INDEX(Key!$C$2:$C$263,MATCH($D102*100+22,Key!$G$2:$G$263,0)),"#"),1,0))</f>
        <v/>
      </c>
      <c r="BN102">
        <f>IF(OR($D102="",AI102="",23&gt;$F102),0,IF(UPPER(TRIM(AI102))=IFERROR(INDEX(Key!$C$2:$C$263,MATCH($D102*100+23,Key!$G$2:$G$263,0)),"#"),1,0))</f>
        <v/>
      </c>
      <c r="BO102">
        <f>IF(OR($D102="",AJ102="",24&gt;$F102),0,IF(UPPER(TRIM(AJ102))=IFERROR(INDEX(Key!$C$2:$C$263,MATCH($D102*100+24,Key!$G$2:$G$263,0)),"#"),1,0))</f>
        <v/>
      </c>
      <c r="BP102">
        <f>IF(OR($D102="",AK102="",25&gt;$F102),0,IF(UPPER(TRIM(AK102))=IFERROR(INDEX(Key!$C$2:$C$263,MATCH($D102*100+25,Key!$G$2:$G$263,0)),"#"),1,0))</f>
        <v/>
      </c>
      <c r="BQ102">
        <f>IF(OR($D102="",AL102="",26&gt;$F102),0,IF(UPPER(TRIM(AL102))=IFERROR(INDEX(Key!$C$2:$C$263,MATCH($D102*100+26,Key!$G$2:$G$263,0)),"#"),1,0))</f>
        <v/>
      </c>
      <c r="BR102">
        <f>IF(OR($D102="",AM102="",27&gt;$F102),0,IF(UPPER(TRIM(AM102))=IFERROR(INDEX(Key!$C$2:$C$263,MATCH($D102*100+27,Key!$G$2:$G$263,0)),"#"),1,0))</f>
        <v/>
      </c>
      <c r="BS102">
        <f>IF(OR($D102="",AN102="",28&gt;$F102),0,IF(UPPER(TRIM(AN102))=IFERROR(INDEX(Key!$C$2:$C$263,MATCH($D102*100+28,Key!$G$2:$G$263,0)),"#"),1,0))</f>
        <v/>
      </c>
      <c r="BT102">
        <f>IF(OR($D102="",AO102="",29&gt;$F102),0,IF(UPPER(TRIM(AO102))=IFERROR(INDEX(Key!$C$2:$C$263,MATCH($D102*100+29,Key!$G$2:$G$263,0)),"#"),1,0))</f>
        <v/>
      </c>
      <c r="BU102">
        <f>IF(OR($D102="",AP102="",30&gt;$F102),0,IF(UPPER(TRIM(AP102))=IFERROR(INDEX(Key!$C$2:$C$263,MATCH($D102*100+30,Key!$G$2:$G$263,0)),"#"),1,0))</f>
        <v/>
      </c>
    </row>
    <row r="103">
      <c r="A103" s="6" t="n"/>
      <c r="B103" s="6" t="n"/>
      <c r="C103" s="6" t="n"/>
      <c r="D103" s="6" t="n"/>
      <c r="E103" s="7">
        <f>IF($D103="","",IFERROR(INDEX(Papers!$B$2:$B$12,MATCH($D103,Papers!$A$2:$A$12,0)),"?"))</f>
        <v/>
      </c>
      <c r="F103" s="7">
        <f>IF($D103="","",IFERROR(INDEX(Papers!$C$2:$C$12,MATCH($D103,Papers!$A$2:$A$12,0)),0))</f>
        <v/>
      </c>
      <c r="G103" s="7">
        <f>IF($D103="","",COUNTIF(M103:AP103,"?*"))</f>
        <v/>
      </c>
      <c r="H103" s="7">
        <f>IF($D103="","",SUM(AR103:BU103))</f>
        <v/>
      </c>
      <c r="I103" s="7">
        <f>IF($D103="","",G103-H103)</f>
        <v/>
      </c>
      <c r="J103" s="7">
        <f>IF($D103="","",F103-G103)</f>
        <v/>
      </c>
      <c r="K103" s="7">
        <f>IF($D103="","",H103)</f>
        <v/>
      </c>
      <c r="L103" s="7">
        <f>IF($D103="","",IF(F103=0,"",ROUND(H103/F103*100,1)))</f>
        <v/>
      </c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R103">
        <f>IF(OR($D103="",M103="",1&gt;$F103),0,IF(UPPER(TRIM(M103))=IFERROR(INDEX(Key!$C$2:$C$263,MATCH($D103*100+1,Key!$G$2:$G$263,0)),"#"),1,0))</f>
        <v/>
      </c>
      <c r="AS103">
        <f>IF(OR($D103="",N103="",2&gt;$F103),0,IF(UPPER(TRIM(N103))=IFERROR(INDEX(Key!$C$2:$C$263,MATCH($D103*100+2,Key!$G$2:$G$263,0)),"#"),1,0))</f>
        <v/>
      </c>
      <c r="AT103">
        <f>IF(OR($D103="",O103="",3&gt;$F103),0,IF(UPPER(TRIM(O103))=IFERROR(INDEX(Key!$C$2:$C$263,MATCH($D103*100+3,Key!$G$2:$G$263,0)),"#"),1,0))</f>
        <v/>
      </c>
      <c r="AU103">
        <f>IF(OR($D103="",P103="",4&gt;$F103),0,IF(UPPER(TRIM(P103))=IFERROR(INDEX(Key!$C$2:$C$263,MATCH($D103*100+4,Key!$G$2:$G$263,0)),"#"),1,0))</f>
        <v/>
      </c>
      <c r="AV103">
        <f>IF(OR($D103="",Q103="",5&gt;$F103),0,IF(UPPER(TRIM(Q103))=IFERROR(INDEX(Key!$C$2:$C$263,MATCH($D103*100+5,Key!$G$2:$G$263,0)),"#"),1,0))</f>
        <v/>
      </c>
      <c r="AW103">
        <f>IF(OR($D103="",R103="",6&gt;$F103),0,IF(UPPER(TRIM(R103))=IFERROR(INDEX(Key!$C$2:$C$263,MATCH($D103*100+6,Key!$G$2:$G$263,0)),"#"),1,0))</f>
        <v/>
      </c>
      <c r="AX103">
        <f>IF(OR($D103="",S103="",7&gt;$F103),0,IF(UPPER(TRIM(S103))=IFERROR(INDEX(Key!$C$2:$C$263,MATCH($D103*100+7,Key!$G$2:$G$263,0)),"#"),1,0))</f>
        <v/>
      </c>
      <c r="AY103">
        <f>IF(OR($D103="",T103="",8&gt;$F103),0,IF(UPPER(TRIM(T103))=IFERROR(INDEX(Key!$C$2:$C$263,MATCH($D103*100+8,Key!$G$2:$G$263,0)),"#"),1,0))</f>
        <v/>
      </c>
      <c r="AZ103">
        <f>IF(OR($D103="",U103="",9&gt;$F103),0,IF(UPPER(TRIM(U103))=IFERROR(INDEX(Key!$C$2:$C$263,MATCH($D103*100+9,Key!$G$2:$G$263,0)),"#"),1,0))</f>
        <v/>
      </c>
      <c r="BA103">
        <f>IF(OR($D103="",V103="",10&gt;$F103),0,IF(UPPER(TRIM(V103))=IFERROR(INDEX(Key!$C$2:$C$263,MATCH($D103*100+10,Key!$G$2:$G$263,0)),"#"),1,0))</f>
        <v/>
      </c>
      <c r="BB103">
        <f>IF(OR($D103="",W103="",11&gt;$F103),0,IF(UPPER(TRIM(W103))=IFERROR(INDEX(Key!$C$2:$C$263,MATCH($D103*100+11,Key!$G$2:$G$263,0)),"#"),1,0))</f>
        <v/>
      </c>
      <c r="BC103">
        <f>IF(OR($D103="",X103="",12&gt;$F103),0,IF(UPPER(TRIM(X103))=IFERROR(INDEX(Key!$C$2:$C$263,MATCH($D103*100+12,Key!$G$2:$G$263,0)),"#"),1,0))</f>
        <v/>
      </c>
      <c r="BD103">
        <f>IF(OR($D103="",Y103="",13&gt;$F103),0,IF(UPPER(TRIM(Y103))=IFERROR(INDEX(Key!$C$2:$C$263,MATCH($D103*100+13,Key!$G$2:$G$263,0)),"#"),1,0))</f>
        <v/>
      </c>
      <c r="BE103">
        <f>IF(OR($D103="",Z103="",14&gt;$F103),0,IF(UPPER(TRIM(Z103))=IFERROR(INDEX(Key!$C$2:$C$263,MATCH($D103*100+14,Key!$G$2:$G$263,0)),"#"),1,0))</f>
        <v/>
      </c>
      <c r="BF103">
        <f>IF(OR($D103="",AA103="",15&gt;$F103),0,IF(UPPER(TRIM(AA103))=IFERROR(INDEX(Key!$C$2:$C$263,MATCH($D103*100+15,Key!$G$2:$G$263,0)),"#"),1,0))</f>
        <v/>
      </c>
      <c r="BG103">
        <f>IF(OR($D103="",AB103="",16&gt;$F103),0,IF(UPPER(TRIM(AB103))=IFERROR(INDEX(Key!$C$2:$C$263,MATCH($D103*100+16,Key!$G$2:$G$263,0)),"#"),1,0))</f>
        <v/>
      </c>
      <c r="BH103">
        <f>IF(OR($D103="",AC103="",17&gt;$F103),0,IF(UPPER(TRIM(AC103))=IFERROR(INDEX(Key!$C$2:$C$263,MATCH($D103*100+17,Key!$G$2:$G$263,0)),"#"),1,0))</f>
        <v/>
      </c>
      <c r="BI103">
        <f>IF(OR($D103="",AD103="",18&gt;$F103),0,IF(UPPER(TRIM(AD103))=IFERROR(INDEX(Key!$C$2:$C$263,MATCH($D103*100+18,Key!$G$2:$G$263,0)),"#"),1,0))</f>
        <v/>
      </c>
      <c r="BJ103">
        <f>IF(OR($D103="",AE103="",19&gt;$F103),0,IF(UPPER(TRIM(AE103))=IFERROR(INDEX(Key!$C$2:$C$263,MATCH($D103*100+19,Key!$G$2:$G$263,0)),"#"),1,0))</f>
        <v/>
      </c>
      <c r="BK103">
        <f>IF(OR($D103="",AF103="",20&gt;$F103),0,IF(UPPER(TRIM(AF103))=IFERROR(INDEX(Key!$C$2:$C$263,MATCH($D103*100+20,Key!$G$2:$G$263,0)),"#"),1,0))</f>
        <v/>
      </c>
      <c r="BL103">
        <f>IF(OR($D103="",AG103="",21&gt;$F103),0,IF(UPPER(TRIM(AG103))=IFERROR(INDEX(Key!$C$2:$C$263,MATCH($D103*100+21,Key!$G$2:$G$263,0)),"#"),1,0))</f>
        <v/>
      </c>
      <c r="BM103">
        <f>IF(OR($D103="",AH103="",22&gt;$F103),0,IF(UPPER(TRIM(AH103))=IFERROR(INDEX(Key!$C$2:$C$263,MATCH($D103*100+22,Key!$G$2:$G$263,0)),"#"),1,0))</f>
        <v/>
      </c>
      <c r="BN103">
        <f>IF(OR($D103="",AI103="",23&gt;$F103),0,IF(UPPER(TRIM(AI103))=IFERROR(INDEX(Key!$C$2:$C$263,MATCH($D103*100+23,Key!$G$2:$G$263,0)),"#"),1,0))</f>
        <v/>
      </c>
      <c r="BO103">
        <f>IF(OR($D103="",AJ103="",24&gt;$F103),0,IF(UPPER(TRIM(AJ103))=IFERROR(INDEX(Key!$C$2:$C$263,MATCH($D103*100+24,Key!$G$2:$G$263,0)),"#"),1,0))</f>
        <v/>
      </c>
      <c r="BP103">
        <f>IF(OR($D103="",AK103="",25&gt;$F103),0,IF(UPPER(TRIM(AK103))=IFERROR(INDEX(Key!$C$2:$C$263,MATCH($D103*100+25,Key!$G$2:$G$263,0)),"#"),1,0))</f>
        <v/>
      </c>
      <c r="BQ103">
        <f>IF(OR($D103="",AL103="",26&gt;$F103),0,IF(UPPER(TRIM(AL103))=IFERROR(INDEX(Key!$C$2:$C$263,MATCH($D103*100+26,Key!$G$2:$G$263,0)),"#"),1,0))</f>
        <v/>
      </c>
      <c r="BR103">
        <f>IF(OR($D103="",AM103="",27&gt;$F103),0,IF(UPPER(TRIM(AM103))=IFERROR(INDEX(Key!$C$2:$C$263,MATCH($D103*100+27,Key!$G$2:$G$263,0)),"#"),1,0))</f>
        <v/>
      </c>
      <c r="BS103">
        <f>IF(OR($D103="",AN103="",28&gt;$F103),0,IF(UPPER(TRIM(AN103))=IFERROR(INDEX(Key!$C$2:$C$263,MATCH($D103*100+28,Key!$G$2:$G$263,0)),"#"),1,0))</f>
        <v/>
      </c>
      <c r="BT103">
        <f>IF(OR($D103="",AO103="",29&gt;$F103),0,IF(UPPER(TRIM(AO103))=IFERROR(INDEX(Key!$C$2:$C$263,MATCH($D103*100+29,Key!$G$2:$G$263,0)),"#"),1,0))</f>
        <v/>
      </c>
      <c r="BU103">
        <f>IF(OR($D103="",AP103="",30&gt;$F103),0,IF(UPPER(TRIM(AP103))=IFERROR(INDEX(Key!$C$2:$C$263,MATCH($D103*100+30,Key!$G$2:$G$263,0)),"#"),1,0))</f>
        <v/>
      </c>
    </row>
    <row r="104">
      <c r="A104" s="6" t="n"/>
      <c r="B104" s="6" t="n"/>
      <c r="C104" s="6" t="n"/>
      <c r="D104" s="6" t="n"/>
      <c r="E104" s="7">
        <f>IF($D104="","",IFERROR(INDEX(Papers!$B$2:$B$12,MATCH($D104,Papers!$A$2:$A$12,0)),"?"))</f>
        <v/>
      </c>
      <c r="F104" s="7">
        <f>IF($D104="","",IFERROR(INDEX(Papers!$C$2:$C$12,MATCH($D104,Papers!$A$2:$A$12,0)),0))</f>
        <v/>
      </c>
      <c r="G104" s="7">
        <f>IF($D104="","",COUNTIF(M104:AP104,"?*"))</f>
        <v/>
      </c>
      <c r="H104" s="7">
        <f>IF($D104="","",SUM(AR104:BU104))</f>
        <v/>
      </c>
      <c r="I104" s="7">
        <f>IF($D104="","",G104-H104)</f>
        <v/>
      </c>
      <c r="J104" s="7">
        <f>IF($D104="","",F104-G104)</f>
        <v/>
      </c>
      <c r="K104" s="7">
        <f>IF($D104="","",H104)</f>
        <v/>
      </c>
      <c r="L104" s="7">
        <f>IF($D104="","",IF(F104=0,"",ROUND(H104/F104*100,1)))</f>
        <v/>
      </c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R104">
        <f>IF(OR($D104="",M104="",1&gt;$F104),0,IF(UPPER(TRIM(M104))=IFERROR(INDEX(Key!$C$2:$C$263,MATCH($D104*100+1,Key!$G$2:$G$263,0)),"#"),1,0))</f>
        <v/>
      </c>
      <c r="AS104">
        <f>IF(OR($D104="",N104="",2&gt;$F104),0,IF(UPPER(TRIM(N104))=IFERROR(INDEX(Key!$C$2:$C$263,MATCH($D104*100+2,Key!$G$2:$G$263,0)),"#"),1,0))</f>
        <v/>
      </c>
      <c r="AT104">
        <f>IF(OR($D104="",O104="",3&gt;$F104),0,IF(UPPER(TRIM(O104))=IFERROR(INDEX(Key!$C$2:$C$263,MATCH($D104*100+3,Key!$G$2:$G$263,0)),"#"),1,0))</f>
        <v/>
      </c>
      <c r="AU104">
        <f>IF(OR($D104="",P104="",4&gt;$F104),0,IF(UPPER(TRIM(P104))=IFERROR(INDEX(Key!$C$2:$C$263,MATCH($D104*100+4,Key!$G$2:$G$263,0)),"#"),1,0))</f>
        <v/>
      </c>
      <c r="AV104">
        <f>IF(OR($D104="",Q104="",5&gt;$F104),0,IF(UPPER(TRIM(Q104))=IFERROR(INDEX(Key!$C$2:$C$263,MATCH($D104*100+5,Key!$G$2:$G$263,0)),"#"),1,0))</f>
        <v/>
      </c>
      <c r="AW104">
        <f>IF(OR($D104="",R104="",6&gt;$F104),0,IF(UPPER(TRIM(R104))=IFERROR(INDEX(Key!$C$2:$C$263,MATCH($D104*100+6,Key!$G$2:$G$263,0)),"#"),1,0))</f>
        <v/>
      </c>
      <c r="AX104">
        <f>IF(OR($D104="",S104="",7&gt;$F104),0,IF(UPPER(TRIM(S104))=IFERROR(INDEX(Key!$C$2:$C$263,MATCH($D104*100+7,Key!$G$2:$G$263,0)),"#"),1,0))</f>
        <v/>
      </c>
      <c r="AY104">
        <f>IF(OR($D104="",T104="",8&gt;$F104),0,IF(UPPER(TRIM(T104))=IFERROR(INDEX(Key!$C$2:$C$263,MATCH($D104*100+8,Key!$G$2:$G$263,0)),"#"),1,0))</f>
        <v/>
      </c>
      <c r="AZ104">
        <f>IF(OR($D104="",U104="",9&gt;$F104),0,IF(UPPER(TRIM(U104))=IFERROR(INDEX(Key!$C$2:$C$263,MATCH($D104*100+9,Key!$G$2:$G$263,0)),"#"),1,0))</f>
        <v/>
      </c>
      <c r="BA104">
        <f>IF(OR($D104="",V104="",10&gt;$F104),0,IF(UPPER(TRIM(V104))=IFERROR(INDEX(Key!$C$2:$C$263,MATCH($D104*100+10,Key!$G$2:$G$263,0)),"#"),1,0))</f>
        <v/>
      </c>
      <c r="BB104">
        <f>IF(OR($D104="",W104="",11&gt;$F104),0,IF(UPPER(TRIM(W104))=IFERROR(INDEX(Key!$C$2:$C$263,MATCH($D104*100+11,Key!$G$2:$G$263,0)),"#"),1,0))</f>
        <v/>
      </c>
      <c r="BC104">
        <f>IF(OR($D104="",X104="",12&gt;$F104),0,IF(UPPER(TRIM(X104))=IFERROR(INDEX(Key!$C$2:$C$263,MATCH($D104*100+12,Key!$G$2:$G$263,0)),"#"),1,0))</f>
        <v/>
      </c>
      <c r="BD104">
        <f>IF(OR($D104="",Y104="",13&gt;$F104),0,IF(UPPER(TRIM(Y104))=IFERROR(INDEX(Key!$C$2:$C$263,MATCH($D104*100+13,Key!$G$2:$G$263,0)),"#"),1,0))</f>
        <v/>
      </c>
      <c r="BE104">
        <f>IF(OR($D104="",Z104="",14&gt;$F104),0,IF(UPPER(TRIM(Z104))=IFERROR(INDEX(Key!$C$2:$C$263,MATCH($D104*100+14,Key!$G$2:$G$263,0)),"#"),1,0))</f>
        <v/>
      </c>
      <c r="BF104">
        <f>IF(OR($D104="",AA104="",15&gt;$F104),0,IF(UPPER(TRIM(AA104))=IFERROR(INDEX(Key!$C$2:$C$263,MATCH($D104*100+15,Key!$G$2:$G$263,0)),"#"),1,0))</f>
        <v/>
      </c>
      <c r="BG104">
        <f>IF(OR($D104="",AB104="",16&gt;$F104),0,IF(UPPER(TRIM(AB104))=IFERROR(INDEX(Key!$C$2:$C$263,MATCH($D104*100+16,Key!$G$2:$G$263,0)),"#"),1,0))</f>
        <v/>
      </c>
      <c r="BH104">
        <f>IF(OR($D104="",AC104="",17&gt;$F104),0,IF(UPPER(TRIM(AC104))=IFERROR(INDEX(Key!$C$2:$C$263,MATCH($D104*100+17,Key!$G$2:$G$263,0)),"#"),1,0))</f>
        <v/>
      </c>
      <c r="BI104">
        <f>IF(OR($D104="",AD104="",18&gt;$F104),0,IF(UPPER(TRIM(AD104))=IFERROR(INDEX(Key!$C$2:$C$263,MATCH($D104*100+18,Key!$G$2:$G$263,0)),"#"),1,0))</f>
        <v/>
      </c>
      <c r="BJ104">
        <f>IF(OR($D104="",AE104="",19&gt;$F104),0,IF(UPPER(TRIM(AE104))=IFERROR(INDEX(Key!$C$2:$C$263,MATCH($D104*100+19,Key!$G$2:$G$263,0)),"#"),1,0))</f>
        <v/>
      </c>
      <c r="BK104">
        <f>IF(OR($D104="",AF104="",20&gt;$F104),0,IF(UPPER(TRIM(AF104))=IFERROR(INDEX(Key!$C$2:$C$263,MATCH($D104*100+20,Key!$G$2:$G$263,0)),"#"),1,0))</f>
        <v/>
      </c>
      <c r="BL104">
        <f>IF(OR($D104="",AG104="",21&gt;$F104),0,IF(UPPER(TRIM(AG104))=IFERROR(INDEX(Key!$C$2:$C$263,MATCH($D104*100+21,Key!$G$2:$G$263,0)),"#"),1,0))</f>
        <v/>
      </c>
      <c r="BM104">
        <f>IF(OR($D104="",AH104="",22&gt;$F104),0,IF(UPPER(TRIM(AH104))=IFERROR(INDEX(Key!$C$2:$C$263,MATCH($D104*100+22,Key!$G$2:$G$263,0)),"#"),1,0))</f>
        <v/>
      </c>
      <c r="BN104">
        <f>IF(OR($D104="",AI104="",23&gt;$F104),0,IF(UPPER(TRIM(AI104))=IFERROR(INDEX(Key!$C$2:$C$263,MATCH($D104*100+23,Key!$G$2:$G$263,0)),"#"),1,0))</f>
        <v/>
      </c>
      <c r="BO104">
        <f>IF(OR($D104="",AJ104="",24&gt;$F104),0,IF(UPPER(TRIM(AJ104))=IFERROR(INDEX(Key!$C$2:$C$263,MATCH($D104*100+24,Key!$G$2:$G$263,0)),"#"),1,0))</f>
        <v/>
      </c>
      <c r="BP104">
        <f>IF(OR($D104="",AK104="",25&gt;$F104),0,IF(UPPER(TRIM(AK104))=IFERROR(INDEX(Key!$C$2:$C$263,MATCH($D104*100+25,Key!$G$2:$G$263,0)),"#"),1,0))</f>
        <v/>
      </c>
      <c r="BQ104">
        <f>IF(OR($D104="",AL104="",26&gt;$F104),0,IF(UPPER(TRIM(AL104))=IFERROR(INDEX(Key!$C$2:$C$263,MATCH($D104*100+26,Key!$G$2:$G$263,0)),"#"),1,0))</f>
        <v/>
      </c>
      <c r="BR104">
        <f>IF(OR($D104="",AM104="",27&gt;$F104),0,IF(UPPER(TRIM(AM104))=IFERROR(INDEX(Key!$C$2:$C$263,MATCH($D104*100+27,Key!$G$2:$G$263,0)),"#"),1,0))</f>
        <v/>
      </c>
      <c r="BS104">
        <f>IF(OR($D104="",AN104="",28&gt;$F104),0,IF(UPPER(TRIM(AN104))=IFERROR(INDEX(Key!$C$2:$C$263,MATCH($D104*100+28,Key!$G$2:$G$263,0)),"#"),1,0))</f>
        <v/>
      </c>
      <c r="BT104">
        <f>IF(OR($D104="",AO104="",29&gt;$F104),0,IF(UPPER(TRIM(AO104))=IFERROR(INDEX(Key!$C$2:$C$263,MATCH($D104*100+29,Key!$G$2:$G$263,0)),"#"),1,0))</f>
        <v/>
      </c>
      <c r="BU104">
        <f>IF(OR($D104="",AP104="",30&gt;$F104),0,IF(UPPER(TRIM(AP104))=IFERROR(INDEX(Key!$C$2:$C$263,MATCH($D104*100+30,Key!$G$2:$G$263,0)),"#"),1,0))</f>
        <v/>
      </c>
    </row>
    <row r="105">
      <c r="A105" s="6" t="n"/>
      <c r="B105" s="6" t="n"/>
      <c r="C105" s="6" t="n"/>
      <c r="D105" s="6" t="n"/>
      <c r="E105" s="7">
        <f>IF($D105="","",IFERROR(INDEX(Papers!$B$2:$B$12,MATCH($D105,Papers!$A$2:$A$12,0)),"?"))</f>
        <v/>
      </c>
      <c r="F105" s="7">
        <f>IF($D105="","",IFERROR(INDEX(Papers!$C$2:$C$12,MATCH($D105,Papers!$A$2:$A$12,0)),0))</f>
        <v/>
      </c>
      <c r="G105" s="7">
        <f>IF($D105="","",COUNTIF(M105:AP105,"?*"))</f>
        <v/>
      </c>
      <c r="H105" s="7">
        <f>IF($D105="","",SUM(AR105:BU105))</f>
        <v/>
      </c>
      <c r="I105" s="7">
        <f>IF($D105="","",G105-H105)</f>
        <v/>
      </c>
      <c r="J105" s="7">
        <f>IF($D105="","",F105-G105)</f>
        <v/>
      </c>
      <c r="K105" s="7">
        <f>IF($D105="","",H105)</f>
        <v/>
      </c>
      <c r="L105" s="7">
        <f>IF($D105="","",IF(F105=0,"",ROUND(H105/F105*100,1)))</f>
        <v/>
      </c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R105">
        <f>IF(OR($D105="",M105="",1&gt;$F105),0,IF(UPPER(TRIM(M105))=IFERROR(INDEX(Key!$C$2:$C$263,MATCH($D105*100+1,Key!$G$2:$G$263,0)),"#"),1,0))</f>
        <v/>
      </c>
      <c r="AS105">
        <f>IF(OR($D105="",N105="",2&gt;$F105),0,IF(UPPER(TRIM(N105))=IFERROR(INDEX(Key!$C$2:$C$263,MATCH($D105*100+2,Key!$G$2:$G$263,0)),"#"),1,0))</f>
        <v/>
      </c>
      <c r="AT105">
        <f>IF(OR($D105="",O105="",3&gt;$F105),0,IF(UPPER(TRIM(O105))=IFERROR(INDEX(Key!$C$2:$C$263,MATCH($D105*100+3,Key!$G$2:$G$263,0)),"#"),1,0))</f>
        <v/>
      </c>
      <c r="AU105">
        <f>IF(OR($D105="",P105="",4&gt;$F105),0,IF(UPPER(TRIM(P105))=IFERROR(INDEX(Key!$C$2:$C$263,MATCH($D105*100+4,Key!$G$2:$G$263,0)),"#"),1,0))</f>
        <v/>
      </c>
      <c r="AV105">
        <f>IF(OR($D105="",Q105="",5&gt;$F105),0,IF(UPPER(TRIM(Q105))=IFERROR(INDEX(Key!$C$2:$C$263,MATCH($D105*100+5,Key!$G$2:$G$263,0)),"#"),1,0))</f>
        <v/>
      </c>
      <c r="AW105">
        <f>IF(OR($D105="",R105="",6&gt;$F105),0,IF(UPPER(TRIM(R105))=IFERROR(INDEX(Key!$C$2:$C$263,MATCH($D105*100+6,Key!$G$2:$G$263,0)),"#"),1,0))</f>
        <v/>
      </c>
      <c r="AX105">
        <f>IF(OR($D105="",S105="",7&gt;$F105),0,IF(UPPER(TRIM(S105))=IFERROR(INDEX(Key!$C$2:$C$263,MATCH($D105*100+7,Key!$G$2:$G$263,0)),"#"),1,0))</f>
        <v/>
      </c>
      <c r="AY105">
        <f>IF(OR($D105="",T105="",8&gt;$F105),0,IF(UPPER(TRIM(T105))=IFERROR(INDEX(Key!$C$2:$C$263,MATCH($D105*100+8,Key!$G$2:$G$263,0)),"#"),1,0))</f>
        <v/>
      </c>
      <c r="AZ105">
        <f>IF(OR($D105="",U105="",9&gt;$F105),0,IF(UPPER(TRIM(U105))=IFERROR(INDEX(Key!$C$2:$C$263,MATCH($D105*100+9,Key!$G$2:$G$263,0)),"#"),1,0))</f>
        <v/>
      </c>
      <c r="BA105">
        <f>IF(OR($D105="",V105="",10&gt;$F105),0,IF(UPPER(TRIM(V105))=IFERROR(INDEX(Key!$C$2:$C$263,MATCH($D105*100+10,Key!$G$2:$G$263,0)),"#"),1,0))</f>
        <v/>
      </c>
      <c r="BB105">
        <f>IF(OR($D105="",W105="",11&gt;$F105),0,IF(UPPER(TRIM(W105))=IFERROR(INDEX(Key!$C$2:$C$263,MATCH($D105*100+11,Key!$G$2:$G$263,0)),"#"),1,0))</f>
        <v/>
      </c>
      <c r="BC105">
        <f>IF(OR($D105="",X105="",12&gt;$F105),0,IF(UPPER(TRIM(X105))=IFERROR(INDEX(Key!$C$2:$C$263,MATCH($D105*100+12,Key!$G$2:$G$263,0)),"#"),1,0))</f>
        <v/>
      </c>
      <c r="BD105">
        <f>IF(OR($D105="",Y105="",13&gt;$F105),0,IF(UPPER(TRIM(Y105))=IFERROR(INDEX(Key!$C$2:$C$263,MATCH($D105*100+13,Key!$G$2:$G$263,0)),"#"),1,0))</f>
        <v/>
      </c>
      <c r="BE105">
        <f>IF(OR($D105="",Z105="",14&gt;$F105),0,IF(UPPER(TRIM(Z105))=IFERROR(INDEX(Key!$C$2:$C$263,MATCH($D105*100+14,Key!$G$2:$G$263,0)),"#"),1,0))</f>
        <v/>
      </c>
      <c r="BF105">
        <f>IF(OR($D105="",AA105="",15&gt;$F105),0,IF(UPPER(TRIM(AA105))=IFERROR(INDEX(Key!$C$2:$C$263,MATCH($D105*100+15,Key!$G$2:$G$263,0)),"#"),1,0))</f>
        <v/>
      </c>
      <c r="BG105">
        <f>IF(OR($D105="",AB105="",16&gt;$F105),0,IF(UPPER(TRIM(AB105))=IFERROR(INDEX(Key!$C$2:$C$263,MATCH($D105*100+16,Key!$G$2:$G$263,0)),"#"),1,0))</f>
        <v/>
      </c>
      <c r="BH105">
        <f>IF(OR($D105="",AC105="",17&gt;$F105),0,IF(UPPER(TRIM(AC105))=IFERROR(INDEX(Key!$C$2:$C$263,MATCH($D105*100+17,Key!$G$2:$G$263,0)),"#"),1,0))</f>
        <v/>
      </c>
      <c r="BI105">
        <f>IF(OR($D105="",AD105="",18&gt;$F105),0,IF(UPPER(TRIM(AD105))=IFERROR(INDEX(Key!$C$2:$C$263,MATCH($D105*100+18,Key!$G$2:$G$263,0)),"#"),1,0))</f>
        <v/>
      </c>
      <c r="BJ105">
        <f>IF(OR($D105="",AE105="",19&gt;$F105),0,IF(UPPER(TRIM(AE105))=IFERROR(INDEX(Key!$C$2:$C$263,MATCH($D105*100+19,Key!$G$2:$G$263,0)),"#"),1,0))</f>
        <v/>
      </c>
      <c r="BK105">
        <f>IF(OR($D105="",AF105="",20&gt;$F105),0,IF(UPPER(TRIM(AF105))=IFERROR(INDEX(Key!$C$2:$C$263,MATCH($D105*100+20,Key!$G$2:$G$263,0)),"#"),1,0))</f>
        <v/>
      </c>
      <c r="BL105">
        <f>IF(OR($D105="",AG105="",21&gt;$F105),0,IF(UPPER(TRIM(AG105))=IFERROR(INDEX(Key!$C$2:$C$263,MATCH($D105*100+21,Key!$G$2:$G$263,0)),"#"),1,0))</f>
        <v/>
      </c>
      <c r="BM105">
        <f>IF(OR($D105="",AH105="",22&gt;$F105),0,IF(UPPER(TRIM(AH105))=IFERROR(INDEX(Key!$C$2:$C$263,MATCH($D105*100+22,Key!$G$2:$G$263,0)),"#"),1,0))</f>
        <v/>
      </c>
      <c r="BN105">
        <f>IF(OR($D105="",AI105="",23&gt;$F105),0,IF(UPPER(TRIM(AI105))=IFERROR(INDEX(Key!$C$2:$C$263,MATCH($D105*100+23,Key!$G$2:$G$263,0)),"#"),1,0))</f>
        <v/>
      </c>
      <c r="BO105">
        <f>IF(OR($D105="",AJ105="",24&gt;$F105),0,IF(UPPER(TRIM(AJ105))=IFERROR(INDEX(Key!$C$2:$C$263,MATCH($D105*100+24,Key!$G$2:$G$263,0)),"#"),1,0))</f>
        <v/>
      </c>
      <c r="BP105">
        <f>IF(OR($D105="",AK105="",25&gt;$F105),0,IF(UPPER(TRIM(AK105))=IFERROR(INDEX(Key!$C$2:$C$263,MATCH($D105*100+25,Key!$G$2:$G$263,0)),"#"),1,0))</f>
        <v/>
      </c>
      <c r="BQ105">
        <f>IF(OR($D105="",AL105="",26&gt;$F105),0,IF(UPPER(TRIM(AL105))=IFERROR(INDEX(Key!$C$2:$C$263,MATCH($D105*100+26,Key!$G$2:$G$263,0)),"#"),1,0))</f>
        <v/>
      </c>
      <c r="BR105">
        <f>IF(OR($D105="",AM105="",27&gt;$F105),0,IF(UPPER(TRIM(AM105))=IFERROR(INDEX(Key!$C$2:$C$263,MATCH($D105*100+27,Key!$G$2:$G$263,0)),"#"),1,0))</f>
        <v/>
      </c>
      <c r="BS105">
        <f>IF(OR($D105="",AN105="",28&gt;$F105),0,IF(UPPER(TRIM(AN105))=IFERROR(INDEX(Key!$C$2:$C$263,MATCH($D105*100+28,Key!$G$2:$G$263,0)),"#"),1,0))</f>
        <v/>
      </c>
      <c r="BT105">
        <f>IF(OR($D105="",AO105="",29&gt;$F105),0,IF(UPPER(TRIM(AO105))=IFERROR(INDEX(Key!$C$2:$C$263,MATCH($D105*100+29,Key!$G$2:$G$263,0)),"#"),1,0))</f>
        <v/>
      </c>
      <c r="BU105">
        <f>IF(OR($D105="",AP105="",30&gt;$F105),0,IF(UPPER(TRIM(AP105))=IFERROR(INDEX(Key!$C$2:$C$263,MATCH($D105*100+30,Key!$G$2:$G$263,0)),"#"),1,0))</f>
        <v/>
      </c>
    </row>
    <row r="106">
      <c r="A106" s="6" t="n"/>
      <c r="B106" s="6" t="n"/>
      <c r="C106" s="6" t="n"/>
      <c r="D106" s="6" t="n"/>
      <c r="E106" s="7">
        <f>IF($D106="","",IFERROR(INDEX(Papers!$B$2:$B$12,MATCH($D106,Papers!$A$2:$A$12,0)),"?"))</f>
        <v/>
      </c>
      <c r="F106" s="7">
        <f>IF($D106="","",IFERROR(INDEX(Papers!$C$2:$C$12,MATCH($D106,Papers!$A$2:$A$12,0)),0))</f>
        <v/>
      </c>
      <c r="G106" s="7">
        <f>IF($D106="","",COUNTIF(M106:AP106,"?*"))</f>
        <v/>
      </c>
      <c r="H106" s="7">
        <f>IF($D106="","",SUM(AR106:BU106))</f>
        <v/>
      </c>
      <c r="I106" s="7">
        <f>IF($D106="","",G106-H106)</f>
        <v/>
      </c>
      <c r="J106" s="7">
        <f>IF($D106="","",F106-G106)</f>
        <v/>
      </c>
      <c r="K106" s="7">
        <f>IF($D106="","",H106)</f>
        <v/>
      </c>
      <c r="L106" s="7">
        <f>IF($D106="","",IF(F106=0,"",ROUND(H106/F106*100,1)))</f>
        <v/>
      </c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R106">
        <f>IF(OR($D106="",M106="",1&gt;$F106),0,IF(UPPER(TRIM(M106))=IFERROR(INDEX(Key!$C$2:$C$263,MATCH($D106*100+1,Key!$G$2:$G$263,0)),"#"),1,0))</f>
        <v/>
      </c>
      <c r="AS106">
        <f>IF(OR($D106="",N106="",2&gt;$F106),0,IF(UPPER(TRIM(N106))=IFERROR(INDEX(Key!$C$2:$C$263,MATCH($D106*100+2,Key!$G$2:$G$263,0)),"#"),1,0))</f>
        <v/>
      </c>
      <c r="AT106">
        <f>IF(OR($D106="",O106="",3&gt;$F106),0,IF(UPPER(TRIM(O106))=IFERROR(INDEX(Key!$C$2:$C$263,MATCH($D106*100+3,Key!$G$2:$G$263,0)),"#"),1,0))</f>
        <v/>
      </c>
      <c r="AU106">
        <f>IF(OR($D106="",P106="",4&gt;$F106),0,IF(UPPER(TRIM(P106))=IFERROR(INDEX(Key!$C$2:$C$263,MATCH($D106*100+4,Key!$G$2:$G$263,0)),"#"),1,0))</f>
        <v/>
      </c>
      <c r="AV106">
        <f>IF(OR($D106="",Q106="",5&gt;$F106),0,IF(UPPER(TRIM(Q106))=IFERROR(INDEX(Key!$C$2:$C$263,MATCH($D106*100+5,Key!$G$2:$G$263,0)),"#"),1,0))</f>
        <v/>
      </c>
      <c r="AW106">
        <f>IF(OR($D106="",R106="",6&gt;$F106),0,IF(UPPER(TRIM(R106))=IFERROR(INDEX(Key!$C$2:$C$263,MATCH($D106*100+6,Key!$G$2:$G$263,0)),"#"),1,0))</f>
        <v/>
      </c>
      <c r="AX106">
        <f>IF(OR($D106="",S106="",7&gt;$F106),0,IF(UPPER(TRIM(S106))=IFERROR(INDEX(Key!$C$2:$C$263,MATCH($D106*100+7,Key!$G$2:$G$263,0)),"#"),1,0))</f>
        <v/>
      </c>
      <c r="AY106">
        <f>IF(OR($D106="",T106="",8&gt;$F106),0,IF(UPPER(TRIM(T106))=IFERROR(INDEX(Key!$C$2:$C$263,MATCH($D106*100+8,Key!$G$2:$G$263,0)),"#"),1,0))</f>
        <v/>
      </c>
      <c r="AZ106">
        <f>IF(OR($D106="",U106="",9&gt;$F106),0,IF(UPPER(TRIM(U106))=IFERROR(INDEX(Key!$C$2:$C$263,MATCH($D106*100+9,Key!$G$2:$G$263,0)),"#"),1,0))</f>
        <v/>
      </c>
      <c r="BA106">
        <f>IF(OR($D106="",V106="",10&gt;$F106),0,IF(UPPER(TRIM(V106))=IFERROR(INDEX(Key!$C$2:$C$263,MATCH($D106*100+10,Key!$G$2:$G$263,0)),"#"),1,0))</f>
        <v/>
      </c>
      <c r="BB106">
        <f>IF(OR($D106="",W106="",11&gt;$F106),0,IF(UPPER(TRIM(W106))=IFERROR(INDEX(Key!$C$2:$C$263,MATCH($D106*100+11,Key!$G$2:$G$263,0)),"#"),1,0))</f>
        <v/>
      </c>
      <c r="BC106">
        <f>IF(OR($D106="",X106="",12&gt;$F106),0,IF(UPPER(TRIM(X106))=IFERROR(INDEX(Key!$C$2:$C$263,MATCH($D106*100+12,Key!$G$2:$G$263,0)),"#"),1,0))</f>
        <v/>
      </c>
      <c r="BD106">
        <f>IF(OR($D106="",Y106="",13&gt;$F106),0,IF(UPPER(TRIM(Y106))=IFERROR(INDEX(Key!$C$2:$C$263,MATCH($D106*100+13,Key!$G$2:$G$263,0)),"#"),1,0))</f>
        <v/>
      </c>
      <c r="BE106">
        <f>IF(OR($D106="",Z106="",14&gt;$F106),0,IF(UPPER(TRIM(Z106))=IFERROR(INDEX(Key!$C$2:$C$263,MATCH($D106*100+14,Key!$G$2:$G$263,0)),"#"),1,0))</f>
        <v/>
      </c>
      <c r="BF106">
        <f>IF(OR($D106="",AA106="",15&gt;$F106),0,IF(UPPER(TRIM(AA106))=IFERROR(INDEX(Key!$C$2:$C$263,MATCH($D106*100+15,Key!$G$2:$G$263,0)),"#"),1,0))</f>
        <v/>
      </c>
      <c r="BG106">
        <f>IF(OR($D106="",AB106="",16&gt;$F106),0,IF(UPPER(TRIM(AB106))=IFERROR(INDEX(Key!$C$2:$C$263,MATCH($D106*100+16,Key!$G$2:$G$263,0)),"#"),1,0))</f>
        <v/>
      </c>
      <c r="BH106">
        <f>IF(OR($D106="",AC106="",17&gt;$F106),0,IF(UPPER(TRIM(AC106))=IFERROR(INDEX(Key!$C$2:$C$263,MATCH($D106*100+17,Key!$G$2:$G$263,0)),"#"),1,0))</f>
        <v/>
      </c>
      <c r="BI106">
        <f>IF(OR($D106="",AD106="",18&gt;$F106),0,IF(UPPER(TRIM(AD106))=IFERROR(INDEX(Key!$C$2:$C$263,MATCH($D106*100+18,Key!$G$2:$G$263,0)),"#"),1,0))</f>
        <v/>
      </c>
      <c r="BJ106">
        <f>IF(OR($D106="",AE106="",19&gt;$F106),0,IF(UPPER(TRIM(AE106))=IFERROR(INDEX(Key!$C$2:$C$263,MATCH($D106*100+19,Key!$G$2:$G$263,0)),"#"),1,0))</f>
        <v/>
      </c>
      <c r="BK106">
        <f>IF(OR($D106="",AF106="",20&gt;$F106),0,IF(UPPER(TRIM(AF106))=IFERROR(INDEX(Key!$C$2:$C$263,MATCH($D106*100+20,Key!$G$2:$G$263,0)),"#"),1,0))</f>
        <v/>
      </c>
      <c r="BL106">
        <f>IF(OR($D106="",AG106="",21&gt;$F106),0,IF(UPPER(TRIM(AG106))=IFERROR(INDEX(Key!$C$2:$C$263,MATCH($D106*100+21,Key!$G$2:$G$263,0)),"#"),1,0))</f>
        <v/>
      </c>
      <c r="BM106">
        <f>IF(OR($D106="",AH106="",22&gt;$F106),0,IF(UPPER(TRIM(AH106))=IFERROR(INDEX(Key!$C$2:$C$263,MATCH($D106*100+22,Key!$G$2:$G$263,0)),"#"),1,0))</f>
        <v/>
      </c>
      <c r="BN106">
        <f>IF(OR($D106="",AI106="",23&gt;$F106),0,IF(UPPER(TRIM(AI106))=IFERROR(INDEX(Key!$C$2:$C$263,MATCH($D106*100+23,Key!$G$2:$G$263,0)),"#"),1,0))</f>
        <v/>
      </c>
      <c r="BO106">
        <f>IF(OR($D106="",AJ106="",24&gt;$F106),0,IF(UPPER(TRIM(AJ106))=IFERROR(INDEX(Key!$C$2:$C$263,MATCH($D106*100+24,Key!$G$2:$G$263,0)),"#"),1,0))</f>
        <v/>
      </c>
      <c r="BP106">
        <f>IF(OR($D106="",AK106="",25&gt;$F106),0,IF(UPPER(TRIM(AK106))=IFERROR(INDEX(Key!$C$2:$C$263,MATCH($D106*100+25,Key!$G$2:$G$263,0)),"#"),1,0))</f>
        <v/>
      </c>
      <c r="BQ106">
        <f>IF(OR($D106="",AL106="",26&gt;$F106),0,IF(UPPER(TRIM(AL106))=IFERROR(INDEX(Key!$C$2:$C$263,MATCH($D106*100+26,Key!$G$2:$G$263,0)),"#"),1,0))</f>
        <v/>
      </c>
      <c r="BR106">
        <f>IF(OR($D106="",AM106="",27&gt;$F106),0,IF(UPPER(TRIM(AM106))=IFERROR(INDEX(Key!$C$2:$C$263,MATCH($D106*100+27,Key!$G$2:$G$263,0)),"#"),1,0))</f>
        <v/>
      </c>
      <c r="BS106">
        <f>IF(OR($D106="",AN106="",28&gt;$F106),0,IF(UPPER(TRIM(AN106))=IFERROR(INDEX(Key!$C$2:$C$263,MATCH($D106*100+28,Key!$G$2:$G$263,0)),"#"),1,0))</f>
        <v/>
      </c>
      <c r="BT106">
        <f>IF(OR($D106="",AO106="",29&gt;$F106),0,IF(UPPER(TRIM(AO106))=IFERROR(INDEX(Key!$C$2:$C$263,MATCH($D106*100+29,Key!$G$2:$G$263,0)),"#"),1,0))</f>
        <v/>
      </c>
      <c r="BU106">
        <f>IF(OR($D106="",AP106="",30&gt;$F106),0,IF(UPPER(TRIM(AP106))=IFERROR(INDEX(Key!$C$2:$C$263,MATCH($D106*100+30,Key!$G$2:$G$263,0)),"#"),1,0))</f>
        <v/>
      </c>
    </row>
    <row r="107">
      <c r="A107" s="6" t="n"/>
      <c r="B107" s="6" t="n"/>
      <c r="C107" s="6" t="n"/>
      <c r="D107" s="6" t="n"/>
      <c r="E107" s="7">
        <f>IF($D107="","",IFERROR(INDEX(Papers!$B$2:$B$12,MATCH($D107,Papers!$A$2:$A$12,0)),"?"))</f>
        <v/>
      </c>
      <c r="F107" s="7">
        <f>IF($D107="","",IFERROR(INDEX(Papers!$C$2:$C$12,MATCH($D107,Papers!$A$2:$A$12,0)),0))</f>
        <v/>
      </c>
      <c r="G107" s="7">
        <f>IF($D107="","",COUNTIF(M107:AP107,"?*"))</f>
        <v/>
      </c>
      <c r="H107" s="7">
        <f>IF($D107="","",SUM(AR107:BU107))</f>
        <v/>
      </c>
      <c r="I107" s="7">
        <f>IF($D107="","",G107-H107)</f>
        <v/>
      </c>
      <c r="J107" s="7">
        <f>IF($D107="","",F107-G107)</f>
        <v/>
      </c>
      <c r="K107" s="7">
        <f>IF($D107="","",H107)</f>
        <v/>
      </c>
      <c r="L107" s="7">
        <f>IF($D107="","",IF(F107=0,"",ROUND(H107/F107*100,1)))</f>
        <v/>
      </c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R107">
        <f>IF(OR($D107="",M107="",1&gt;$F107),0,IF(UPPER(TRIM(M107))=IFERROR(INDEX(Key!$C$2:$C$263,MATCH($D107*100+1,Key!$G$2:$G$263,0)),"#"),1,0))</f>
        <v/>
      </c>
      <c r="AS107">
        <f>IF(OR($D107="",N107="",2&gt;$F107),0,IF(UPPER(TRIM(N107))=IFERROR(INDEX(Key!$C$2:$C$263,MATCH($D107*100+2,Key!$G$2:$G$263,0)),"#"),1,0))</f>
        <v/>
      </c>
      <c r="AT107">
        <f>IF(OR($D107="",O107="",3&gt;$F107),0,IF(UPPER(TRIM(O107))=IFERROR(INDEX(Key!$C$2:$C$263,MATCH($D107*100+3,Key!$G$2:$G$263,0)),"#"),1,0))</f>
        <v/>
      </c>
      <c r="AU107">
        <f>IF(OR($D107="",P107="",4&gt;$F107),0,IF(UPPER(TRIM(P107))=IFERROR(INDEX(Key!$C$2:$C$263,MATCH($D107*100+4,Key!$G$2:$G$263,0)),"#"),1,0))</f>
        <v/>
      </c>
      <c r="AV107">
        <f>IF(OR($D107="",Q107="",5&gt;$F107),0,IF(UPPER(TRIM(Q107))=IFERROR(INDEX(Key!$C$2:$C$263,MATCH($D107*100+5,Key!$G$2:$G$263,0)),"#"),1,0))</f>
        <v/>
      </c>
      <c r="AW107">
        <f>IF(OR($D107="",R107="",6&gt;$F107),0,IF(UPPER(TRIM(R107))=IFERROR(INDEX(Key!$C$2:$C$263,MATCH($D107*100+6,Key!$G$2:$G$263,0)),"#"),1,0))</f>
        <v/>
      </c>
      <c r="AX107">
        <f>IF(OR($D107="",S107="",7&gt;$F107),0,IF(UPPER(TRIM(S107))=IFERROR(INDEX(Key!$C$2:$C$263,MATCH($D107*100+7,Key!$G$2:$G$263,0)),"#"),1,0))</f>
        <v/>
      </c>
      <c r="AY107">
        <f>IF(OR($D107="",T107="",8&gt;$F107),0,IF(UPPER(TRIM(T107))=IFERROR(INDEX(Key!$C$2:$C$263,MATCH($D107*100+8,Key!$G$2:$G$263,0)),"#"),1,0))</f>
        <v/>
      </c>
      <c r="AZ107">
        <f>IF(OR($D107="",U107="",9&gt;$F107),0,IF(UPPER(TRIM(U107))=IFERROR(INDEX(Key!$C$2:$C$263,MATCH($D107*100+9,Key!$G$2:$G$263,0)),"#"),1,0))</f>
        <v/>
      </c>
      <c r="BA107">
        <f>IF(OR($D107="",V107="",10&gt;$F107),0,IF(UPPER(TRIM(V107))=IFERROR(INDEX(Key!$C$2:$C$263,MATCH($D107*100+10,Key!$G$2:$G$263,0)),"#"),1,0))</f>
        <v/>
      </c>
      <c r="BB107">
        <f>IF(OR($D107="",W107="",11&gt;$F107),0,IF(UPPER(TRIM(W107))=IFERROR(INDEX(Key!$C$2:$C$263,MATCH($D107*100+11,Key!$G$2:$G$263,0)),"#"),1,0))</f>
        <v/>
      </c>
      <c r="BC107">
        <f>IF(OR($D107="",X107="",12&gt;$F107),0,IF(UPPER(TRIM(X107))=IFERROR(INDEX(Key!$C$2:$C$263,MATCH($D107*100+12,Key!$G$2:$G$263,0)),"#"),1,0))</f>
        <v/>
      </c>
      <c r="BD107">
        <f>IF(OR($D107="",Y107="",13&gt;$F107),0,IF(UPPER(TRIM(Y107))=IFERROR(INDEX(Key!$C$2:$C$263,MATCH($D107*100+13,Key!$G$2:$G$263,0)),"#"),1,0))</f>
        <v/>
      </c>
      <c r="BE107">
        <f>IF(OR($D107="",Z107="",14&gt;$F107),0,IF(UPPER(TRIM(Z107))=IFERROR(INDEX(Key!$C$2:$C$263,MATCH($D107*100+14,Key!$G$2:$G$263,0)),"#"),1,0))</f>
        <v/>
      </c>
      <c r="BF107">
        <f>IF(OR($D107="",AA107="",15&gt;$F107),0,IF(UPPER(TRIM(AA107))=IFERROR(INDEX(Key!$C$2:$C$263,MATCH($D107*100+15,Key!$G$2:$G$263,0)),"#"),1,0))</f>
        <v/>
      </c>
      <c r="BG107">
        <f>IF(OR($D107="",AB107="",16&gt;$F107),0,IF(UPPER(TRIM(AB107))=IFERROR(INDEX(Key!$C$2:$C$263,MATCH($D107*100+16,Key!$G$2:$G$263,0)),"#"),1,0))</f>
        <v/>
      </c>
      <c r="BH107">
        <f>IF(OR($D107="",AC107="",17&gt;$F107),0,IF(UPPER(TRIM(AC107))=IFERROR(INDEX(Key!$C$2:$C$263,MATCH($D107*100+17,Key!$G$2:$G$263,0)),"#"),1,0))</f>
        <v/>
      </c>
      <c r="BI107">
        <f>IF(OR($D107="",AD107="",18&gt;$F107),0,IF(UPPER(TRIM(AD107))=IFERROR(INDEX(Key!$C$2:$C$263,MATCH($D107*100+18,Key!$G$2:$G$263,0)),"#"),1,0))</f>
        <v/>
      </c>
      <c r="BJ107">
        <f>IF(OR($D107="",AE107="",19&gt;$F107),0,IF(UPPER(TRIM(AE107))=IFERROR(INDEX(Key!$C$2:$C$263,MATCH($D107*100+19,Key!$G$2:$G$263,0)),"#"),1,0))</f>
        <v/>
      </c>
      <c r="BK107">
        <f>IF(OR($D107="",AF107="",20&gt;$F107),0,IF(UPPER(TRIM(AF107))=IFERROR(INDEX(Key!$C$2:$C$263,MATCH($D107*100+20,Key!$G$2:$G$263,0)),"#"),1,0))</f>
        <v/>
      </c>
      <c r="BL107">
        <f>IF(OR($D107="",AG107="",21&gt;$F107),0,IF(UPPER(TRIM(AG107))=IFERROR(INDEX(Key!$C$2:$C$263,MATCH($D107*100+21,Key!$G$2:$G$263,0)),"#"),1,0))</f>
        <v/>
      </c>
      <c r="BM107">
        <f>IF(OR($D107="",AH107="",22&gt;$F107),0,IF(UPPER(TRIM(AH107))=IFERROR(INDEX(Key!$C$2:$C$263,MATCH($D107*100+22,Key!$G$2:$G$263,0)),"#"),1,0))</f>
        <v/>
      </c>
      <c r="BN107">
        <f>IF(OR($D107="",AI107="",23&gt;$F107),0,IF(UPPER(TRIM(AI107))=IFERROR(INDEX(Key!$C$2:$C$263,MATCH($D107*100+23,Key!$G$2:$G$263,0)),"#"),1,0))</f>
        <v/>
      </c>
      <c r="BO107">
        <f>IF(OR($D107="",AJ107="",24&gt;$F107),0,IF(UPPER(TRIM(AJ107))=IFERROR(INDEX(Key!$C$2:$C$263,MATCH($D107*100+24,Key!$G$2:$G$263,0)),"#"),1,0))</f>
        <v/>
      </c>
      <c r="BP107">
        <f>IF(OR($D107="",AK107="",25&gt;$F107),0,IF(UPPER(TRIM(AK107))=IFERROR(INDEX(Key!$C$2:$C$263,MATCH($D107*100+25,Key!$G$2:$G$263,0)),"#"),1,0))</f>
        <v/>
      </c>
      <c r="BQ107">
        <f>IF(OR($D107="",AL107="",26&gt;$F107),0,IF(UPPER(TRIM(AL107))=IFERROR(INDEX(Key!$C$2:$C$263,MATCH($D107*100+26,Key!$G$2:$G$263,0)),"#"),1,0))</f>
        <v/>
      </c>
      <c r="BR107">
        <f>IF(OR($D107="",AM107="",27&gt;$F107),0,IF(UPPER(TRIM(AM107))=IFERROR(INDEX(Key!$C$2:$C$263,MATCH($D107*100+27,Key!$G$2:$G$263,0)),"#"),1,0))</f>
        <v/>
      </c>
      <c r="BS107">
        <f>IF(OR($D107="",AN107="",28&gt;$F107),0,IF(UPPER(TRIM(AN107))=IFERROR(INDEX(Key!$C$2:$C$263,MATCH($D107*100+28,Key!$G$2:$G$263,0)),"#"),1,0))</f>
        <v/>
      </c>
      <c r="BT107">
        <f>IF(OR($D107="",AO107="",29&gt;$F107),0,IF(UPPER(TRIM(AO107))=IFERROR(INDEX(Key!$C$2:$C$263,MATCH($D107*100+29,Key!$G$2:$G$263,0)),"#"),1,0))</f>
        <v/>
      </c>
      <c r="BU107">
        <f>IF(OR($D107="",AP107="",30&gt;$F107),0,IF(UPPER(TRIM(AP107))=IFERROR(INDEX(Key!$C$2:$C$263,MATCH($D107*100+30,Key!$G$2:$G$263,0)),"#"),1,0))</f>
        <v/>
      </c>
    </row>
    <row r="108">
      <c r="A108" s="6" t="n"/>
      <c r="B108" s="6" t="n"/>
      <c r="C108" s="6" t="n"/>
      <c r="D108" s="6" t="n"/>
      <c r="E108" s="7">
        <f>IF($D108="","",IFERROR(INDEX(Papers!$B$2:$B$12,MATCH($D108,Papers!$A$2:$A$12,0)),"?"))</f>
        <v/>
      </c>
      <c r="F108" s="7">
        <f>IF($D108="","",IFERROR(INDEX(Papers!$C$2:$C$12,MATCH($D108,Papers!$A$2:$A$12,0)),0))</f>
        <v/>
      </c>
      <c r="G108" s="7">
        <f>IF($D108="","",COUNTIF(M108:AP108,"?*"))</f>
        <v/>
      </c>
      <c r="H108" s="7">
        <f>IF($D108="","",SUM(AR108:BU108))</f>
        <v/>
      </c>
      <c r="I108" s="7">
        <f>IF($D108="","",G108-H108)</f>
        <v/>
      </c>
      <c r="J108" s="7">
        <f>IF($D108="","",F108-G108)</f>
        <v/>
      </c>
      <c r="K108" s="7">
        <f>IF($D108="","",H108)</f>
        <v/>
      </c>
      <c r="L108" s="7">
        <f>IF($D108="","",IF(F108=0,"",ROUND(H108/F108*100,1)))</f>
        <v/>
      </c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R108">
        <f>IF(OR($D108="",M108="",1&gt;$F108),0,IF(UPPER(TRIM(M108))=IFERROR(INDEX(Key!$C$2:$C$263,MATCH($D108*100+1,Key!$G$2:$G$263,0)),"#"),1,0))</f>
        <v/>
      </c>
      <c r="AS108">
        <f>IF(OR($D108="",N108="",2&gt;$F108),0,IF(UPPER(TRIM(N108))=IFERROR(INDEX(Key!$C$2:$C$263,MATCH($D108*100+2,Key!$G$2:$G$263,0)),"#"),1,0))</f>
        <v/>
      </c>
      <c r="AT108">
        <f>IF(OR($D108="",O108="",3&gt;$F108),0,IF(UPPER(TRIM(O108))=IFERROR(INDEX(Key!$C$2:$C$263,MATCH($D108*100+3,Key!$G$2:$G$263,0)),"#"),1,0))</f>
        <v/>
      </c>
      <c r="AU108">
        <f>IF(OR($D108="",P108="",4&gt;$F108),0,IF(UPPER(TRIM(P108))=IFERROR(INDEX(Key!$C$2:$C$263,MATCH($D108*100+4,Key!$G$2:$G$263,0)),"#"),1,0))</f>
        <v/>
      </c>
      <c r="AV108">
        <f>IF(OR($D108="",Q108="",5&gt;$F108),0,IF(UPPER(TRIM(Q108))=IFERROR(INDEX(Key!$C$2:$C$263,MATCH($D108*100+5,Key!$G$2:$G$263,0)),"#"),1,0))</f>
        <v/>
      </c>
      <c r="AW108">
        <f>IF(OR($D108="",R108="",6&gt;$F108),0,IF(UPPER(TRIM(R108))=IFERROR(INDEX(Key!$C$2:$C$263,MATCH($D108*100+6,Key!$G$2:$G$263,0)),"#"),1,0))</f>
        <v/>
      </c>
      <c r="AX108">
        <f>IF(OR($D108="",S108="",7&gt;$F108),0,IF(UPPER(TRIM(S108))=IFERROR(INDEX(Key!$C$2:$C$263,MATCH($D108*100+7,Key!$G$2:$G$263,0)),"#"),1,0))</f>
        <v/>
      </c>
      <c r="AY108">
        <f>IF(OR($D108="",T108="",8&gt;$F108),0,IF(UPPER(TRIM(T108))=IFERROR(INDEX(Key!$C$2:$C$263,MATCH($D108*100+8,Key!$G$2:$G$263,0)),"#"),1,0))</f>
        <v/>
      </c>
      <c r="AZ108">
        <f>IF(OR($D108="",U108="",9&gt;$F108),0,IF(UPPER(TRIM(U108))=IFERROR(INDEX(Key!$C$2:$C$263,MATCH($D108*100+9,Key!$G$2:$G$263,0)),"#"),1,0))</f>
        <v/>
      </c>
      <c r="BA108">
        <f>IF(OR($D108="",V108="",10&gt;$F108),0,IF(UPPER(TRIM(V108))=IFERROR(INDEX(Key!$C$2:$C$263,MATCH($D108*100+10,Key!$G$2:$G$263,0)),"#"),1,0))</f>
        <v/>
      </c>
      <c r="BB108">
        <f>IF(OR($D108="",W108="",11&gt;$F108),0,IF(UPPER(TRIM(W108))=IFERROR(INDEX(Key!$C$2:$C$263,MATCH($D108*100+11,Key!$G$2:$G$263,0)),"#"),1,0))</f>
        <v/>
      </c>
      <c r="BC108">
        <f>IF(OR($D108="",X108="",12&gt;$F108),0,IF(UPPER(TRIM(X108))=IFERROR(INDEX(Key!$C$2:$C$263,MATCH($D108*100+12,Key!$G$2:$G$263,0)),"#"),1,0))</f>
        <v/>
      </c>
      <c r="BD108">
        <f>IF(OR($D108="",Y108="",13&gt;$F108),0,IF(UPPER(TRIM(Y108))=IFERROR(INDEX(Key!$C$2:$C$263,MATCH($D108*100+13,Key!$G$2:$G$263,0)),"#"),1,0))</f>
        <v/>
      </c>
      <c r="BE108">
        <f>IF(OR($D108="",Z108="",14&gt;$F108),0,IF(UPPER(TRIM(Z108))=IFERROR(INDEX(Key!$C$2:$C$263,MATCH($D108*100+14,Key!$G$2:$G$263,0)),"#"),1,0))</f>
        <v/>
      </c>
      <c r="BF108">
        <f>IF(OR($D108="",AA108="",15&gt;$F108),0,IF(UPPER(TRIM(AA108))=IFERROR(INDEX(Key!$C$2:$C$263,MATCH($D108*100+15,Key!$G$2:$G$263,0)),"#"),1,0))</f>
        <v/>
      </c>
      <c r="BG108">
        <f>IF(OR($D108="",AB108="",16&gt;$F108),0,IF(UPPER(TRIM(AB108))=IFERROR(INDEX(Key!$C$2:$C$263,MATCH($D108*100+16,Key!$G$2:$G$263,0)),"#"),1,0))</f>
        <v/>
      </c>
      <c r="BH108">
        <f>IF(OR($D108="",AC108="",17&gt;$F108),0,IF(UPPER(TRIM(AC108))=IFERROR(INDEX(Key!$C$2:$C$263,MATCH($D108*100+17,Key!$G$2:$G$263,0)),"#"),1,0))</f>
        <v/>
      </c>
      <c r="BI108">
        <f>IF(OR($D108="",AD108="",18&gt;$F108),0,IF(UPPER(TRIM(AD108))=IFERROR(INDEX(Key!$C$2:$C$263,MATCH($D108*100+18,Key!$G$2:$G$263,0)),"#"),1,0))</f>
        <v/>
      </c>
      <c r="BJ108">
        <f>IF(OR($D108="",AE108="",19&gt;$F108),0,IF(UPPER(TRIM(AE108))=IFERROR(INDEX(Key!$C$2:$C$263,MATCH($D108*100+19,Key!$G$2:$G$263,0)),"#"),1,0))</f>
        <v/>
      </c>
      <c r="BK108">
        <f>IF(OR($D108="",AF108="",20&gt;$F108),0,IF(UPPER(TRIM(AF108))=IFERROR(INDEX(Key!$C$2:$C$263,MATCH($D108*100+20,Key!$G$2:$G$263,0)),"#"),1,0))</f>
        <v/>
      </c>
      <c r="BL108">
        <f>IF(OR($D108="",AG108="",21&gt;$F108),0,IF(UPPER(TRIM(AG108))=IFERROR(INDEX(Key!$C$2:$C$263,MATCH($D108*100+21,Key!$G$2:$G$263,0)),"#"),1,0))</f>
        <v/>
      </c>
      <c r="BM108">
        <f>IF(OR($D108="",AH108="",22&gt;$F108),0,IF(UPPER(TRIM(AH108))=IFERROR(INDEX(Key!$C$2:$C$263,MATCH($D108*100+22,Key!$G$2:$G$263,0)),"#"),1,0))</f>
        <v/>
      </c>
      <c r="BN108">
        <f>IF(OR($D108="",AI108="",23&gt;$F108),0,IF(UPPER(TRIM(AI108))=IFERROR(INDEX(Key!$C$2:$C$263,MATCH($D108*100+23,Key!$G$2:$G$263,0)),"#"),1,0))</f>
        <v/>
      </c>
      <c r="BO108">
        <f>IF(OR($D108="",AJ108="",24&gt;$F108),0,IF(UPPER(TRIM(AJ108))=IFERROR(INDEX(Key!$C$2:$C$263,MATCH($D108*100+24,Key!$G$2:$G$263,0)),"#"),1,0))</f>
        <v/>
      </c>
      <c r="BP108">
        <f>IF(OR($D108="",AK108="",25&gt;$F108),0,IF(UPPER(TRIM(AK108))=IFERROR(INDEX(Key!$C$2:$C$263,MATCH($D108*100+25,Key!$G$2:$G$263,0)),"#"),1,0))</f>
        <v/>
      </c>
      <c r="BQ108">
        <f>IF(OR($D108="",AL108="",26&gt;$F108),0,IF(UPPER(TRIM(AL108))=IFERROR(INDEX(Key!$C$2:$C$263,MATCH($D108*100+26,Key!$G$2:$G$263,0)),"#"),1,0))</f>
        <v/>
      </c>
      <c r="BR108">
        <f>IF(OR($D108="",AM108="",27&gt;$F108),0,IF(UPPER(TRIM(AM108))=IFERROR(INDEX(Key!$C$2:$C$263,MATCH($D108*100+27,Key!$G$2:$G$263,0)),"#"),1,0))</f>
        <v/>
      </c>
      <c r="BS108">
        <f>IF(OR($D108="",AN108="",28&gt;$F108),0,IF(UPPER(TRIM(AN108))=IFERROR(INDEX(Key!$C$2:$C$263,MATCH($D108*100+28,Key!$G$2:$G$263,0)),"#"),1,0))</f>
        <v/>
      </c>
      <c r="BT108">
        <f>IF(OR($D108="",AO108="",29&gt;$F108),0,IF(UPPER(TRIM(AO108))=IFERROR(INDEX(Key!$C$2:$C$263,MATCH($D108*100+29,Key!$G$2:$G$263,0)),"#"),1,0))</f>
        <v/>
      </c>
      <c r="BU108">
        <f>IF(OR($D108="",AP108="",30&gt;$F108),0,IF(UPPER(TRIM(AP108))=IFERROR(INDEX(Key!$C$2:$C$263,MATCH($D108*100+30,Key!$G$2:$G$263,0)),"#"),1,0))</f>
        <v/>
      </c>
    </row>
    <row r="109">
      <c r="A109" s="6" t="n"/>
      <c r="B109" s="6" t="n"/>
      <c r="C109" s="6" t="n"/>
      <c r="D109" s="6" t="n"/>
      <c r="E109" s="7">
        <f>IF($D109="","",IFERROR(INDEX(Papers!$B$2:$B$12,MATCH($D109,Papers!$A$2:$A$12,0)),"?"))</f>
        <v/>
      </c>
      <c r="F109" s="7">
        <f>IF($D109="","",IFERROR(INDEX(Papers!$C$2:$C$12,MATCH($D109,Papers!$A$2:$A$12,0)),0))</f>
        <v/>
      </c>
      <c r="G109" s="7">
        <f>IF($D109="","",COUNTIF(M109:AP109,"?*"))</f>
        <v/>
      </c>
      <c r="H109" s="7">
        <f>IF($D109="","",SUM(AR109:BU109))</f>
        <v/>
      </c>
      <c r="I109" s="7">
        <f>IF($D109="","",G109-H109)</f>
        <v/>
      </c>
      <c r="J109" s="7">
        <f>IF($D109="","",F109-G109)</f>
        <v/>
      </c>
      <c r="K109" s="7">
        <f>IF($D109="","",H109)</f>
        <v/>
      </c>
      <c r="L109" s="7">
        <f>IF($D109="","",IF(F109=0,"",ROUND(H109/F109*100,1)))</f>
        <v/>
      </c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R109">
        <f>IF(OR($D109="",M109="",1&gt;$F109),0,IF(UPPER(TRIM(M109))=IFERROR(INDEX(Key!$C$2:$C$263,MATCH($D109*100+1,Key!$G$2:$G$263,0)),"#"),1,0))</f>
        <v/>
      </c>
      <c r="AS109">
        <f>IF(OR($D109="",N109="",2&gt;$F109),0,IF(UPPER(TRIM(N109))=IFERROR(INDEX(Key!$C$2:$C$263,MATCH($D109*100+2,Key!$G$2:$G$263,0)),"#"),1,0))</f>
        <v/>
      </c>
      <c r="AT109">
        <f>IF(OR($D109="",O109="",3&gt;$F109),0,IF(UPPER(TRIM(O109))=IFERROR(INDEX(Key!$C$2:$C$263,MATCH($D109*100+3,Key!$G$2:$G$263,0)),"#"),1,0))</f>
        <v/>
      </c>
      <c r="AU109">
        <f>IF(OR($D109="",P109="",4&gt;$F109),0,IF(UPPER(TRIM(P109))=IFERROR(INDEX(Key!$C$2:$C$263,MATCH($D109*100+4,Key!$G$2:$G$263,0)),"#"),1,0))</f>
        <v/>
      </c>
      <c r="AV109">
        <f>IF(OR($D109="",Q109="",5&gt;$F109),0,IF(UPPER(TRIM(Q109))=IFERROR(INDEX(Key!$C$2:$C$263,MATCH($D109*100+5,Key!$G$2:$G$263,0)),"#"),1,0))</f>
        <v/>
      </c>
      <c r="AW109">
        <f>IF(OR($D109="",R109="",6&gt;$F109),0,IF(UPPER(TRIM(R109))=IFERROR(INDEX(Key!$C$2:$C$263,MATCH($D109*100+6,Key!$G$2:$G$263,0)),"#"),1,0))</f>
        <v/>
      </c>
      <c r="AX109">
        <f>IF(OR($D109="",S109="",7&gt;$F109),0,IF(UPPER(TRIM(S109))=IFERROR(INDEX(Key!$C$2:$C$263,MATCH($D109*100+7,Key!$G$2:$G$263,0)),"#"),1,0))</f>
        <v/>
      </c>
      <c r="AY109">
        <f>IF(OR($D109="",T109="",8&gt;$F109),0,IF(UPPER(TRIM(T109))=IFERROR(INDEX(Key!$C$2:$C$263,MATCH($D109*100+8,Key!$G$2:$G$263,0)),"#"),1,0))</f>
        <v/>
      </c>
      <c r="AZ109">
        <f>IF(OR($D109="",U109="",9&gt;$F109),0,IF(UPPER(TRIM(U109))=IFERROR(INDEX(Key!$C$2:$C$263,MATCH($D109*100+9,Key!$G$2:$G$263,0)),"#"),1,0))</f>
        <v/>
      </c>
      <c r="BA109">
        <f>IF(OR($D109="",V109="",10&gt;$F109),0,IF(UPPER(TRIM(V109))=IFERROR(INDEX(Key!$C$2:$C$263,MATCH($D109*100+10,Key!$G$2:$G$263,0)),"#"),1,0))</f>
        <v/>
      </c>
      <c r="BB109">
        <f>IF(OR($D109="",W109="",11&gt;$F109),0,IF(UPPER(TRIM(W109))=IFERROR(INDEX(Key!$C$2:$C$263,MATCH($D109*100+11,Key!$G$2:$G$263,0)),"#"),1,0))</f>
        <v/>
      </c>
      <c r="BC109">
        <f>IF(OR($D109="",X109="",12&gt;$F109),0,IF(UPPER(TRIM(X109))=IFERROR(INDEX(Key!$C$2:$C$263,MATCH($D109*100+12,Key!$G$2:$G$263,0)),"#"),1,0))</f>
        <v/>
      </c>
      <c r="BD109">
        <f>IF(OR($D109="",Y109="",13&gt;$F109),0,IF(UPPER(TRIM(Y109))=IFERROR(INDEX(Key!$C$2:$C$263,MATCH($D109*100+13,Key!$G$2:$G$263,0)),"#"),1,0))</f>
        <v/>
      </c>
      <c r="BE109">
        <f>IF(OR($D109="",Z109="",14&gt;$F109),0,IF(UPPER(TRIM(Z109))=IFERROR(INDEX(Key!$C$2:$C$263,MATCH($D109*100+14,Key!$G$2:$G$263,0)),"#"),1,0))</f>
        <v/>
      </c>
      <c r="BF109">
        <f>IF(OR($D109="",AA109="",15&gt;$F109),0,IF(UPPER(TRIM(AA109))=IFERROR(INDEX(Key!$C$2:$C$263,MATCH($D109*100+15,Key!$G$2:$G$263,0)),"#"),1,0))</f>
        <v/>
      </c>
      <c r="BG109">
        <f>IF(OR($D109="",AB109="",16&gt;$F109),0,IF(UPPER(TRIM(AB109))=IFERROR(INDEX(Key!$C$2:$C$263,MATCH($D109*100+16,Key!$G$2:$G$263,0)),"#"),1,0))</f>
        <v/>
      </c>
      <c r="BH109">
        <f>IF(OR($D109="",AC109="",17&gt;$F109),0,IF(UPPER(TRIM(AC109))=IFERROR(INDEX(Key!$C$2:$C$263,MATCH($D109*100+17,Key!$G$2:$G$263,0)),"#"),1,0))</f>
        <v/>
      </c>
      <c r="BI109">
        <f>IF(OR($D109="",AD109="",18&gt;$F109),0,IF(UPPER(TRIM(AD109))=IFERROR(INDEX(Key!$C$2:$C$263,MATCH($D109*100+18,Key!$G$2:$G$263,0)),"#"),1,0))</f>
        <v/>
      </c>
      <c r="BJ109">
        <f>IF(OR($D109="",AE109="",19&gt;$F109),0,IF(UPPER(TRIM(AE109))=IFERROR(INDEX(Key!$C$2:$C$263,MATCH($D109*100+19,Key!$G$2:$G$263,0)),"#"),1,0))</f>
        <v/>
      </c>
      <c r="BK109">
        <f>IF(OR($D109="",AF109="",20&gt;$F109),0,IF(UPPER(TRIM(AF109))=IFERROR(INDEX(Key!$C$2:$C$263,MATCH($D109*100+20,Key!$G$2:$G$263,0)),"#"),1,0))</f>
        <v/>
      </c>
      <c r="BL109">
        <f>IF(OR($D109="",AG109="",21&gt;$F109),0,IF(UPPER(TRIM(AG109))=IFERROR(INDEX(Key!$C$2:$C$263,MATCH($D109*100+21,Key!$G$2:$G$263,0)),"#"),1,0))</f>
        <v/>
      </c>
      <c r="BM109">
        <f>IF(OR($D109="",AH109="",22&gt;$F109),0,IF(UPPER(TRIM(AH109))=IFERROR(INDEX(Key!$C$2:$C$263,MATCH($D109*100+22,Key!$G$2:$G$263,0)),"#"),1,0))</f>
        <v/>
      </c>
      <c r="BN109">
        <f>IF(OR($D109="",AI109="",23&gt;$F109),0,IF(UPPER(TRIM(AI109))=IFERROR(INDEX(Key!$C$2:$C$263,MATCH($D109*100+23,Key!$G$2:$G$263,0)),"#"),1,0))</f>
        <v/>
      </c>
      <c r="BO109">
        <f>IF(OR($D109="",AJ109="",24&gt;$F109),0,IF(UPPER(TRIM(AJ109))=IFERROR(INDEX(Key!$C$2:$C$263,MATCH($D109*100+24,Key!$G$2:$G$263,0)),"#"),1,0))</f>
        <v/>
      </c>
      <c r="BP109">
        <f>IF(OR($D109="",AK109="",25&gt;$F109),0,IF(UPPER(TRIM(AK109))=IFERROR(INDEX(Key!$C$2:$C$263,MATCH($D109*100+25,Key!$G$2:$G$263,0)),"#"),1,0))</f>
        <v/>
      </c>
      <c r="BQ109">
        <f>IF(OR($D109="",AL109="",26&gt;$F109),0,IF(UPPER(TRIM(AL109))=IFERROR(INDEX(Key!$C$2:$C$263,MATCH($D109*100+26,Key!$G$2:$G$263,0)),"#"),1,0))</f>
        <v/>
      </c>
      <c r="BR109">
        <f>IF(OR($D109="",AM109="",27&gt;$F109),0,IF(UPPER(TRIM(AM109))=IFERROR(INDEX(Key!$C$2:$C$263,MATCH($D109*100+27,Key!$G$2:$G$263,0)),"#"),1,0))</f>
        <v/>
      </c>
      <c r="BS109">
        <f>IF(OR($D109="",AN109="",28&gt;$F109),0,IF(UPPER(TRIM(AN109))=IFERROR(INDEX(Key!$C$2:$C$263,MATCH($D109*100+28,Key!$G$2:$G$263,0)),"#"),1,0))</f>
        <v/>
      </c>
      <c r="BT109">
        <f>IF(OR($D109="",AO109="",29&gt;$F109),0,IF(UPPER(TRIM(AO109))=IFERROR(INDEX(Key!$C$2:$C$263,MATCH($D109*100+29,Key!$G$2:$G$263,0)),"#"),1,0))</f>
        <v/>
      </c>
      <c r="BU109">
        <f>IF(OR($D109="",AP109="",30&gt;$F109),0,IF(UPPER(TRIM(AP109))=IFERROR(INDEX(Key!$C$2:$C$263,MATCH($D109*100+30,Key!$G$2:$G$263,0)),"#"),1,0))</f>
        <v/>
      </c>
    </row>
    <row r="110">
      <c r="A110" s="6" t="n"/>
      <c r="B110" s="6" t="n"/>
      <c r="C110" s="6" t="n"/>
      <c r="D110" s="6" t="n"/>
      <c r="E110" s="7">
        <f>IF($D110="","",IFERROR(INDEX(Papers!$B$2:$B$12,MATCH($D110,Papers!$A$2:$A$12,0)),"?"))</f>
        <v/>
      </c>
      <c r="F110" s="7">
        <f>IF($D110="","",IFERROR(INDEX(Papers!$C$2:$C$12,MATCH($D110,Papers!$A$2:$A$12,0)),0))</f>
        <v/>
      </c>
      <c r="G110" s="7">
        <f>IF($D110="","",COUNTIF(M110:AP110,"?*"))</f>
        <v/>
      </c>
      <c r="H110" s="7">
        <f>IF($D110="","",SUM(AR110:BU110))</f>
        <v/>
      </c>
      <c r="I110" s="7">
        <f>IF($D110="","",G110-H110)</f>
        <v/>
      </c>
      <c r="J110" s="7">
        <f>IF($D110="","",F110-G110)</f>
        <v/>
      </c>
      <c r="K110" s="7">
        <f>IF($D110="","",H110)</f>
        <v/>
      </c>
      <c r="L110" s="7">
        <f>IF($D110="","",IF(F110=0,"",ROUND(H110/F110*100,1)))</f>
        <v/>
      </c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R110">
        <f>IF(OR($D110="",M110="",1&gt;$F110),0,IF(UPPER(TRIM(M110))=IFERROR(INDEX(Key!$C$2:$C$263,MATCH($D110*100+1,Key!$G$2:$G$263,0)),"#"),1,0))</f>
        <v/>
      </c>
      <c r="AS110">
        <f>IF(OR($D110="",N110="",2&gt;$F110),0,IF(UPPER(TRIM(N110))=IFERROR(INDEX(Key!$C$2:$C$263,MATCH($D110*100+2,Key!$G$2:$G$263,0)),"#"),1,0))</f>
        <v/>
      </c>
      <c r="AT110">
        <f>IF(OR($D110="",O110="",3&gt;$F110),0,IF(UPPER(TRIM(O110))=IFERROR(INDEX(Key!$C$2:$C$263,MATCH($D110*100+3,Key!$G$2:$G$263,0)),"#"),1,0))</f>
        <v/>
      </c>
      <c r="AU110">
        <f>IF(OR($D110="",P110="",4&gt;$F110),0,IF(UPPER(TRIM(P110))=IFERROR(INDEX(Key!$C$2:$C$263,MATCH($D110*100+4,Key!$G$2:$G$263,0)),"#"),1,0))</f>
        <v/>
      </c>
      <c r="AV110">
        <f>IF(OR($D110="",Q110="",5&gt;$F110),0,IF(UPPER(TRIM(Q110))=IFERROR(INDEX(Key!$C$2:$C$263,MATCH($D110*100+5,Key!$G$2:$G$263,0)),"#"),1,0))</f>
        <v/>
      </c>
      <c r="AW110">
        <f>IF(OR($D110="",R110="",6&gt;$F110),0,IF(UPPER(TRIM(R110))=IFERROR(INDEX(Key!$C$2:$C$263,MATCH($D110*100+6,Key!$G$2:$G$263,0)),"#"),1,0))</f>
        <v/>
      </c>
      <c r="AX110">
        <f>IF(OR($D110="",S110="",7&gt;$F110),0,IF(UPPER(TRIM(S110))=IFERROR(INDEX(Key!$C$2:$C$263,MATCH($D110*100+7,Key!$G$2:$G$263,0)),"#"),1,0))</f>
        <v/>
      </c>
      <c r="AY110">
        <f>IF(OR($D110="",T110="",8&gt;$F110),0,IF(UPPER(TRIM(T110))=IFERROR(INDEX(Key!$C$2:$C$263,MATCH($D110*100+8,Key!$G$2:$G$263,0)),"#"),1,0))</f>
        <v/>
      </c>
      <c r="AZ110">
        <f>IF(OR($D110="",U110="",9&gt;$F110),0,IF(UPPER(TRIM(U110))=IFERROR(INDEX(Key!$C$2:$C$263,MATCH($D110*100+9,Key!$G$2:$G$263,0)),"#"),1,0))</f>
        <v/>
      </c>
      <c r="BA110">
        <f>IF(OR($D110="",V110="",10&gt;$F110),0,IF(UPPER(TRIM(V110))=IFERROR(INDEX(Key!$C$2:$C$263,MATCH($D110*100+10,Key!$G$2:$G$263,0)),"#"),1,0))</f>
        <v/>
      </c>
      <c r="BB110">
        <f>IF(OR($D110="",W110="",11&gt;$F110),0,IF(UPPER(TRIM(W110))=IFERROR(INDEX(Key!$C$2:$C$263,MATCH($D110*100+11,Key!$G$2:$G$263,0)),"#"),1,0))</f>
        <v/>
      </c>
      <c r="BC110">
        <f>IF(OR($D110="",X110="",12&gt;$F110),0,IF(UPPER(TRIM(X110))=IFERROR(INDEX(Key!$C$2:$C$263,MATCH($D110*100+12,Key!$G$2:$G$263,0)),"#"),1,0))</f>
        <v/>
      </c>
      <c r="BD110">
        <f>IF(OR($D110="",Y110="",13&gt;$F110),0,IF(UPPER(TRIM(Y110))=IFERROR(INDEX(Key!$C$2:$C$263,MATCH($D110*100+13,Key!$G$2:$G$263,0)),"#"),1,0))</f>
        <v/>
      </c>
      <c r="BE110">
        <f>IF(OR($D110="",Z110="",14&gt;$F110),0,IF(UPPER(TRIM(Z110))=IFERROR(INDEX(Key!$C$2:$C$263,MATCH($D110*100+14,Key!$G$2:$G$263,0)),"#"),1,0))</f>
        <v/>
      </c>
      <c r="BF110">
        <f>IF(OR($D110="",AA110="",15&gt;$F110),0,IF(UPPER(TRIM(AA110))=IFERROR(INDEX(Key!$C$2:$C$263,MATCH($D110*100+15,Key!$G$2:$G$263,0)),"#"),1,0))</f>
        <v/>
      </c>
      <c r="BG110">
        <f>IF(OR($D110="",AB110="",16&gt;$F110),0,IF(UPPER(TRIM(AB110))=IFERROR(INDEX(Key!$C$2:$C$263,MATCH($D110*100+16,Key!$G$2:$G$263,0)),"#"),1,0))</f>
        <v/>
      </c>
      <c r="BH110">
        <f>IF(OR($D110="",AC110="",17&gt;$F110),0,IF(UPPER(TRIM(AC110))=IFERROR(INDEX(Key!$C$2:$C$263,MATCH($D110*100+17,Key!$G$2:$G$263,0)),"#"),1,0))</f>
        <v/>
      </c>
      <c r="BI110">
        <f>IF(OR($D110="",AD110="",18&gt;$F110),0,IF(UPPER(TRIM(AD110))=IFERROR(INDEX(Key!$C$2:$C$263,MATCH($D110*100+18,Key!$G$2:$G$263,0)),"#"),1,0))</f>
        <v/>
      </c>
      <c r="BJ110">
        <f>IF(OR($D110="",AE110="",19&gt;$F110),0,IF(UPPER(TRIM(AE110))=IFERROR(INDEX(Key!$C$2:$C$263,MATCH($D110*100+19,Key!$G$2:$G$263,0)),"#"),1,0))</f>
        <v/>
      </c>
      <c r="BK110">
        <f>IF(OR($D110="",AF110="",20&gt;$F110),0,IF(UPPER(TRIM(AF110))=IFERROR(INDEX(Key!$C$2:$C$263,MATCH($D110*100+20,Key!$G$2:$G$263,0)),"#"),1,0))</f>
        <v/>
      </c>
      <c r="BL110">
        <f>IF(OR($D110="",AG110="",21&gt;$F110),0,IF(UPPER(TRIM(AG110))=IFERROR(INDEX(Key!$C$2:$C$263,MATCH($D110*100+21,Key!$G$2:$G$263,0)),"#"),1,0))</f>
        <v/>
      </c>
      <c r="BM110">
        <f>IF(OR($D110="",AH110="",22&gt;$F110),0,IF(UPPER(TRIM(AH110))=IFERROR(INDEX(Key!$C$2:$C$263,MATCH($D110*100+22,Key!$G$2:$G$263,0)),"#"),1,0))</f>
        <v/>
      </c>
      <c r="BN110">
        <f>IF(OR($D110="",AI110="",23&gt;$F110),0,IF(UPPER(TRIM(AI110))=IFERROR(INDEX(Key!$C$2:$C$263,MATCH($D110*100+23,Key!$G$2:$G$263,0)),"#"),1,0))</f>
        <v/>
      </c>
      <c r="BO110">
        <f>IF(OR($D110="",AJ110="",24&gt;$F110),0,IF(UPPER(TRIM(AJ110))=IFERROR(INDEX(Key!$C$2:$C$263,MATCH($D110*100+24,Key!$G$2:$G$263,0)),"#"),1,0))</f>
        <v/>
      </c>
      <c r="BP110">
        <f>IF(OR($D110="",AK110="",25&gt;$F110),0,IF(UPPER(TRIM(AK110))=IFERROR(INDEX(Key!$C$2:$C$263,MATCH($D110*100+25,Key!$G$2:$G$263,0)),"#"),1,0))</f>
        <v/>
      </c>
      <c r="BQ110">
        <f>IF(OR($D110="",AL110="",26&gt;$F110),0,IF(UPPER(TRIM(AL110))=IFERROR(INDEX(Key!$C$2:$C$263,MATCH($D110*100+26,Key!$G$2:$G$263,0)),"#"),1,0))</f>
        <v/>
      </c>
      <c r="BR110">
        <f>IF(OR($D110="",AM110="",27&gt;$F110),0,IF(UPPER(TRIM(AM110))=IFERROR(INDEX(Key!$C$2:$C$263,MATCH($D110*100+27,Key!$G$2:$G$263,0)),"#"),1,0))</f>
        <v/>
      </c>
      <c r="BS110">
        <f>IF(OR($D110="",AN110="",28&gt;$F110),0,IF(UPPER(TRIM(AN110))=IFERROR(INDEX(Key!$C$2:$C$263,MATCH($D110*100+28,Key!$G$2:$G$263,0)),"#"),1,0))</f>
        <v/>
      </c>
      <c r="BT110">
        <f>IF(OR($D110="",AO110="",29&gt;$F110),0,IF(UPPER(TRIM(AO110))=IFERROR(INDEX(Key!$C$2:$C$263,MATCH($D110*100+29,Key!$G$2:$G$263,0)),"#"),1,0))</f>
        <v/>
      </c>
      <c r="BU110">
        <f>IF(OR($D110="",AP110="",30&gt;$F110),0,IF(UPPER(TRIM(AP110))=IFERROR(INDEX(Key!$C$2:$C$263,MATCH($D110*100+30,Key!$G$2:$G$263,0)),"#"),1,0))</f>
        <v/>
      </c>
    </row>
    <row r="111">
      <c r="A111" s="6" t="n"/>
      <c r="B111" s="6" t="n"/>
      <c r="C111" s="6" t="n"/>
      <c r="D111" s="6" t="n"/>
      <c r="E111" s="7">
        <f>IF($D111="","",IFERROR(INDEX(Papers!$B$2:$B$12,MATCH($D111,Papers!$A$2:$A$12,0)),"?"))</f>
        <v/>
      </c>
      <c r="F111" s="7">
        <f>IF($D111="","",IFERROR(INDEX(Papers!$C$2:$C$12,MATCH($D111,Papers!$A$2:$A$12,0)),0))</f>
        <v/>
      </c>
      <c r="G111" s="7">
        <f>IF($D111="","",COUNTIF(M111:AP111,"?*"))</f>
        <v/>
      </c>
      <c r="H111" s="7">
        <f>IF($D111="","",SUM(AR111:BU111))</f>
        <v/>
      </c>
      <c r="I111" s="7">
        <f>IF($D111="","",G111-H111)</f>
        <v/>
      </c>
      <c r="J111" s="7">
        <f>IF($D111="","",F111-G111)</f>
        <v/>
      </c>
      <c r="K111" s="7">
        <f>IF($D111="","",H111)</f>
        <v/>
      </c>
      <c r="L111" s="7">
        <f>IF($D111="","",IF(F111=0,"",ROUND(H111/F111*100,1)))</f>
        <v/>
      </c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R111">
        <f>IF(OR($D111="",M111="",1&gt;$F111),0,IF(UPPER(TRIM(M111))=IFERROR(INDEX(Key!$C$2:$C$263,MATCH($D111*100+1,Key!$G$2:$G$263,0)),"#"),1,0))</f>
        <v/>
      </c>
      <c r="AS111">
        <f>IF(OR($D111="",N111="",2&gt;$F111),0,IF(UPPER(TRIM(N111))=IFERROR(INDEX(Key!$C$2:$C$263,MATCH($D111*100+2,Key!$G$2:$G$263,0)),"#"),1,0))</f>
        <v/>
      </c>
      <c r="AT111">
        <f>IF(OR($D111="",O111="",3&gt;$F111),0,IF(UPPER(TRIM(O111))=IFERROR(INDEX(Key!$C$2:$C$263,MATCH($D111*100+3,Key!$G$2:$G$263,0)),"#"),1,0))</f>
        <v/>
      </c>
      <c r="AU111">
        <f>IF(OR($D111="",P111="",4&gt;$F111),0,IF(UPPER(TRIM(P111))=IFERROR(INDEX(Key!$C$2:$C$263,MATCH($D111*100+4,Key!$G$2:$G$263,0)),"#"),1,0))</f>
        <v/>
      </c>
      <c r="AV111">
        <f>IF(OR($D111="",Q111="",5&gt;$F111),0,IF(UPPER(TRIM(Q111))=IFERROR(INDEX(Key!$C$2:$C$263,MATCH($D111*100+5,Key!$G$2:$G$263,0)),"#"),1,0))</f>
        <v/>
      </c>
      <c r="AW111">
        <f>IF(OR($D111="",R111="",6&gt;$F111),0,IF(UPPER(TRIM(R111))=IFERROR(INDEX(Key!$C$2:$C$263,MATCH($D111*100+6,Key!$G$2:$G$263,0)),"#"),1,0))</f>
        <v/>
      </c>
      <c r="AX111">
        <f>IF(OR($D111="",S111="",7&gt;$F111),0,IF(UPPER(TRIM(S111))=IFERROR(INDEX(Key!$C$2:$C$263,MATCH($D111*100+7,Key!$G$2:$G$263,0)),"#"),1,0))</f>
        <v/>
      </c>
      <c r="AY111">
        <f>IF(OR($D111="",T111="",8&gt;$F111),0,IF(UPPER(TRIM(T111))=IFERROR(INDEX(Key!$C$2:$C$263,MATCH($D111*100+8,Key!$G$2:$G$263,0)),"#"),1,0))</f>
        <v/>
      </c>
      <c r="AZ111">
        <f>IF(OR($D111="",U111="",9&gt;$F111),0,IF(UPPER(TRIM(U111))=IFERROR(INDEX(Key!$C$2:$C$263,MATCH($D111*100+9,Key!$G$2:$G$263,0)),"#"),1,0))</f>
        <v/>
      </c>
      <c r="BA111">
        <f>IF(OR($D111="",V111="",10&gt;$F111),0,IF(UPPER(TRIM(V111))=IFERROR(INDEX(Key!$C$2:$C$263,MATCH($D111*100+10,Key!$G$2:$G$263,0)),"#"),1,0))</f>
        <v/>
      </c>
      <c r="BB111">
        <f>IF(OR($D111="",W111="",11&gt;$F111),0,IF(UPPER(TRIM(W111))=IFERROR(INDEX(Key!$C$2:$C$263,MATCH($D111*100+11,Key!$G$2:$G$263,0)),"#"),1,0))</f>
        <v/>
      </c>
      <c r="BC111">
        <f>IF(OR($D111="",X111="",12&gt;$F111),0,IF(UPPER(TRIM(X111))=IFERROR(INDEX(Key!$C$2:$C$263,MATCH($D111*100+12,Key!$G$2:$G$263,0)),"#"),1,0))</f>
        <v/>
      </c>
      <c r="BD111">
        <f>IF(OR($D111="",Y111="",13&gt;$F111),0,IF(UPPER(TRIM(Y111))=IFERROR(INDEX(Key!$C$2:$C$263,MATCH($D111*100+13,Key!$G$2:$G$263,0)),"#"),1,0))</f>
        <v/>
      </c>
      <c r="BE111">
        <f>IF(OR($D111="",Z111="",14&gt;$F111),0,IF(UPPER(TRIM(Z111))=IFERROR(INDEX(Key!$C$2:$C$263,MATCH($D111*100+14,Key!$G$2:$G$263,0)),"#"),1,0))</f>
        <v/>
      </c>
      <c r="BF111">
        <f>IF(OR($D111="",AA111="",15&gt;$F111),0,IF(UPPER(TRIM(AA111))=IFERROR(INDEX(Key!$C$2:$C$263,MATCH($D111*100+15,Key!$G$2:$G$263,0)),"#"),1,0))</f>
        <v/>
      </c>
      <c r="BG111">
        <f>IF(OR($D111="",AB111="",16&gt;$F111),0,IF(UPPER(TRIM(AB111))=IFERROR(INDEX(Key!$C$2:$C$263,MATCH($D111*100+16,Key!$G$2:$G$263,0)),"#"),1,0))</f>
        <v/>
      </c>
      <c r="BH111">
        <f>IF(OR($D111="",AC111="",17&gt;$F111),0,IF(UPPER(TRIM(AC111))=IFERROR(INDEX(Key!$C$2:$C$263,MATCH($D111*100+17,Key!$G$2:$G$263,0)),"#"),1,0))</f>
        <v/>
      </c>
      <c r="BI111">
        <f>IF(OR($D111="",AD111="",18&gt;$F111),0,IF(UPPER(TRIM(AD111))=IFERROR(INDEX(Key!$C$2:$C$263,MATCH($D111*100+18,Key!$G$2:$G$263,0)),"#"),1,0))</f>
        <v/>
      </c>
      <c r="BJ111">
        <f>IF(OR($D111="",AE111="",19&gt;$F111),0,IF(UPPER(TRIM(AE111))=IFERROR(INDEX(Key!$C$2:$C$263,MATCH($D111*100+19,Key!$G$2:$G$263,0)),"#"),1,0))</f>
        <v/>
      </c>
      <c r="BK111">
        <f>IF(OR($D111="",AF111="",20&gt;$F111),0,IF(UPPER(TRIM(AF111))=IFERROR(INDEX(Key!$C$2:$C$263,MATCH($D111*100+20,Key!$G$2:$G$263,0)),"#"),1,0))</f>
        <v/>
      </c>
      <c r="BL111">
        <f>IF(OR($D111="",AG111="",21&gt;$F111),0,IF(UPPER(TRIM(AG111))=IFERROR(INDEX(Key!$C$2:$C$263,MATCH($D111*100+21,Key!$G$2:$G$263,0)),"#"),1,0))</f>
        <v/>
      </c>
      <c r="BM111">
        <f>IF(OR($D111="",AH111="",22&gt;$F111),0,IF(UPPER(TRIM(AH111))=IFERROR(INDEX(Key!$C$2:$C$263,MATCH($D111*100+22,Key!$G$2:$G$263,0)),"#"),1,0))</f>
        <v/>
      </c>
      <c r="BN111">
        <f>IF(OR($D111="",AI111="",23&gt;$F111),0,IF(UPPER(TRIM(AI111))=IFERROR(INDEX(Key!$C$2:$C$263,MATCH($D111*100+23,Key!$G$2:$G$263,0)),"#"),1,0))</f>
        <v/>
      </c>
      <c r="BO111">
        <f>IF(OR($D111="",AJ111="",24&gt;$F111),0,IF(UPPER(TRIM(AJ111))=IFERROR(INDEX(Key!$C$2:$C$263,MATCH($D111*100+24,Key!$G$2:$G$263,0)),"#"),1,0))</f>
        <v/>
      </c>
      <c r="BP111">
        <f>IF(OR($D111="",AK111="",25&gt;$F111),0,IF(UPPER(TRIM(AK111))=IFERROR(INDEX(Key!$C$2:$C$263,MATCH($D111*100+25,Key!$G$2:$G$263,0)),"#"),1,0))</f>
        <v/>
      </c>
      <c r="BQ111">
        <f>IF(OR($D111="",AL111="",26&gt;$F111),0,IF(UPPER(TRIM(AL111))=IFERROR(INDEX(Key!$C$2:$C$263,MATCH($D111*100+26,Key!$G$2:$G$263,0)),"#"),1,0))</f>
        <v/>
      </c>
      <c r="BR111">
        <f>IF(OR($D111="",AM111="",27&gt;$F111),0,IF(UPPER(TRIM(AM111))=IFERROR(INDEX(Key!$C$2:$C$263,MATCH($D111*100+27,Key!$G$2:$G$263,0)),"#"),1,0))</f>
        <v/>
      </c>
      <c r="BS111">
        <f>IF(OR($D111="",AN111="",28&gt;$F111),0,IF(UPPER(TRIM(AN111))=IFERROR(INDEX(Key!$C$2:$C$263,MATCH($D111*100+28,Key!$G$2:$G$263,0)),"#"),1,0))</f>
        <v/>
      </c>
      <c r="BT111">
        <f>IF(OR($D111="",AO111="",29&gt;$F111),0,IF(UPPER(TRIM(AO111))=IFERROR(INDEX(Key!$C$2:$C$263,MATCH($D111*100+29,Key!$G$2:$G$263,0)),"#"),1,0))</f>
        <v/>
      </c>
      <c r="BU111">
        <f>IF(OR($D111="",AP111="",30&gt;$F111),0,IF(UPPER(TRIM(AP111))=IFERROR(INDEX(Key!$C$2:$C$263,MATCH($D111*100+30,Key!$G$2:$G$263,0)),"#"),1,0))</f>
        <v/>
      </c>
    </row>
    <row r="112">
      <c r="A112" s="6" t="n"/>
      <c r="B112" s="6" t="n"/>
      <c r="C112" s="6" t="n"/>
      <c r="D112" s="6" t="n"/>
      <c r="E112" s="7">
        <f>IF($D112="","",IFERROR(INDEX(Papers!$B$2:$B$12,MATCH($D112,Papers!$A$2:$A$12,0)),"?"))</f>
        <v/>
      </c>
      <c r="F112" s="7">
        <f>IF($D112="","",IFERROR(INDEX(Papers!$C$2:$C$12,MATCH($D112,Papers!$A$2:$A$12,0)),0))</f>
        <v/>
      </c>
      <c r="G112" s="7">
        <f>IF($D112="","",COUNTIF(M112:AP112,"?*"))</f>
        <v/>
      </c>
      <c r="H112" s="7">
        <f>IF($D112="","",SUM(AR112:BU112))</f>
        <v/>
      </c>
      <c r="I112" s="7">
        <f>IF($D112="","",G112-H112)</f>
        <v/>
      </c>
      <c r="J112" s="7">
        <f>IF($D112="","",F112-G112)</f>
        <v/>
      </c>
      <c r="K112" s="7">
        <f>IF($D112="","",H112)</f>
        <v/>
      </c>
      <c r="L112" s="7">
        <f>IF($D112="","",IF(F112=0,"",ROUND(H112/F112*100,1)))</f>
        <v/>
      </c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R112">
        <f>IF(OR($D112="",M112="",1&gt;$F112),0,IF(UPPER(TRIM(M112))=IFERROR(INDEX(Key!$C$2:$C$263,MATCH($D112*100+1,Key!$G$2:$G$263,0)),"#"),1,0))</f>
        <v/>
      </c>
      <c r="AS112">
        <f>IF(OR($D112="",N112="",2&gt;$F112),0,IF(UPPER(TRIM(N112))=IFERROR(INDEX(Key!$C$2:$C$263,MATCH($D112*100+2,Key!$G$2:$G$263,0)),"#"),1,0))</f>
        <v/>
      </c>
      <c r="AT112">
        <f>IF(OR($D112="",O112="",3&gt;$F112),0,IF(UPPER(TRIM(O112))=IFERROR(INDEX(Key!$C$2:$C$263,MATCH($D112*100+3,Key!$G$2:$G$263,0)),"#"),1,0))</f>
        <v/>
      </c>
      <c r="AU112">
        <f>IF(OR($D112="",P112="",4&gt;$F112),0,IF(UPPER(TRIM(P112))=IFERROR(INDEX(Key!$C$2:$C$263,MATCH($D112*100+4,Key!$G$2:$G$263,0)),"#"),1,0))</f>
        <v/>
      </c>
      <c r="AV112">
        <f>IF(OR($D112="",Q112="",5&gt;$F112),0,IF(UPPER(TRIM(Q112))=IFERROR(INDEX(Key!$C$2:$C$263,MATCH($D112*100+5,Key!$G$2:$G$263,0)),"#"),1,0))</f>
        <v/>
      </c>
      <c r="AW112">
        <f>IF(OR($D112="",R112="",6&gt;$F112),0,IF(UPPER(TRIM(R112))=IFERROR(INDEX(Key!$C$2:$C$263,MATCH($D112*100+6,Key!$G$2:$G$263,0)),"#"),1,0))</f>
        <v/>
      </c>
      <c r="AX112">
        <f>IF(OR($D112="",S112="",7&gt;$F112),0,IF(UPPER(TRIM(S112))=IFERROR(INDEX(Key!$C$2:$C$263,MATCH($D112*100+7,Key!$G$2:$G$263,0)),"#"),1,0))</f>
        <v/>
      </c>
      <c r="AY112">
        <f>IF(OR($D112="",T112="",8&gt;$F112),0,IF(UPPER(TRIM(T112))=IFERROR(INDEX(Key!$C$2:$C$263,MATCH($D112*100+8,Key!$G$2:$G$263,0)),"#"),1,0))</f>
        <v/>
      </c>
      <c r="AZ112">
        <f>IF(OR($D112="",U112="",9&gt;$F112),0,IF(UPPER(TRIM(U112))=IFERROR(INDEX(Key!$C$2:$C$263,MATCH($D112*100+9,Key!$G$2:$G$263,0)),"#"),1,0))</f>
        <v/>
      </c>
      <c r="BA112">
        <f>IF(OR($D112="",V112="",10&gt;$F112),0,IF(UPPER(TRIM(V112))=IFERROR(INDEX(Key!$C$2:$C$263,MATCH($D112*100+10,Key!$G$2:$G$263,0)),"#"),1,0))</f>
        <v/>
      </c>
      <c r="BB112">
        <f>IF(OR($D112="",W112="",11&gt;$F112),0,IF(UPPER(TRIM(W112))=IFERROR(INDEX(Key!$C$2:$C$263,MATCH($D112*100+11,Key!$G$2:$G$263,0)),"#"),1,0))</f>
        <v/>
      </c>
      <c r="BC112">
        <f>IF(OR($D112="",X112="",12&gt;$F112),0,IF(UPPER(TRIM(X112))=IFERROR(INDEX(Key!$C$2:$C$263,MATCH($D112*100+12,Key!$G$2:$G$263,0)),"#"),1,0))</f>
        <v/>
      </c>
      <c r="BD112">
        <f>IF(OR($D112="",Y112="",13&gt;$F112),0,IF(UPPER(TRIM(Y112))=IFERROR(INDEX(Key!$C$2:$C$263,MATCH($D112*100+13,Key!$G$2:$G$263,0)),"#"),1,0))</f>
        <v/>
      </c>
      <c r="BE112">
        <f>IF(OR($D112="",Z112="",14&gt;$F112),0,IF(UPPER(TRIM(Z112))=IFERROR(INDEX(Key!$C$2:$C$263,MATCH($D112*100+14,Key!$G$2:$G$263,0)),"#"),1,0))</f>
        <v/>
      </c>
      <c r="BF112">
        <f>IF(OR($D112="",AA112="",15&gt;$F112),0,IF(UPPER(TRIM(AA112))=IFERROR(INDEX(Key!$C$2:$C$263,MATCH($D112*100+15,Key!$G$2:$G$263,0)),"#"),1,0))</f>
        <v/>
      </c>
      <c r="BG112">
        <f>IF(OR($D112="",AB112="",16&gt;$F112),0,IF(UPPER(TRIM(AB112))=IFERROR(INDEX(Key!$C$2:$C$263,MATCH($D112*100+16,Key!$G$2:$G$263,0)),"#"),1,0))</f>
        <v/>
      </c>
      <c r="BH112">
        <f>IF(OR($D112="",AC112="",17&gt;$F112),0,IF(UPPER(TRIM(AC112))=IFERROR(INDEX(Key!$C$2:$C$263,MATCH($D112*100+17,Key!$G$2:$G$263,0)),"#"),1,0))</f>
        <v/>
      </c>
      <c r="BI112">
        <f>IF(OR($D112="",AD112="",18&gt;$F112),0,IF(UPPER(TRIM(AD112))=IFERROR(INDEX(Key!$C$2:$C$263,MATCH($D112*100+18,Key!$G$2:$G$263,0)),"#"),1,0))</f>
        <v/>
      </c>
      <c r="BJ112">
        <f>IF(OR($D112="",AE112="",19&gt;$F112),0,IF(UPPER(TRIM(AE112))=IFERROR(INDEX(Key!$C$2:$C$263,MATCH($D112*100+19,Key!$G$2:$G$263,0)),"#"),1,0))</f>
        <v/>
      </c>
      <c r="BK112">
        <f>IF(OR($D112="",AF112="",20&gt;$F112),0,IF(UPPER(TRIM(AF112))=IFERROR(INDEX(Key!$C$2:$C$263,MATCH($D112*100+20,Key!$G$2:$G$263,0)),"#"),1,0))</f>
        <v/>
      </c>
      <c r="BL112">
        <f>IF(OR($D112="",AG112="",21&gt;$F112),0,IF(UPPER(TRIM(AG112))=IFERROR(INDEX(Key!$C$2:$C$263,MATCH($D112*100+21,Key!$G$2:$G$263,0)),"#"),1,0))</f>
        <v/>
      </c>
      <c r="BM112">
        <f>IF(OR($D112="",AH112="",22&gt;$F112),0,IF(UPPER(TRIM(AH112))=IFERROR(INDEX(Key!$C$2:$C$263,MATCH($D112*100+22,Key!$G$2:$G$263,0)),"#"),1,0))</f>
        <v/>
      </c>
      <c r="BN112">
        <f>IF(OR($D112="",AI112="",23&gt;$F112),0,IF(UPPER(TRIM(AI112))=IFERROR(INDEX(Key!$C$2:$C$263,MATCH($D112*100+23,Key!$G$2:$G$263,0)),"#"),1,0))</f>
        <v/>
      </c>
      <c r="BO112">
        <f>IF(OR($D112="",AJ112="",24&gt;$F112),0,IF(UPPER(TRIM(AJ112))=IFERROR(INDEX(Key!$C$2:$C$263,MATCH($D112*100+24,Key!$G$2:$G$263,0)),"#"),1,0))</f>
        <v/>
      </c>
      <c r="BP112">
        <f>IF(OR($D112="",AK112="",25&gt;$F112),0,IF(UPPER(TRIM(AK112))=IFERROR(INDEX(Key!$C$2:$C$263,MATCH($D112*100+25,Key!$G$2:$G$263,0)),"#"),1,0))</f>
        <v/>
      </c>
      <c r="BQ112">
        <f>IF(OR($D112="",AL112="",26&gt;$F112),0,IF(UPPER(TRIM(AL112))=IFERROR(INDEX(Key!$C$2:$C$263,MATCH($D112*100+26,Key!$G$2:$G$263,0)),"#"),1,0))</f>
        <v/>
      </c>
      <c r="BR112">
        <f>IF(OR($D112="",AM112="",27&gt;$F112),0,IF(UPPER(TRIM(AM112))=IFERROR(INDEX(Key!$C$2:$C$263,MATCH($D112*100+27,Key!$G$2:$G$263,0)),"#"),1,0))</f>
        <v/>
      </c>
      <c r="BS112">
        <f>IF(OR($D112="",AN112="",28&gt;$F112),0,IF(UPPER(TRIM(AN112))=IFERROR(INDEX(Key!$C$2:$C$263,MATCH($D112*100+28,Key!$G$2:$G$263,0)),"#"),1,0))</f>
        <v/>
      </c>
      <c r="BT112">
        <f>IF(OR($D112="",AO112="",29&gt;$F112),0,IF(UPPER(TRIM(AO112))=IFERROR(INDEX(Key!$C$2:$C$263,MATCH($D112*100+29,Key!$G$2:$G$263,0)),"#"),1,0))</f>
        <v/>
      </c>
      <c r="BU112">
        <f>IF(OR($D112="",AP112="",30&gt;$F112),0,IF(UPPER(TRIM(AP112))=IFERROR(INDEX(Key!$C$2:$C$263,MATCH($D112*100+30,Key!$G$2:$G$263,0)),"#"),1,0))</f>
        <v/>
      </c>
    </row>
    <row r="113">
      <c r="A113" s="6" t="n"/>
      <c r="B113" s="6" t="n"/>
      <c r="C113" s="6" t="n"/>
      <c r="D113" s="6" t="n"/>
      <c r="E113" s="7">
        <f>IF($D113="","",IFERROR(INDEX(Papers!$B$2:$B$12,MATCH($D113,Papers!$A$2:$A$12,0)),"?"))</f>
        <v/>
      </c>
      <c r="F113" s="7">
        <f>IF($D113="","",IFERROR(INDEX(Papers!$C$2:$C$12,MATCH($D113,Papers!$A$2:$A$12,0)),0))</f>
        <v/>
      </c>
      <c r="G113" s="7">
        <f>IF($D113="","",COUNTIF(M113:AP113,"?*"))</f>
        <v/>
      </c>
      <c r="H113" s="7">
        <f>IF($D113="","",SUM(AR113:BU113))</f>
        <v/>
      </c>
      <c r="I113" s="7">
        <f>IF($D113="","",G113-H113)</f>
        <v/>
      </c>
      <c r="J113" s="7">
        <f>IF($D113="","",F113-G113)</f>
        <v/>
      </c>
      <c r="K113" s="7">
        <f>IF($D113="","",H113)</f>
        <v/>
      </c>
      <c r="L113" s="7">
        <f>IF($D113="","",IF(F113=0,"",ROUND(H113/F113*100,1)))</f>
        <v/>
      </c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R113">
        <f>IF(OR($D113="",M113="",1&gt;$F113),0,IF(UPPER(TRIM(M113))=IFERROR(INDEX(Key!$C$2:$C$263,MATCH($D113*100+1,Key!$G$2:$G$263,0)),"#"),1,0))</f>
        <v/>
      </c>
      <c r="AS113">
        <f>IF(OR($D113="",N113="",2&gt;$F113),0,IF(UPPER(TRIM(N113))=IFERROR(INDEX(Key!$C$2:$C$263,MATCH($D113*100+2,Key!$G$2:$G$263,0)),"#"),1,0))</f>
        <v/>
      </c>
      <c r="AT113">
        <f>IF(OR($D113="",O113="",3&gt;$F113),0,IF(UPPER(TRIM(O113))=IFERROR(INDEX(Key!$C$2:$C$263,MATCH($D113*100+3,Key!$G$2:$G$263,0)),"#"),1,0))</f>
        <v/>
      </c>
      <c r="AU113">
        <f>IF(OR($D113="",P113="",4&gt;$F113),0,IF(UPPER(TRIM(P113))=IFERROR(INDEX(Key!$C$2:$C$263,MATCH($D113*100+4,Key!$G$2:$G$263,0)),"#"),1,0))</f>
        <v/>
      </c>
      <c r="AV113">
        <f>IF(OR($D113="",Q113="",5&gt;$F113),0,IF(UPPER(TRIM(Q113))=IFERROR(INDEX(Key!$C$2:$C$263,MATCH($D113*100+5,Key!$G$2:$G$263,0)),"#"),1,0))</f>
        <v/>
      </c>
      <c r="AW113">
        <f>IF(OR($D113="",R113="",6&gt;$F113),0,IF(UPPER(TRIM(R113))=IFERROR(INDEX(Key!$C$2:$C$263,MATCH($D113*100+6,Key!$G$2:$G$263,0)),"#"),1,0))</f>
        <v/>
      </c>
      <c r="AX113">
        <f>IF(OR($D113="",S113="",7&gt;$F113),0,IF(UPPER(TRIM(S113))=IFERROR(INDEX(Key!$C$2:$C$263,MATCH($D113*100+7,Key!$G$2:$G$263,0)),"#"),1,0))</f>
        <v/>
      </c>
      <c r="AY113">
        <f>IF(OR($D113="",T113="",8&gt;$F113),0,IF(UPPER(TRIM(T113))=IFERROR(INDEX(Key!$C$2:$C$263,MATCH($D113*100+8,Key!$G$2:$G$263,0)),"#"),1,0))</f>
        <v/>
      </c>
      <c r="AZ113">
        <f>IF(OR($D113="",U113="",9&gt;$F113),0,IF(UPPER(TRIM(U113))=IFERROR(INDEX(Key!$C$2:$C$263,MATCH($D113*100+9,Key!$G$2:$G$263,0)),"#"),1,0))</f>
        <v/>
      </c>
      <c r="BA113">
        <f>IF(OR($D113="",V113="",10&gt;$F113),0,IF(UPPER(TRIM(V113))=IFERROR(INDEX(Key!$C$2:$C$263,MATCH($D113*100+10,Key!$G$2:$G$263,0)),"#"),1,0))</f>
        <v/>
      </c>
      <c r="BB113">
        <f>IF(OR($D113="",W113="",11&gt;$F113),0,IF(UPPER(TRIM(W113))=IFERROR(INDEX(Key!$C$2:$C$263,MATCH($D113*100+11,Key!$G$2:$G$263,0)),"#"),1,0))</f>
        <v/>
      </c>
      <c r="BC113">
        <f>IF(OR($D113="",X113="",12&gt;$F113),0,IF(UPPER(TRIM(X113))=IFERROR(INDEX(Key!$C$2:$C$263,MATCH($D113*100+12,Key!$G$2:$G$263,0)),"#"),1,0))</f>
        <v/>
      </c>
      <c r="BD113">
        <f>IF(OR($D113="",Y113="",13&gt;$F113),0,IF(UPPER(TRIM(Y113))=IFERROR(INDEX(Key!$C$2:$C$263,MATCH($D113*100+13,Key!$G$2:$G$263,0)),"#"),1,0))</f>
        <v/>
      </c>
      <c r="BE113">
        <f>IF(OR($D113="",Z113="",14&gt;$F113),0,IF(UPPER(TRIM(Z113))=IFERROR(INDEX(Key!$C$2:$C$263,MATCH($D113*100+14,Key!$G$2:$G$263,0)),"#"),1,0))</f>
        <v/>
      </c>
      <c r="BF113">
        <f>IF(OR($D113="",AA113="",15&gt;$F113),0,IF(UPPER(TRIM(AA113))=IFERROR(INDEX(Key!$C$2:$C$263,MATCH($D113*100+15,Key!$G$2:$G$263,0)),"#"),1,0))</f>
        <v/>
      </c>
      <c r="BG113">
        <f>IF(OR($D113="",AB113="",16&gt;$F113),0,IF(UPPER(TRIM(AB113))=IFERROR(INDEX(Key!$C$2:$C$263,MATCH($D113*100+16,Key!$G$2:$G$263,0)),"#"),1,0))</f>
        <v/>
      </c>
      <c r="BH113">
        <f>IF(OR($D113="",AC113="",17&gt;$F113),0,IF(UPPER(TRIM(AC113))=IFERROR(INDEX(Key!$C$2:$C$263,MATCH($D113*100+17,Key!$G$2:$G$263,0)),"#"),1,0))</f>
        <v/>
      </c>
      <c r="BI113">
        <f>IF(OR($D113="",AD113="",18&gt;$F113),0,IF(UPPER(TRIM(AD113))=IFERROR(INDEX(Key!$C$2:$C$263,MATCH($D113*100+18,Key!$G$2:$G$263,0)),"#"),1,0))</f>
        <v/>
      </c>
      <c r="BJ113">
        <f>IF(OR($D113="",AE113="",19&gt;$F113),0,IF(UPPER(TRIM(AE113))=IFERROR(INDEX(Key!$C$2:$C$263,MATCH($D113*100+19,Key!$G$2:$G$263,0)),"#"),1,0))</f>
        <v/>
      </c>
      <c r="BK113">
        <f>IF(OR($D113="",AF113="",20&gt;$F113),0,IF(UPPER(TRIM(AF113))=IFERROR(INDEX(Key!$C$2:$C$263,MATCH($D113*100+20,Key!$G$2:$G$263,0)),"#"),1,0))</f>
        <v/>
      </c>
      <c r="BL113">
        <f>IF(OR($D113="",AG113="",21&gt;$F113),0,IF(UPPER(TRIM(AG113))=IFERROR(INDEX(Key!$C$2:$C$263,MATCH($D113*100+21,Key!$G$2:$G$263,0)),"#"),1,0))</f>
        <v/>
      </c>
      <c r="BM113">
        <f>IF(OR($D113="",AH113="",22&gt;$F113),0,IF(UPPER(TRIM(AH113))=IFERROR(INDEX(Key!$C$2:$C$263,MATCH($D113*100+22,Key!$G$2:$G$263,0)),"#"),1,0))</f>
        <v/>
      </c>
      <c r="BN113">
        <f>IF(OR($D113="",AI113="",23&gt;$F113),0,IF(UPPER(TRIM(AI113))=IFERROR(INDEX(Key!$C$2:$C$263,MATCH($D113*100+23,Key!$G$2:$G$263,0)),"#"),1,0))</f>
        <v/>
      </c>
      <c r="BO113">
        <f>IF(OR($D113="",AJ113="",24&gt;$F113),0,IF(UPPER(TRIM(AJ113))=IFERROR(INDEX(Key!$C$2:$C$263,MATCH($D113*100+24,Key!$G$2:$G$263,0)),"#"),1,0))</f>
        <v/>
      </c>
      <c r="BP113">
        <f>IF(OR($D113="",AK113="",25&gt;$F113),0,IF(UPPER(TRIM(AK113))=IFERROR(INDEX(Key!$C$2:$C$263,MATCH($D113*100+25,Key!$G$2:$G$263,0)),"#"),1,0))</f>
        <v/>
      </c>
      <c r="BQ113">
        <f>IF(OR($D113="",AL113="",26&gt;$F113),0,IF(UPPER(TRIM(AL113))=IFERROR(INDEX(Key!$C$2:$C$263,MATCH($D113*100+26,Key!$G$2:$G$263,0)),"#"),1,0))</f>
        <v/>
      </c>
      <c r="BR113">
        <f>IF(OR($D113="",AM113="",27&gt;$F113),0,IF(UPPER(TRIM(AM113))=IFERROR(INDEX(Key!$C$2:$C$263,MATCH($D113*100+27,Key!$G$2:$G$263,0)),"#"),1,0))</f>
        <v/>
      </c>
      <c r="BS113">
        <f>IF(OR($D113="",AN113="",28&gt;$F113),0,IF(UPPER(TRIM(AN113))=IFERROR(INDEX(Key!$C$2:$C$263,MATCH($D113*100+28,Key!$G$2:$G$263,0)),"#"),1,0))</f>
        <v/>
      </c>
      <c r="BT113">
        <f>IF(OR($D113="",AO113="",29&gt;$F113),0,IF(UPPER(TRIM(AO113))=IFERROR(INDEX(Key!$C$2:$C$263,MATCH($D113*100+29,Key!$G$2:$G$263,0)),"#"),1,0))</f>
        <v/>
      </c>
      <c r="BU113">
        <f>IF(OR($D113="",AP113="",30&gt;$F113),0,IF(UPPER(TRIM(AP113))=IFERROR(INDEX(Key!$C$2:$C$263,MATCH($D113*100+30,Key!$G$2:$G$263,0)),"#"),1,0))</f>
        <v/>
      </c>
    </row>
    <row r="114">
      <c r="A114" s="6" t="n"/>
      <c r="B114" s="6" t="n"/>
      <c r="C114" s="6" t="n"/>
      <c r="D114" s="6" t="n"/>
      <c r="E114" s="7">
        <f>IF($D114="","",IFERROR(INDEX(Papers!$B$2:$B$12,MATCH($D114,Papers!$A$2:$A$12,0)),"?"))</f>
        <v/>
      </c>
      <c r="F114" s="7">
        <f>IF($D114="","",IFERROR(INDEX(Papers!$C$2:$C$12,MATCH($D114,Papers!$A$2:$A$12,0)),0))</f>
        <v/>
      </c>
      <c r="G114" s="7">
        <f>IF($D114="","",COUNTIF(M114:AP114,"?*"))</f>
        <v/>
      </c>
      <c r="H114" s="7">
        <f>IF($D114="","",SUM(AR114:BU114))</f>
        <v/>
      </c>
      <c r="I114" s="7">
        <f>IF($D114="","",G114-H114)</f>
        <v/>
      </c>
      <c r="J114" s="7">
        <f>IF($D114="","",F114-G114)</f>
        <v/>
      </c>
      <c r="K114" s="7">
        <f>IF($D114="","",H114)</f>
        <v/>
      </c>
      <c r="L114" s="7">
        <f>IF($D114="","",IF(F114=0,"",ROUND(H114/F114*100,1)))</f>
        <v/>
      </c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R114">
        <f>IF(OR($D114="",M114="",1&gt;$F114),0,IF(UPPER(TRIM(M114))=IFERROR(INDEX(Key!$C$2:$C$263,MATCH($D114*100+1,Key!$G$2:$G$263,0)),"#"),1,0))</f>
        <v/>
      </c>
      <c r="AS114">
        <f>IF(OR($D114="",N114="",2&gt;$F114),0,IF(UPPER(TRIM(N114))=IFERROR(INDEX(Key!$C$2:$C$263,MATCH($D114*100+2,Key!$G$2:$G$263,0)),"#"),1,0))</f>
        <v/>
      </c>
      <c r="AT114">
        <f>IF(OR($D114="",O114="",3&gt;$F114),0,IF(UPPER(TRIM(O114))=IFERROR(INDEX(Key!$C$2:$C$263,MATCH($D114*100+3,Key!$G$2:$G$263,0)),"#"),1,0))</f>
        <v/>
      </c>
      <c r="AU114">
        <f>IF(OR($D114="",P114="",4&gt;$F114),0,IF(UPPER(TRIM(P114))=IFERROR(INDEX(Key!$C$2:$C$263,MATCH($D114*100+4,Key!$G$2:$G$263,0)),"#"),1,0))</f>
        <v/>
      </c>
      <c r="AV114">
        <f>IF(OR($D114="",Q114="",5&gt;$F114),0,IF(UPPER(TRIM(Q114))=IFERROR(INDEX(Key!$C$2:$C$263,MATCH($D114*100+5,Key!$G$2:$G$263,0)),"#"),1,0))</f>
        <v/>
      </c>
      <c r="AW114">
        <f>IF(OR($D114="",R114="",6&gt;$F114),0,IF(UPPER(TRIM(R114))=IFERROR(INDEX(Key!$C$2:$C$263,MATCH($D114*100+6,Key!$G$2:$G$263,0)),"#"),1,0))</f>
        <v/>
      </c>
      <c r="AX114">
        <f>IF(OR($D114="",S114="",7&gt;$F114),0,IF(UPPER(TRIM(S114))=IFERROR(INDEX(Key!$C$2:$C$263,MATCH($D114*100+7,Key!$G$2:$G$263,0)),"#"),1,0))</f>
        <v/>
      </c>
      <c r="AY114">
        <f>IF(OR($D114="",T114="",8&gt;$F114),0,IF(UPPER(TRIM(T114))=IFERROR(INDEX(Key!$C$2:$C$263,MATCH($D114*100+8,Key!$G$2:$G$263,0)),"#"),1,0))</f>
        <v/>
      </c>
      <c r="AZ114">
        <f>IF(OR($D114="",U114="",9&gt;$F114),0,IF(UPPER(TRIM(U114))=IFERROR(INDEX(Key!$C$2:$C$263,MATCH($D114*100+9,Key!$G$2:$G$263,0)),"#"),1,0))</f>
        <v/>
      </c>
      <c r="BA114">
        <f>IF(OR($D114="",V114="",10&gt;$F114),0,IF(UPPER(TRIM(V114))=IFERROR(INDEX(Key!$C$2:$C$263,MATCH($D114*100+10,Key!$G$2:$G$263,0)),"#"),1,0))</f>
        <v/>
      </c>
      <c r="BB114">
        <f>IF(OR($D114="",W114="",11&gt;$F114),0,IF(UPPER(TRIM(W114))=IFERROR(INDEX(Key!$C$2:$C$263,MATCH($D114*100+11,Key!$G$2:$G$263,0)),"#"),1,0))</f>
        <v/>
      </c>
      <c r="BC114">
        <f>IF(OR($D114="",X114="",12&gt;$F114),0,IF(UPPER(TRIM(X114))=IFERROR(INDEX(Key!$C$2:$C$263,MATCH($D114*100+12,Key!$G$2:$G$263,0)),"#"),1,0))</f>
        <v/>
      </c>
      <c r="BD114">
        <f>IF(OR($D114="",Y114="",13&gt;$F114),0,IF(UPPER(TRIM(Y114))=IFERROR(INDEX(Key!$C$2:$C$263,MATCH($D114*100+13,Key!$G$2:$G$263,0)),"#"),1,0))</f>
        <v/>
      </c>
      <c r="BE114">
        <f>IF(OR($D114="",Z114="",14&gt;$F114),0,IF(UPPER(TRIM(Z114))=IFERROR(INDEX(Key!$C$2:$C$263,MATCH($D114*100+14,Key!$G$2:$G$263,0)),"#"),1,0))</f>
        <v/>
      </c>
      <c r="BF114">
        <f>IF(OR($D114="",AA114="",15&gt;$F114),0,IF(UPPER(TRIM(AA114))=IFERROR(INDEX(Key!$C$2:$C$263,MATCH($D114*100+15,Key!$G$2:$G$263,0)),"#"),1,0))</f>
        <v/>
      </c>
      <c r="BG114">
        <f>IF(OR($D114="",AB114="",16&gt;$F114),0,IF(UPPER(TRIM(AB114))=IFERROR(INDEX(Key!$C$2:$C$263,MATCH($D114*100+16,Key!$G$2:$G$263,0)),"#"),1,0))</f>
        <v/>
      </c>
      <c r="BH114">
        <f>IF(OR($D114="",AC114="",17&gt;$F114),0,IF(UPPER(TRIM(AC114))=IFERROR(INDEX(Key!$C$2:$C$263,MATCH($D114*100+17,Key!$G$2:$G$263,0)),"#"),1,0))</f>
        <v/>
      </c>
      <c r="BI114">
        <f>IF(OR($D114="",AD114="",18&gt;$F114),0,IF(UPPER(TRIM(AD114))=IFERROR(INDEX(Key!$C$2:$C$263,MATCH($D114*100+18,Key!$G$2:$G$263,0)),"#"),1,0))</f>
        <v/>
      </c>
      <c r="BJ114">
        <f>IF(OR($D114="",AE114="",19&gt;$F114),0,IF(UPPER(TRIM(AE114))=IFERROR(INDEX(Key!$C$2:$C$263,MATCH($D114*100+19,Key!$G$2:$G$263,0)),"#"),1,0))</f>
        <v/>
      </c>
      <c r="BK114">
        <f>IF(OR($D114="",AF114="",20&gt;$F114),0,IF(UPPER(TRIM(AF114))=IFERROR(INDEX(Key!$C$2:$C$263,MATCH($D114*100+20,Key!$G$2:$G$263,0)),"#"),1,0))</f>
        <v/>
      </c>
      <c r="BL114">
        <f>IF(OR($D114="",AG114="",21&gt;$F114),0,IF(UPPER(TRIM(AG114))=IFERROR(INDEX(Key!$C$2:$C$263,MATCH($D114*100+21,Key!$G$2:$G$263,0)),"#"),1,0))</f>
        <v/>
      </c>
      <c r="BM114">
        <f>IF(OR($D114="",AH114="",22&gt;$F114),0,IF(UPPER(TRIM(AH114))=IFERROR(INDEX(Key!$C$2:$C$263,MATCH($D114*100+22,Key!$G$2:$G$263,0)),"#"),1,0))</f>
        <v/>
      </c>
      <c r="BN114">
        <f>IF(OR($D114="",AI114="",23&gt;$F114),0,IF(UPPER(TRIM(AI114))=IFERROR(INDEX(Key!$C$2:$C$263,MATCH($D114*100+23,Key!$G$2:$G$263,0)),"#"),1,0))</f>
        <v/>
      </c>
      <c r="BO114">
        <f>IF(OR($D114="",AJ114="",24&gt;$F114),0,IF(UPPER(TRIM(AJ114))=IFERROR(INDEX(Key!$C$2:$C$263,MATCH($D114*100+24,Key!$G$2:$G$263,0)),"#"),1,0))</f>
        <v/>
      </c>
      <c r="BP114">
        <f>IF(OR($D114="",AK114="",25&gt;$F114),0,IF(UPPER(TRIM(AK114))=IFERROR(INDEX(Key!$C$2:$C$263,MATCH($D114*100+25,Key!$G$2:$G$263,0)),"#"),1,0))</f>
        <v/>
      </c>
      <c r="BQ114">
        <f>IF(OR($D114="",AL114="",26&gt;$F114),0,IF(UPPER(TRIM(AL114))=IFERROR(INDEX(Key!$C$2:$C$263,MATCH($D114*100+26,Key!$G$2:$G$263,0)),"#"),1,0))</f>
        <v/>
      </c>
      <c r="BR114">
        <f>IF(OR($D114="",AM114="",27&gt;$F114),0,IF(UPPER(TRIM(AM114))=IFERROR(INDEX(Key!$C$2:$C$263,MATCH($D114*100+27,Key!$G$2:$G$263,0)),"#"),1,0))</f>
        <v/>
      </c>
      <c r="BS114">
        <f>IF(OR($D114="",AN114="",28&gt;$F114),0,IF(UPPER(TRIM(AN114))=IFERROR(INDEX(Key!$C$2:$C$263,MATCH($D114*100+28,Key!$G$2:$G$263,0)),"#"),1,0))</f>
        <v/>
      </c>
      <c r="BT114">
        <f>IF(OR($D114="",AO114="",29&gt;$F114),0,IF(UPPER(TRIM(AO114))=IFERROR(INDEX(Key!$C$2:$C$263,MATCH($D114*100+29,Key!$G$2:$G$263,0)),"#"),1,0))</f>
        <v/>
      </c>
      <c r="BU114">
        <f>IF(OR($D114="",AP114="",30&gt;$F114),0,IF(UPPER(TRIM(AP114))=IFERROR(INDEX(Key!$C$2:$C$263,MATCH($D114*100+30,Key!$G$2:$G$263,0)),"#"),1,0))</f>
        <v/>
      </c>
    </row>
    <row r="115">
      <c r="A115" s="6" t="n"/>
      <c r="B115" s="6" t="n"/>
      <c r="C115" s="6" t="n"/>
      <c r="D115" s="6" t="n"/>
      <c r="E115" s="7">
        <f>IF($D115="","",IFERROR(INDEX(Papers!$B$2:$B$12,MATCH($D115,Papers!$A$2:$A$12,0)),"?"))</f>
        <v/>
      </c>
      <c r="F115" s="7">
        <f>IF($D115="","",IFERROR(INDEX(Papers!$C$2:$C$12,MATCH($D115,Papers!$A$2:$A$12,0)),0))</f>
        <v/>
      </c>
      <c r="G115" s="7">
        <f>IF($D115="","",COUNTIF(M115:AP115,"?*"))</f>
        <v/>
      </c>
      <c r="H115" s="7">
        <f>IF($D115="","",SUM(AR115:BU115))</f>
        <v/>
      </c>
      <c r="I115" s="7">
        <f>IF($D115="","",G115-H115)</f>
        <v/>
      </c>
      <c r="J115" s="7">
        <f>IF($D115="","",F115-G115)</f>
        <v/>
      </c>
      <c r="K115" s="7">
        <f>IF($D115="","",H115)</f>
        <v/>
      </c>
      <c r="L115" s="7">
        <f>IF($D115="","",IF(F115=0,"",ROUND(H115/F115*100,1)))</f>
        <v/>
      </c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R115">
        <f>IF(OR($D115="",M115="",1&gt;$F115),0,IF(UPPER(TRIM(M115))=IFERROR(INDEX(Key!$C$2:$C$263,MATCH($D115*100+1,Key!$G$2:$G$263,0)),"#"),1,0))</f>
        <v/>
      </c>
      <c r="AS115">
        <f>IF(OR($D115="",N115="",2&gt;$F115),0,IF(UPPER(TRIM(N115))=IFERROR(INDEX(Key!$C$2:$C$263,MATCH($D115*100+2,Key!$G$2:$G$263,0)),"#"),1,0))</f>
        <v/>
      </c>
      <c r="AT115">
        <f>IF(OR($D115="",O115="",3&gt;$F115),0,IF(UPPER(TRIM(O115))=IFERROR(INDEX(Key!$C$2:$C$263,MATCH($D115*100+3,Key!$G$2:$G$263,0)),"#"),1,0))</f>
        <v/>
      </c>
      <c r="AU115">
        <f>IF(OR($D115="",P115="",4&gt;$F115),0,IF(UPPER(TRIM(P115))=IFERROR(INDEX(Key!$C$2:$C$263,MATCH($D115*100+4,Key!$G$2:$G$263,0)),"#"),1,0))</f>
        <v/>
      </c>
      <c r="AV115">
        <f>IF(OR($D115="",Q115="",5&gt;$F115),0,IF(UPPER(TRIM(Q115))=IFERROR(INDEX(Key!$C$2:$C$263,MATCH($D115*100+5,Key!$G$2:$G$263,0)),"#"),1,0))</f>
        <v/>
      </c>
      <c r="AW115">
        <f>IF(OR($D115="",R115="",6&gt;$F115),0,IF(UPPER(TRIM(R115))=IFERROR(INDEX(Key!$C$2:$C$263,MATCH($D115*100+6,Key!$G$2:$G$263,0)),"#"),1,0))</f>
        <v/>
      </c>
      <c r="AX115">
        <f>IF(OR($D115="",S115="",7&gt;$F115),0,IF(UPPER(TRIM(S115))=IFERROR(INDEX(Key!$C$2:$C$263,MATCH($D115*100+7,Key!$G$2:$G$263,0)),"#"),1,0))</f>
        <v/>
      </c>
      <c r="AY115">
        <f>IF(OR($D115="",T115="",8&gt;$F115),0,IF(UPPER(TRIM(T115))=IFERROR(INDEX(Key!$C$2:$C$263,MATCH($D115*100+8,Key!$G$2:$G$263,0)),"#"),1,0))</f>
        <v/>
      </c>
      <c r="AZ115">
        <f>IF(OR($D115="",U115="",9&gt;$F115),0,IF(UPPER(TRIM(U115))=IFERROR(INDEX(Key!$C$2:$C$263,MATCH($D115*100+9,Key!$G$2:$G$263,0)),"#"),1,0))</f>
        <v/>
      </c>
      <c r="BA115">
        <f>IF(OR($D115="",V115="",10&gt;$F115),0,IF(UPPER(TRIM(V115))=IFERROR(INDEX(Key!$C$2:$C$263,MATCH($D115*100+10,Key!$G$2:$G$263,0)),"#"),1,0))</f>
        <v/>
      </c>
      <c r="BB115">
        <f>IF(OR($D115="",W115="",11&gt;$F115),0,IF(UPPER(TRIM(W115))=IFERROR(INDEX(Key!$C$2:$C$263,MATCH($D115*100+11,Key!$G$2:$G$263,0)),"#"),1,0))</f>
        <v/>
      </c>
      <c r="BC115">
        <f>IF(OR($D115="",X115="",12&gt;$F115),0,IF(UPPER(TRIM(X115))=IFERROR(INDEX(Key!$C$2:$C$263,MATCH($D115*100+12,Key!$G$2:$G$263,0)),"#"),1,0))</f>
        <v/>
      </c>
      <c r="BD115">
        <f>IF(OR($D115="",Y115="",13&gt;$F115),0,IF(UPPER(TRIM(Y115))=IFERROR(INDEX(Key!$C$2:$C$263,MATCH($D115*100+13,Key!$G$2:$G$263,0)),"#"),1,0))</f>
        <v/>
      </c>
      <c r="BE115">
        <f>IF(OR($D115="",Z115="",14&gt;$F115),0,IF(UPPER(TRIM(Z115))=IFERROR(INDEX(Key!$C$2:$C$263,MATCH($D115*100+14,Key!$G$2:$G$263,0)),"#"),1,0))</f>
        <v/>
      </c>
      <c r="BF115">
        <f>IF(OR($D115="",AA115="",15&gt;$F115),0,IF(UPPER(TRIM(AA115))=IFERROR(INDEX(Key!$C$2:$C$263,MATCH($D115*100+15,Key!$G$2:$G$263,0)),"#"),1,0))</f>
        <v/>
      </c>
      <c r="BG115">
        <f>IF(OR($D115="",AB115="",16&gt;$F115),0,IF(UPPER(TRIM(AB115))=IFERROR(INDEX(Key!$C$2:$C$263,MATCH($D115*100+16,Key!$G$2:$G$263,0)),"#"),1,0))</f>
        <v/>
      </c>
      <c r="BH115">
        <f>IF(OR($D115="",AC115="",17&gt;$F115),0,IF(UPPER(TRIM(AC115))=IFERROR(INDEX(Key!$C$2:$C$263,MATCH($D115*100+17,Key!$G$2:$G$263,0)),"#"),1,0))</f>
        <v/>
      </c>
      <c r="BI115">
        <f>IF(OR($D115="",AD115="",18&gt;$F115),0,IF(UPPER(TRIM(AD115))=IFERROR(INDEX(Key!$C$2:$C$263,MATCH($D115*100+18,Key!$G$2:$G$263,0)),"#"),1,0))</f>
        <v/>
      </c>
      <c r="BJ115">
        <f>IF(OR($D115="",AE115="",19&gt;$F115),0,IF(UPPER(TRIM(AE115))=IFERROR(INDEX(Key!$C$2:$C$263,MATCH($D115*100+19,Key!$G$2:$G$263,0)),"#"),1,0))</f>
        <v/>
      </c>
      <c r="BK115">
        <f>IF(OR($D115="",AF115="",20&gt;$F115),0,IF(UPPER(TRIM(AF115))=IFERROR(INDEX(Key!$C$2:$C$263,MATCH($D115*100+20,Key!$G$2:$G$263,0)),"#"),1,0))</f>
        <v/>
      </c>
      <c r="BL115">
        <f>IF(OR($D115="",AG115="",21&gt;$F115),0,IF(UPPER(TRIM(AG115))=IFERROR(INDEX(Key!$C$2:$C$263,MATCH($D115*100+21,Key!$G$2:$G$263,0)),"#"),1,0))</f>
        <v/>
      </c>
      <c r="BM115">
        <f>IF(OR($D115="",AH115="",22&gt;$F115),0,IF(UPPER(TRIM(AH115))=IFERROR(INDEX(Key!$C$2:$C$263,MATCH($D115*100+22,Key!$G$2:$G$263,0)),"#"),1,0))</f>
        <v/>
      </c>
      <c r="BN115">
        <f>IF(OR($D115="",AI115="",23&gt;$F115),0,IF(UPPER(TRIM(AI115))=IFERROR(INDEX(Key!$C$2:$C$263,MATCH($D115*100+23,Key!$G$2:$G$263,0)),"#"),1,0))</f>
        <v/>
      </c>
      <c r="BO115">
        <f>IF(OR($D115="",AJ115="",24&gt;$F115),0,IF(UPPER(TRIM(AJ115))=IFERROR(INDEX(Key!$C$2:$C$263,MATCH($D115*100+24,Key!$G$2:$G$263,0)),"#"),1,0))</f>
        <v/>
      </c>
      <c r="BP115">
        <f>IF(OR($D115="",AK115="",25&gt;$F115),0,IF(UPPER(TRIM(AK115))=IFERROR(INDEX(Key!$C$2:$C$263,MATCH($D115*100+25,Key!$G$2:$G$263,0)),"#"),1,0))</f>
        <v/>
      </c>
      <c r="BQ115">
        <f>IF(OR($D115="",AL115="",26&gt;$F115),0,IF(UPPER(TRIM(AL115))=IFERROR(INDEX(Key!$C$2:$C$263,MATCH($D115*100+26,Key!$G$2:$G$263,0)),"#"),1,0))</f>
        <v/>
      </c>
      <c r="BR115">
        <f>IF(OR($D115="",AM115="",27&gt;$F115),0,IF(UPPER(TRIM(AM115))=IFERROR(INDEX(Key!$C$2:$C$263,MATCH($D115*100+27,Key!$G$2:$G$263,0)),"#"),1,0))</f>
        <v/>
      </c>
      <c r="BS115">
        <f>IF(OR($D115="",AN115="",28&gt;$F115),0,IF(UPPER(TRIM(AN115))=IFERROR(INDEX(Key!$C$2:$C$263,MATCH($D115*100+28,Key!$G$2:$G$263,0)),"#"),1,0))</f>
        <v/>
      </c>
      <c r="BT115">
        <f>IF(OR($D115="",AO115="",29&gt;$F115),0,IF(UPPER(TRIM(AO115))=IFERROR(INDEX(Key!$C$2:$C$263,MATCH($D115*100+29,Key!$G$2:$G$263,0)),"#"),1,0))</f>
        <v/>
      </c>
      <c r="BU115">
        <f>IF(OR($D115="",AP115="",30&gt;$F115),0,IF(UPPER(TRIM(AP115))=IFERROR(INDEX(Key!$C$2:$C$263,MATCH($D115*100+30,Key!$G$2:$G$263,0)),"#"),1,0))</f>
        <v/>
      </c>
    </row>
    <row r="116">
      <c r="A116" s="6" t="n"/>
      <c r="B116" s="6" t="n"/>
      <c r="C116" s="6" t="n"/>
      <c r="D116" s="6" t="n"/>
      <c r="E116" s="7">
        <f>IF($D116="","",IFERROR(INDEX(Papers!$B$2:$B$12,MATCH($D116,Papers!$A$2:$A$12,0)),"?"))</f>
        <v/>
      </c>
      <c r="F116" s="7">
        <f>IF($D116="","",IFERROR(INDEX(Papers!$C$2:$C$12,MATCH($D116,Papers!$A$2:$A$12,0)),0))</f>
        <v/>
      </c>
      <c r="G116" s="7">
        <f>IF($D116="","",COUNTIF(M116:AP116,"?*"))</f>
        <v/>
      </c>
      <c r="H116" s="7">
        <f>IF($D116="","",SUM(AR116:BU116))</f>
        <v/>
      </c>
      <c r="I116" s="7">
        <f>IF($D116="","",G116-H116)</f>
        <v/>
      </c>
      <c r="J116" s="7">
        <f>IF($D116="","",F116-G116)</f>
        <v/>
      </c>
      <c r="K116" s="7">
        <f>IF($D116="","",H116)</f>
        <v/>
      </c>
      <c r="L116" s="7">
        <f>IF($D116="","",IF(F116=0,"",ROUND(H116/F116*100,1)))</f>
        <v/>
      </c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R116">
        <f>IF(OR($D116="",M116="",1&gt;$F116),0,IF(UPPER(TRIM(M116))=IFERROR(INDEX(Key!$C$2:$C$263,MATCH($D116*100+1,Key!$G$2:$G$263,0)),"#"),1,0))</f>
        <v/>
      </c>
      <c r="AS116">
        <f>IF(OR($D116="",N116="",2&gt;$F116),0,IF(UPPER(TRIM(N116))=IFERROR(INDEX(Key!$C$2:$C$263,MATCH($D116*100+2,Key!$G$2:$G$263,0)),"#"),1,0))</f>
        <v/>
      </c>
      <c r="AT116">
        <f>IF(OR($D116="",O116="",3&gt;$F116),0,IF(UPPER(TRIM(O116))=IFERROR(INDEX(Key!$C$2:$C$263,MATCH($D116*100+3,Key!$G$2:$G$263,0)),"#"),1,0))</f>
        <v/>
      </c>
      <c r="AU116">
        <f>IF(OR($D116="",P116="",4&gt;$F116),0,IF(UPPER(TRIM(P116))=IFERROR(INDEX(Key!$C$2:$C$263,MATCH($D116*100+4,Key!$G$2:$G$263,0)),"#"),1,0))</f>
        <v/>
      </c>
      <c r="AV116">
        <f>IF(OR($D116="",Q116="",5&gt;$F116),0,IF(UPPER(TRIM(Q116))=IFERROR(INDEX(Key!$C$2:$C$263,MATCH($D116*100+5,Key!$G$2:$G$263,0)),"#"),1,0))</f>
        <v/>
      </c>
      <c r="AW116">
        <f>IF(OR($D116="",R116="",6&gt;$F116),0,IF(UPPER(TRIM(R116))=IFERROR(INDEX(Key!$C$2:$C$263,MATCH($D116*100+6,Key!$G$2:$G$263,0)),"#"),1,0))</f>
        <v/>
      </c>
      <c r="AX116">
        <f>IF(OR($D116="",S116="",7&gt;$F116),0,IF(UPPER(TRIM(S116))=IFERROR(INDEX(Key!$C$2:$C$263,MATCH($D116*100+7,Key!$G$2:$G$263,0)),"#"),1,0))</f>
        <v/>
      </c>
      <c r="AY116">
        <f>IF(OR($D116="",T116="",8&gt;$F116),0,IF(UPPER(TRIM(T116))=IFERROR(INDEX(Key!$C$2:$C$263,MATCH($D116*100+8,Key!$G$2:$G$263,0)),"#"),1,0))</f>
        <v/>
      </c>
      <c r="AZ116">
        <f>IF(OR($D116="",U116="",9&gt;$F116),0,IF(UPPER(TRIM(U116))=IFERROR(INDEX(Key!$C$2:$C$263,MATCH($D116*100+9,Key!$G$2:$G$263,0)),"#"),1,0))</f>
        <v/>
      </c>
      <c r="BA116">
        <f>IF(OR($D116="",V116="",10&gt;$F116),0,IF(UPPER(TRIM(V116))=IFERROR(INDEX(Key!$C$2:$C$263,MATCH($D116*100+10,Key!$G$2:$G$263,0)),"#"),1,0))</f>
        <v/>
      </c>
      <c r="BB116">
        <f>IF(OR($D116="",W116="",11&gt;$F116),0,IF(UPPER(TRIM(W116))=IFERROR(INDEX(Key!$C$2:$C$263,MATCH($D116*100+11,Key!$G$2:$G$263,0)),"#"),1,0))</f>
        <v/>
      </c>
      <c r="BC116">
        <f>IF(OR($D116="",X116="",12&gt;$F116),0,IF(UPPER(TRIM(X116))=IFERROR(INDEX(Key!$C$2:$C$263,MATCH($D116*100+12,Key!$G$2:$G$263,0)),"#"),1,0))</f>
        <v/>
      </c>
      <c r="BD116">
        <f>IF(OR($D116="",Y116="",13&gt;$F116),0,IF(UPPER(TRIM(Y116))=IFERROR(INDEX(Key!$C$2:$C$263,MATCH($D116*100+13,Key!$G$2:$G$263,0)),"#"),1,0))</f>
        <v/>
      </c>
      <c r="BE116">
        <f>IF(OR($D116="",Z116="",14&gt;$F116),0,IF(UPPER(TRIM(Z116))=IFERROR(INDEX(Key!$C$2:$C$263,MATCH($D116*100+14,Key!$G$2:$G$263,0)),"#"),1,0))</f>
        <v/>
      </c>
      <c r="BF116">
        <f>IF(OR($D116="",AA116="",15&gt;$F116),0,IF(UPPER(TRIM(AA116))=IFERROR(INDEX(Key!$C$2:$C$263,MATCH($D116*100+15,Key!$G$2:$G$263,0)),"#"),1,0))</f>
        <v/>
      </c>
      <c r="BG116">
        <f>IF(OR($D116="",AB116="",16&gt;$F116),0,IF(UPPER(TRIM(AB116))=IFERROR(INDEX(Key!$C$2:$C$263,MATCH($D116*100+16,Key!$G$2:$G$263,0)),"#"),1,0))</f>
        <v/>
      </c>
      <c r="BH116">
        <f>IF(OR($D116="",AC116="",17&gt;$F116),0,IF(UPPER(TRIM(AC116))=IFERROR(INDEX(Key!$C$2:$C$263,MATCH($D116*100+17,Key!$G$2:$G$263,0)),"#"),1,0))</f>
        <v/>
      </c>
      <c r="BI116">
        <f>IF(OR($D116="",AD116="",18&gt;$F116),0,IF(UPPER(TRIM(AD116))=IFERROR(INDEX(Key!$C$2:$C$263,MATCH($D116*100+18,Key!$G$2:$G$263,0)),"#"),1,0))</f>
        <v/>
      </c>
      <c r="BJ116">
        <f>IF(OR($D116="",AE116="",19&gt;$F116),0,IF(UPPER(TRIM(AE116))=IFERROR(INDEX(Key!$C$2:$C$263,MATCH($D116*100+19,Key!$G$2:$G$263,0)),"#"),1,0))</f>
        <v/>
      </c>
      <c r="BK116">
        <f>IF(OR($D116="",AF116="",20&gt;$F116),0,IF(UPPER(TRIM(AF116))=IFERROR(INDEX(Key!$C$2:$C$263,MATCH($D116*100+20,Key!$G$2:$G$263,0)),"#"),1,0))</f>
        <v/>
      </c>
      <c r="BL116">
        <f>IF(OR($D116="",AG116="",21&gt;$F116),0,IF(UPPER(TRIM(AG116))=IFERROR(INDEX(Key!$C$2:$C$263,MATCH($D116*100+21,Key!$G$2:$G$263,0)),"#"),1,0))</f>
        <v/>
      </c>
      <c r="BM116">
        <f>IF(OR($D116="",AH116="",22&gt;$F116),0,IF(UPPER(TRIM(AH116))=IFERROR(INDEX(Key!$C$2:$C$263,MATCH($D116*100+22,Key!$G$2:$G$263,0)),"#"),1,0))</f>
        <v/>
      </c>
      <c r="BN116">
        <f>IF(OR($D116="",AI116="",23&gt;$F116),0,IF(UPPER(TRIM(AI116))=IFERROR(INDEX(Key!$C$2:$C$263,MATCH($D116*100+23,Key!$G$2:$G$263,0)),"#"),1,0))</f>
        <v/>
      </c>
      <c r="BO116">
        <f>IF(OR($D116="",AJ116="",24&gt;$F116),0,IF(UPPER(TRIM(AJ116))=IFERROR(INDEX(Key!$C$2:$C$263,MATCH($D116*100+24,Key!$G$2:$G$263,0)),"#"),1,0))</f>
        <v/>
      </c>
      <c r="BP116">
        <f>IF(OR($D116="",AK116="",25&gt;$F116),0,IF(UPPER(TRIM(AK116))=IFERROR(INDEX(Key!$C$2:$C$263,MATCH($D116*100+25,Key!$G$2:$G$263,0)),"#"),1,0))</f>
        <v/>
      </c>
      <c r="BQ116">
        <f>IF(OR($D116="",AL116="",26&gt;$F116),0,IF(UPPER(TRIM(AL116))=IFERROR(INDEX(Key!$C$2:$C$263,MATCH($D116*100+26,Key!$G$2:$G$263,0)),"#"),1,0))</f>
        <v/>
      </c>
      <c r="BR116">
        <f>IF(OR($D116="",AM116="",27&gt;$F116),0,IF(UPPER(TRIM(AM116))=IFERROR(INDEX(Key!$C$2:$C$263,MATCH($D116*100+27,Key!$G$2:$G$263,0)),"#"),1,0))</f>
        <v/>
      </c>
      <c r="BS116">
        <f>IF(OR($D116="",AN116="",28&gt;$F116),0,IF(UPPER(TRIM(AN116))=IFERROR(INDEX(Key!$C$2:$C$263,MATCH($D116*100+28,Key!$G$2:$G$263,0)),"#"),1,0))</f>
        <v/>
      </c>
      <c r="BT116">
        <f>IF(OR($D116="",AO116="",29&gt;$F116),0,IF(UPPER(TRIM(AO116))=IFERROR(INDEX(Key!$C$2:$C$263,MATCH($D116*100+29,Key!$G$2:$G$263,0)),"#"),1,0))</f>
        <v/>
      </c>
      <c r="BU116">
        <f>IF(OR($D116="",AP116="",30&gt;$F116),0,IF(UPPER(TRIM(AP116))=IFERROR(INDEX(Key!$C$2:$C$263,MATCH($D116*100+30,Key!$G$2:$G$263,0)),"#"),1,0))</f>
        <v/>
      </c>
    </row>
    <row r="117">
      <c r="A117" s="6" t="n"/>
      <c r="B117" s="6" t="n"/>
      <c r="C117" s="6" t="n"/>
      <c r="D117" s="6" t="n"/>
      <c r="E117" s="7">
        <f>IF($D117="","",IFERROR(INDEX(Papers!$B$2:$B$12,MATCH($D117,Papers!$A$2:$A$12,0)),"?"))</f>
        <v/>
      </c>
      <c r="F117" s="7">
        <f>IF($D117="","",IFERROR(INDEX(Papers!$C$2:$C$12,MATCH($D117,Papers!$A$2:$A$12,0)),0))</f>
        <v/>
      </c>
      <c r="G117" s="7">
        <f>IF($D117="","",COUNTIF(M117:AP117,"?*"))</f>
        <v/>
      </c>
      <c r="H117" s="7">
        <f>IF($D117="","",SUM(AR117:BU117))</f>
        <v/>
      </c>
      <c r="I117" s="7">
        <f>IF($D117="","",G117-H117)</f>
        <v/>
      </c>
      <c r="J117" s="7">
        <f>IF($D117="","",F117-G117)</f>
        <v/>
      </c>
      <c r="K117" s="7">
        <f>IF($D117="","",H117)</f>
        <v/>
      </c>
      <c r="L117" s="7">
        <f>IF($D117="","",IF(F117=0,"",ROUND(H117/F117*100,1)))</f>
        <v/>
      </c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R117">
        <f>IF(OR($D117="",M117="",1&gt;$F117),0,IF(UPPER(TRIM(M117))=IFERROR(INDEX(Key!$C$2:$C$263,MATCH($D117*100+1,Key!$G$2:$G$263,0)),"#"),1,0))</f>
        <v/>
      </c>
      <c r="AS117">
        <f>IF(OR($D117="",N117="",2&gt;$F117),0,IF(UPPER(TRIM(N117))=IFERROR(INDEX(Key!$C$2:$C$263,MATCH($D117*100+2,Key!$G$2:$G$263,0)),"#"),1,0))</f>
        <v/>
      </c>
      <c r="AT117">
        <f>IF(OR($D117="",O117="",3&gt;$F117),0,IF(UPPER(TRIM(O117))=IFERROR(INDEX(Key!$C$2:$C$263,MATCH($D117*100+3,Key!$G$2:$G$263,0)),"#"),1,0))</f>
        <v/>
      </c>
      <c r="AU117">
        <f>IF(OR($D117="",P117="",4&gt;$F117),0,IF(UPPER(TRIM(P117))=IFERROR(INDEX(Key!$C$2:$C$263,MATCH($D117*100+4,Key!$G$2:$G$263,0)),"#"),1,0))</f>
        <v/>
      </c>
      <c r="AV117">
        <f>IF(OR($D117="",Q117="",5&gt;$F117),0,IF(UPPER(TRIM(Q117))=IFERROR(INDEX(Key!$C$2:$C$263,MATCH($D117*100+5,Key!$G$2:$G$263,0)),"#"),1,0))</f>
        <v/>
      </c>
      <c r="AW117">
        <f>IF(OR($D117="",R117="",6&gt;$F117),0,IF(UPPER(TRIM(R117))=IFERROR(INDEX(Key!$C$2:$C$263,MATCH($D117*100+6,Key!$G$2:$G$263,0)),"#"),1,0))</f>
        <v/>
      </c>
      <c r="AX117">
        <f>IF(OR($D117="",S117="",7&gt;$F117),0,IF(UPPER(TRIM(S117))=IFERROR(INDEX(Key!$C$2:$C$263,MATCH($D117*100+7,Key!$G$2:$G$263,0)),"#"),1,0))</f>
        <v/>
      </c>
      <c r="AY117">
        <f>IF(OR($D117="",T117="",8&gt;$F117),0,IF(UPPER(TRIM(T117))=IFERROR(INDEX(Key!$C$2:$C$263,MATCH($D117*100+8,Key!$G$2:$G$263,0)),"#"),1,0))</f>
        <v/>
      </c>
      <c r="AZ117">
        <f>IF(OR($D117="",U117="",9&gt;$F117),0,IF(UPPER(TRIM(U117))=IFERROR(INDEX(Key!$C$2:$C$263,MATCH($D117*100+9,Key!$G$2:$G$263,0)),"#"),1,0))</f>
        <v/>
      </c>
      <c r="BA117">
        <f>IF(OR($D117="",V117="",10&gt;$F117),0,IF(UPPER(TRIM(V117))=IFERROR(INDEX(Key!$C$2:$C$263,MATCH($D117*100+10,Key!$G$2:$G$263,0)),"#"),1,0))</f>
        <v/>
      </c>
      <c r="BB117">
        <f>IF(OR($D117="",W117="",11&gt;$F117),0,IF(UPPER(TRIM(W117))=IFERROR(INDEX(Key!$C$2:$C$263,MATCH($D117*100+11,Key!$G$2:$G$263,0)),"#"),1,0))</f>
        <v/>
      </c>
      <c r="BC117">
        <f>IF(OR($D117="",X117="",12&gt;$F117),0,IF(UPPER(TRIM(X117))=IFERROR(INDEX(Key!$C$2:$C$263,MATCH($D117*100+12,Key!$G$2:$G$263,0)),"#"),1,0))</f>
        <v/>
      </c>
      <c r="BD117">
        <f>IF(OR($D117="",Y117="",13&gt;$F117),0,IF(UPPER(TRIM(Y117))=IFERROR(INDEX(Key!$C$2:$C$263,MATCH($D117*100+13,Key!$G$2:$G$263,0)),"#"),1,0))</f>
        <v/>
      </c>
      <c r="BE117">
        <f>IF(OR($D117="",Z117="",14&gt;$F117),0,IF(UPPER(TRIM(Z117))=IFERROR(INDEX(Key!$C$2:$C$263,MATCH($D117*100+14,Key!$G$2:$G$263,0)),"#"),1,0))</f>
        <v/>
      </c>
      <c r="BF117">
        <f>IF(OR($D117="",AA117="",15&gt;$F117),0,IF(UPPER(TRIM(AA117))=IFERROR(INDEX(Key!$C$2:$C$263,MATCH($D117*100+15,Key!$G$2:$G$263,0)),"#"),1,0))</f>
        <v/>
      </c>
      <c r="BG117">
        <f>IF(OR($D117="",AB117="",16&gt;$F117),0,IF(UPPER(TRIM(AB117))=IFERROR(INDEX(Key!$C$2:$C$263,MATCH($D117*100+16,Key!$G$2:$G$263,0)),"#"),1,0))</f>
        <v/>
      </c>
      <c r="BH117">
        <f>IF(OR($D117="",AC117="",17&gt;$F117),0,IF(UPPER(TRIM(AC117))=IFERROR(INDEX(Key!$C$2:$C$263,MATCH($D117*100+17,Key!$G$2:$G$263,0)),"#"),1,0))</f>
        <v/>
      </c>
      <c r="BI117">
        <f>IF(OR($D117="",AD117="",18&gt;$F117),0,IF(UPPER(TRIM(AD117))=IFERROR(INDEX(Key!$C$2:$C$263,MATCH($D117*100+18,Key!$G$2:$G$263,0)),"#"),1,0))</f>
        <v/>
      </c>
      <c r="BJ117">
        <f>IF(OR($D117="",AE117="",19&gt;$F117),0,IF(UPPER(TRIM(AE117))=IFERROR(INDEX(Key!$C$2:$C$263,MATCH($D117*100+19,Key!$G$2:$G$263,0)),"#"),1,0))</f>
        <v/>
      </c>
      <c r="BK117">
        <f>IF(OR($D117="",AF117="",20&gt;$F117),0,IF(UPPER(TRIM(AF117))=IFERROR(INDEX(Key!$C$2:$C$263,MATCH($D117*100+20,Key!$G$2:$G$263,0)),"#"),1,0))</f>
        <v/>
      </c>
      <c r="BL117">
        <f>IF(OR($D117="",AG117="",21&gt;$F117),0,IF(UPPER(TRIM(AG117))=IFERROR(INDEX(Key!$C$2:$C$263,MATCH($D117*100+21,Key!$G$2:$G$263,0)),"#"),1,0))</f>
        <v/>
      </c>
      <c r="BM117">
        <f>IF(OR($D117="",AH117="",22&gt;$F117),0,IF(UPPER(TRIM(AH117))=IFERROR(INDEX(Key!$C$2:$C$263,MATCH($D117*100+22,Key!$G$2:$G$263,0)),"#"),1,0))</f>
        <v/>
      </c>
      <c r="BN117">
        <f>IF(OR($D117="",AI117="",23&gt;$F117),0,IF(UPPER(TRIM(AI117))=IFERROR(INDEX(Key!$C$2:$C$263,MATCH($D117*100+23,Key!$G$2:$G$263,0)),"#"),1,0))</f>
        <v/>
      </c>
      <c r="BO117">
        <f>IF(OR($D117="",AJ117="",24&gt;$F117),0,IF(UPPER(TRIM(AJ117))=IFERROR(INDEX(Key!$C$2:$C$263,MATCH($D117*100+24,Key!$G$2:$G$263,0)),"#"),1,0))</f>
        <v/>
      </c>
      <c r="BP117">
        <f>IF(OR($D117="",AK117="",25&gt;$F117),0,IF(UPPER(TRIM(AK117))=IFERROR(INDEX(Key!$C$2:$C$263,MATCH($D117*100+25,Key!$G$2:$G$263,0)),"#"),1,0))</f>
        <v/>
      </c>
      <c r="BQ117">
        <f>IF(OR($D117="",AL117="",26&gt;$F117),0,IF(UPPER(TRIM(AL117))=IFERROR(INDEX(Key!$C$2:$C$263,MATCH($D117*100+26,Key!$G$2:$G$263,0)),"#"),1,0))</f>
        <v/>
      </c>
      <c r="BR117">
        <f>IF(OR($D117="",AM117="",27&gt;$F117),0,IF(UPPER(TRIM(AM117))=IFERROR(INDEX(Key!$C$2:$C$263,MATCH($D117*100+27,Key!$G$2:$G$263,0)),"#"),1,0))</f>
        <v/>
      </c>
      <c r="BS117">
        <f>IF(OR($D117="",AN117="",28&gt;$F117),0,IF(UPPER(TRIM(AN117))=IFERROR(INDEX(Key!$C$2:$C$263,MATCH($D117*100+28,Key!$G$2:$G$263,0)),"#"),1,0))</f>
        <v/>
      </c>
      <c r="BT117">
        <f>IF(OR($D117="",AO117="",29&gt;$F117),0,IF(UPPER(TRIM(AO117))=IFERROR(INDEX(Key!$C$2:$C$263,MATCH($D117*100+29,Key!$G$2:$G$263,0)),"#"),1,0))</f>
        <v/>
      </c>
      <c r="BU117">
        <f>IF(OR($D117="",AP117="",30&gt;$F117),0,IF(UPPER(TRIM(AP117))=IFERROR(INDEX(Key!$C$2:$C$263,MATCH($D117*100+30,Key!$G$2:$G$263,0)),"#"),1,0))</f>
        <v/>
      </c>
    </row>
    <row r="118">
      <c r="A118" s="6" t="n"/>
      <c r="B118" s="6" t="n"/>
      <c r="C118" s="6" t="n"/>
      <c r="D118" s="6" t="n"/>
      <c r="E118" s="7">
        <f>IF($D118="","",IFERROR(INDEX(Papers!$B$2:$B$12,MATCH($D118,Papers!$A$2:$A$12,0)),"?"))</f>
        <v/>
      </c>
      <c r="F118" s="7">
        <f>IF($D118="","",IFERROR(INDEX(Papers!$C$2:$C$12,MATCH($D118,Papers!$A$2:$A$12,0)),0))</f>
        <v/>
      </c>
      <c r="G118" s="7">
        <f>IF($D118="","",COUNTIF(M118:AP118,"?*"))</f>
        <v/>
      </c>
      <c r="H118" s="7">
        <f>IF($D118="","",SUM(AR118:BU118))</f>
        <v/>
      </c>
      <c r="I118" s="7">
        <f>IF($D118="","",G118-H118)</f>
        <v/>
      </c>
      <c r="J118" s="7">
        <f>IF($D118="","",F118-G118)</f>
        <v/>
      </c>
      <c r="K118" s="7">
        <f>IF($D118="","",H118)</f>
        <v/>
      </c>
      <c r="L118" s="7">
        <f>IF($D118="","",IF(F118=0,"",ROUND(H118/F118*100,1)))</f>
        <v/>
      </c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R118">
        <f>IF(OR($D118="",M118="",1&gt;$F118),0,IF(UPPER(TRIM(M118))=IFERROR(INDEX(Key!$C$2:$C$263,MATCH($D118*100+1,Key!$G$2:$G$263,0)),"#"),1,0))</f>
        <v/>
      </c>
      <c r="AS118">
        <f>IF(OR($D118="",N118="",2&gt;$F118),0,IF(UPPER(TRIM(N118))=IFERROR(INDEX(Key!$C$2:$C$263,MATCH($D118*100+2,Key!$G$2:$G$263,0)),"#"),1,0))</f>
        <v/>
      </c>
      <c r="AT118">
        <f>IF(OR($D118="",O118="",3&gt;$F118),0,IF(UPPER(TRIM(O118))=IFERROR(INDEX(Key!$C$2:$C$263,MATCH($D118*100+3,Key!$G$2:$G$263,0)),"#"),1,0))</f>
        <v/>
      </c>
      <c r="AU118">
        <f>IF(OR($D118="",P118="",4&gt;$F118),0,IF(UPPER(TRIM(P118))=IFERROR(INDEX(Key!$C$2:$C$263,MATCH($D118*100+4,Key!$G$2:$G$263,0)),"#"),1,0))</f>
        <v/>
      </c>
      <c r="AV118">
        <f>IF(OR($D118="",Q118="",5&gt;$F118),0,IF(UPPER(TRIM(Q118))=IFERROR(INDEX(Key!$C$2:$C$263,MATCH($D118*100+5,Key!$G$2:$G$263,0)),"#"),1,0))</f>
        <v/>
      </c>
      <c r="AW118">
        <f>IF(OR($D118="",R118="",6&gt;$F118),0,IF(UPPER(TRIM(R118))=IFERROR(INDEX(Key!$C$2:$C$263,MATCH($D118*100+6,Key!$G$2:$G$263,0)),"#"),1,0))</f>
        <v/>
      </c>
      <c r="AX118">
        <f>IF(OR($D118="",S118="",7&gt;$F118),0,IF(UPPER(TRIM(S118))=IFERROR(INDEX(Key!$C$2:$C$263,MATCH($D118*100+7,Key!$G$2:$G$263,0)),"#"),1,0))</f>
        <v/>
      </c>
      <c r="AY118">
        <f>IF(OR($D118="",T118="",8&gt;$F118),0,IF(UPPER(TRIM(T118))=IFERROR(INDEX(Key!$C$2:$C$263,MATCH($D118*100+8,Key!$G$2:$G$263,0)),"#"),1,0))</f>
        <v/>
      </c>
      <c r="AZ118">
        <f>IF(OR($D118="",U118="",9&gt;$F118),0,IF(UPPER(TRIM(U118))=IFERROR(INDEX(Key!$C$2:$C$263,MATCH($D118*100+9,Key!$G$2:$G$263,0)),"#"),1,0))</f>
        <v/>
      </c>
      <c r="BA118">
        <f>IF(OR($D118="",V118="",10&gt;$F118),0,IF(UPPER(TRIM(V118))=IFERROR(INDEX(Key!$C$2:$C$263,MATCH($D118*100+10,Key!$G$2:$G$263,0)),"#"),1,0))</f>
        <v/>
      </c>
      <c r="BB118">
        <f>IF(OR($D118="",W118="",11&gt;$F118),0,IF(UPPER(TRIM(W118))=IFERROR(INDEX(Key!$C$2:$C$263,MATCH($D118*100+11,Key!$G$2:$G$263,0)),"#"),1,0))</f>
        <v/>
      </c>
      <c r="BC118">
        <f>IF(OR($D118="",X118="",12&gt;$F118),0,IF(UPPER(TRIM(X118))=IFERROR(INDEX(Key!$C$2:$C$263,MATCH($D118*100+12,Key!$G$2:$G$263,0)),"#"),1,0))</f>
        <v/>
      </c>
      <c r="BD118">
        <f>IF(OR($D118="",Y118="",13&gt;$F118),0,IF(UPPER(TRIM(Y118))=IFERROR(INDEX(Key!$C$2:$C$263,MATCH($D118*100+13,Key!$G$2:$G$263,0)),"#"),1,0))</f>
        <v/>
      </c>
      <c r="BE118">
        <f>IF(OR($D118="",Z118="",14&gt;$F118),0,IF(UPPER(TRIM(Z118))=IFERROR(INDEX(Key!$C$2:$C$263,MATCH($D118*100+14,Key!$G$2:$G$263,0)),"#"),1,0))</f>
        <v/>
      </c>
      <c r="BF118">
        <f>IF(OR($D118="",AA118="",15&gt;$F118),0,IF(UPPER(TRIM(AA118))=IFERROR(INDEX(Key!$C$2:$C$263,MATCH($D118*100+15,Key!$G$2:$G$263,0)),"#"),1,0))</f>
        <v/>
      </c>
      <c r="BG118">
        <f>IF(OR($D118="",AB118="",16&gt;$F118),0,IF(UPPER(TRIM(AB118))=IFERROR(INDEX(Key!$C$2:$C$263,MATCH($D118*100+16,Key!$G$2:$G$263,0)),"#"),1,0))</f>
        <v/>
      </c>
      <c r="BH118">
        <f>IF(OR($D118="",AC118="",17&gt;$F118),0,IF(UPPER(TRIM(AC118))=IFERROR(INDEX(Key!$C$2:$C$263,MATCH($D118*100+17,Key!$G$2:$G$263,0)),"#"),1,0))</f>
        <v/>
      </c>
      <c r="BI118">
        <f>IF(OR($D118="",AD118="",18&gt;$F118),0,IF(UPPER(TRIM(AD118))=IFERROR(INDEX(Key!$C$2:$C$263,MATCH($D118*100+18,Key!$G$2:$G$263,0)),"#"),1,0))</f>
        <v/>
      </c>
      <c r="BJ118">
        <f>IF(OR($D118="",AE118="",19&gt;$F118),0,IF(UPPER(TRIM(AE118))=IFERROR(INDEX(Key!$C$2:$C$263,MATCH($D118*100+19,Key!$G$2:$G$263,0)),"#"),1,0))</f>
        <v/>
      </c>
      <c r="BK118">
        <f>IF(OR($D118="",AF118="",20&gt;$F118),0,IF(UPPER(TRIM(AF118))=IFERROR(INDEX(Key!$C$2:$C$263,MATCH($D118*100+20,Key!$G$2:$G$263,0)),"#"),1,0))</f>
        <v/>
      </c>
      <c r="BL118">
        <f>IF(OR($D118="",AG118="",21&gt;$F118),0,IF(UPPER(TRIM(AG118))=IFERROR(INDEX(Key!$C$2:$C$263,MATCH($D118*100+21,Key!$G$2:$G$263,0)),"#"),1,0))</f>
        <v/>
      </c>
      <c r="BM118">
        <f>IF(OR($D118="",AH118="",22&gt;$F118),0,IF(UPPER(TRIM(AH118))=IFERROR(INDEX(Key!$C$2:$C$263,MATCH($D118*100+22,Key!$G$2:$G$263,0)),"#"),1,0))</f>
        <v/>
      </c>
      <c r="BN118">
        <f>IF(OR($D118="",AI118="",23&gt;$F118),0,IF(UPPER(TRIM(AI118))=IFERROR(INDEX(Key!$C$2:$C$263,MATCH($D118*100+23,Key!$G$2:$G$263,0)),"#"),1,0))</f>
        <v/>
      </c>
      <c r="BO118">
        <f>IF(OR($D118="",AJ118="",24&gt;$F118),0,IF(UPPER(TRIM(AJ118))=IFERROR(INDEX(Key!$C$2:$C$263,MATCH($D118*100+24,Key!$G$2:$G$263,0)),"#"),1,0))</f>
        <v/>
      </c>
      <c r="BP118">
        <f>IF(OR($D118="",AK118="",25&gt;$F118),0,IF(UPPER(TRIM(AK118))=IFERROR(INDEX(Key!$C$2:$C$263,MATCH($D118*100+25,Key!$G$2:$G$263,0)),"#"),1,0))</f>
        <v/>
      </c>
      <c r="BQ118">
        <f>IF(OR($D118="",AL118="",26&gt;$F118),0,IF(UPPER(TRIM(AL118))=IFERROR(INDEX(Key!$C$2:$C$263,MATCH($D118*100+26,Key!$G$2:$G$263,0)),"#"),1,0))</f>
        <v/>
      </c>
      <c r="BR118">
        <f>IF(OR($D118="",AM118="",27&gt;$F118),0,IF(UPPER(TRIM(AM118))=IFERROR(INDEX(Key!$C$2:$C$263,MATCH($D118*100+27,Key!$G$2:$G$263,0)),"#"),1,0))</f>
        <v/>
      </c>
      <c r="BS118">
        <f>IF(OR($D118="",AN118="",28&gt;$F118),0,IF(UPPER(TRIM(AN118))=IFERROR(INDEX(Key!$C$2:$C$263,MATCH($D118*100+28,Key!$G$2:$G$263,0)),"#"),1,0))</f>
        <v/>
      </c>
      <c r="BT118">
        <f>IF(OR($D118="",AO118="",29&gt;$F118),0,IF(UPPER(TRIM(AO118))=IFERROR(INDEX(Key!$C$2:$C$263,MATCH($D118*100+29,Key!$G$2:$G$263,0)),"#"),1,0))</f>
        <v/>
      </c>
      <c r="BU118">
        <f>IF(OR($D118="",AP118="",30&gt;$F118),0,IF(UPPER(TRIM(AP118))=IFERROR(INDEX(Key!$C$2:$C$263,MATCH($D118*100+30,Key!$G$2:$G$263,0)),"#"),1,0))</f>
        <v/>
      </c>
    </row>
    <row r="119">
      <c r="A119" s="6" t="n"/>
      <c r="B119" s="6" t="n"/>
      <c r="C119" s="6" t="n"/>
      <c r="D119" s="6" t="n"/>
      <c r="E119" s="7">
        <f>IF($D119="","",IFERROR(INDEX(Papers!$B$2:$B$12,MATCH($D119,Papers!$A$2:$A$12,0)),"?"))</f>
        <v/>
      </c>
      <c r="F119" s="7">
        <f>IF($D119="","",IFERROR(INDEX(Papers!$C$2:$C$12,MATCH($D119,Papers!$A$2:$A$12,0)),0))</f>
        <v/>
      </c>
      <c r="G119" s="7">
        <f>IF($D119="","",COUNTIF(M119:AP119,"?*"))</f>
        <v/>
      </c>
      <c r="H119" s="7">
        <f>IF($D119="","",SUM(AR119:BU119))</f>
        <v/>
      </c>
      <c r="I119" s="7">
        <f>IF($D119="","",G119-H119)</f>
        <v/>
      </c>
      <c r="J119" s="7">
        <f>IF($D119="","",F119-G119)</f>
        <v/>
      </c>
      <c r="K119" s="7">
        <f>IF($D119="","",H119)</f>
        <v/>
      </c>
      <c r="L119" s="7">
        <f>IF($D119="","",IF(F119=0,"",ROUND(H119/F119*100,1)))</f>
        <v/>
      </c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R119">
        <f>IF(OR($D119="",M119="",1&gt;$F119),0,IF(UPPER(TRIM(M119))=IFERROR(INDEX(Key!$C$2:$C$263,MATCH($D119*100+1,Key!$G$2:$G$263,0)),"#"),1,0))</f>
        <v/>
      </c>
      <c r="AS119">
        <f>IF(OR($D119="",N119="",2&gt;$F119),0,IF(UPPER(TRIM(N119))=IFERROR(INDEX(Key!$C$2:$C$263,MATCH($D119*100+2,Key!$G$2:$G$263,0)),"#"),1,0))</f>
        <v/>
      </c>
      <c r="AT119">
        <f>IF(OR($D119="",O119="",3&gt;$F119),0,IF(UPPER(TRIM(O119))=IFERROR(INDEX(Key!$C$2:$C$263,MATCH($D119*100+3,Key!$G$2:$G$263,0)),"#"),1,0))</f>
        <v/>
      </c>
      <c r="AU119">
        <f>IF(OR($D119="",P119="",4&gt;$F119),0,IF(UPPER(TRIM(P119))=IFERROR(INDEX(Key!$C$2:$C$263,MATCH($D119*100+4,Key!$G$2:$G$263,0)),"#"),1,0))</f>
        <v/>
      </c>
      <c r="AV119">
        <f>IF(OR($D119="",Q119="",5&gt;$F119),0,IF(UPPER(TRIM(Q119))=IFERROR(INDEX(Key!$C$2:$C$263,MATCH($D119*100+5,Key!$G$2:$G$263,0)),"#"),1,0))</f>
        <v/>
      </c>
      <c r="AW119">
        <f>IF(OR($D119="",R119="",6&gt;$F119),0,IF(UPPER(TRIM(R119))=IFERROR(INDEX(Key!$C$2:$C$263,MATCH($D119*100+6,Key!$G$2:$G$263,0)),"#"),1,0))</f>
        <v/>
      </c>
      <c r="AX119">
        <f>IF(OR($D119="",S119="",7&gt;$F119),0,IF(UPPER(TRIM(S119))=IFERROR(INDEX(Key!$C$2:$C$263,MATCH($D119*100+7,Key!$G$2:$G$263,0)),"#"),1,0))</f>
        <v/>
      </c>
      <c r="AY119">
        <f>IF(OR($D119="",T119="",8&gt;$F119),0,IF(UPPER(TRIM(T119))=IFERROR(INDEX(Key!$C$2:$C$263,MATCH($D119*100+8,Key!$G$2:$G$263,0)),"#"),1,0))</f>
        <v/>
      </c>
      <c r="AZ119">
        <f>IF(OR($D119="",U119="",9&gt;$F119),0,IF(UPPER(TRIM(U119))=IFERROR(INDEX(Key!$C$2:$C$263,MATCH($D119*100+9,Key!$G$2:$G$263,0)),"#"),1,0))</f>
        <v/>
      </c>
      <c r="BA119">
        <f>IF(OR($D119="",V119="",10&gt;$F119),0,IF(UPPER(TRIM(V119))=IFERROR(INDEX(Key!$C$2:$C$263,MATCH($D119*100+10,Key!$G$2:$G$263,0)),"#"),1,0))</f>
        <v/>
      </c>
      <c r="BB119">
        <f>IF(OR($D119="",W119="",11&gt;$F119),0,IF(UPPER(TRIM(W119))=IFERROR(INDEX(Key!$C$2:$C$263,MATCH($D119*100+11,Key!$G$2:$G$263,0)),"#"),1,0))</f>
        <v/>
      </c>
      <c r="BC119">
        <f>IF(OR($D119="",X119="",12&gt;$F119),0,IF(UPPER(TRIM(X119))=IFERROR(INDEX(Key!$C$2:$C$263,MATCH($D119*100+12,Key!$G$2:$G$263,0)),"#"),1,0))</f>
        <v/>
      </c>
      <c r="BD119">
        <f>IF(OR($D119="",Y119="",13&gt;$F119),0,IF(UPPER(TRIM(Y119))=IFERROR(INDEX(Key!$C$2:$C$263,MATCH($D119*100+13,Key!$G$2:$G$263,0)),"#"),1,0))</f>
        <v/>
      </c>
      <c r="BE119">
        <f>IF(OR($D119="",Z119="",14&gt;$F119),0,IF(UPPER(TRIM(Z119))=IFERROR(INDEX(Key!$C$2:$C$263,MATCH($D119*100+14,Key!$G$2:$G$263,0)),"#"),1,0))</f>
        <v/>
      </c>
      <c r="BF119">
        <f>IF(OR($D119="",AA119="",15&gt;$F119),0,IF(UPPER(TRIM(AA119))=IFERROR(INDEX(Key!$C$2:$C$263,MATCH($D119*100+15,Key!$G$2:$G$263,0)),"#"),1,0))</f>
        <v/>
      </c>
      <c r="BG119">
        <f>IF(OR($D119="",AB119="",16&gt;$F119),0,IF(UPPER(TRIM(AB119))=IFERROR(INDEX(Key!$C$2:$C$263,MATCH($D119*100+16,Key!$G$2:$G$263,0)),"#"),1,0))</f>
        <v/>
      </c>
      <c r="BH119">
        <f>IF(OR($D119="",AC119="",17&gt;$F119),0,IF(UPPER(TRIM(AC119))=IFERROR(INDEX(Key!$C$2:$C$263,MATCH($D119*100+17,Key!$G$2:$G$263,0)),"#"),1,0))</f>
        <v/>
      </c>
      <c r="BI119">
        <f>IF(OR($D119="",AD119="",18&gt;$F119),0,IF(UPPER(TRIM(AD119))=IFERROR(INDEX(Key!$C$2:$C$263,MATCH($D119*100+18,Key!$G$2:$G$263,0)),"#"),1,0))</f>
        <v/>
      </c>
      <c r="BJ119">
        <f>IF(OR($D119="",AE119="",19&gt;$F119),0,IF(UPPER(TRIM(AE119))=IFERROR(INDEX(Key!$C$2:$C$263,MATCH($D119*100+19,Key!$G$2:$G$263,0)),"#"),1,0))</f>
        <v/>
      </c>
      <c r="BK119">
        <f>IF(OR($D119="",AF119="",20&gt;$F119),0,IF(UPPER(TRIM(AF119))=IFERROR(INDEX(Key!$C$2:$C$263,MATCH($D119*100+20,Key!$G$2:$G$263,0)),"#"),1,0))</f>
        <v/>
      </c>
      <c r="BL119">
        <f>IF(OR($D119="",AG119="",21&gt;$F119),0,IF(UPPER(TRIM(AG119))=IFERROR(INDEX(Key!$C$2:$C$263,MATCH($D119*100+21,Key!$G$2:$G$263,0)),"#"),1,0))</f>
        <v/>
      </c>
      <c r="BM119">
        <f>IF(OR($D119="",AH119="",22&gt;$F119),0,IF(UPPER(TRIM(AH119))=IFERROR(INDEX(Key!$C$2:$C$263,MATCH($D119*100+22,Key!$G$2:$G$263,0)),"#"),1,0))</f>
        <v/>
      </c>
      <c r="BN119">
        <f>IF(OR($D119="",AI119="",23&gt;$F119),0,IF(UPPER(TRIM(AI119))=IFERROR(INDEX(Key!$C$2:$C$263,MATCH($D119*100+23,Key!$G$2:$G$263,0)),"#"),1,0))</f>
        <v/>
      </c>
      <c r="BO119">
        <f>IF(OR($D119="",AJ119="",24&gt;$F119),0,IF(UPPER(TRIM(AJ119))=IFERROR(INDEX(Key!$C$2:$C$263,MATCH($D119*100+24,Key!$G$2:$G$263,0)),"#"),1,0))</f>
        <v/>
      </c>
      <c r="BP119">
        <f>IF(OR($D119="",AK119="",25&gt;$F119),0,IF(UPPER(TRIM(AK119))=IFERROR(INDEX(Key!$C$2:$C$263,MATCH($D119*100+25,Key!$G$2:$G$263,0)),"#"),1,0))</f>
        <v/>
      </c>
      <c r="BQ119">
        <f>IF(OR($D119="",AL119="",26&gt;$F119),0,IF(UPPER(TRIM(AL119))=IFERROR(INDEX(Key!$C$2:$C$263,MATCH($D119*100+26,Key!$G$2:$G$263,0)),"#"),1,0))</f>
        <v/>
      </c>
      <c r="BR119">
        <f>IF(OR($D119="",AM119="",27&gt;$F119),0,IF(UPPER(TRIM(AM119))=IFERROR(INDEX(Key!$C$2:$C$263,MATCH($D119*100+27,Key!$G$2:$G$263,0)),"#"),1,0))</f>
        <v/>
      </c>
      <c r="BS119">
        <f>IF(OR($D119="",AN119="",28&gt;$F119),0,IF(UPPER(TRIM(AN119))=IFERROR(INDEX(Key!$C$2:$C$263,MATCH($D119*100+28,Key!$G$2:$G$263,0)),"#"),1,0))</f>
        <v/>
      </c>
      <c r="BT119">
        <f>IF(OR($D119="",AO119="",29&gt;$F119),0,IF(UPPER(TRIM(AO119))=IFERROR(INDEX(Key!$C$2:$C$263,MATCH($D119*100+29,Key!$G$2:$G$263,0)),"#"),1,0))</f>
        <v/>
      </c>
      <c r="BU119">
        <f>IF(OR($D119="",AP119="",30&gt;$F119),0,IF(UPPER(TRIM(AP119))=IFERROR(INDEX(Key!$C$2:$C$263,MATCH($D119*100+30,Key!$G$2:$G$263,0)),"#"),1,0))</f>
        <v/>
      </c>
    </row>
    <row r="120">
      <c r="A120" s="6" t="n"/>
      <c r="B120" s="6" t="n"/>
      <c r="C120" s="6" t="n"/>
      <c r="D120" s="6" t="n"/>
      <c r="E120" s="7">
        <f>IF($D120="","",IFERROR(INDEX(Papers!$B$2:$B$12,MATCH($D120,Papers!$A$2:$A$12,0)),"?"))</f>
        <v/>
      </c>
      <c r="F120" s="7">
        <f>IF($D120="","",IFERROR(INDEX(Papers!$C$2:$C$12,MATCH($D120,Papers!$A$2:$A$12,0)),0))</f>
        <v/>
      </c>
      <c r="G120" s="7">
        <f>IF($D120="","",COUNTIF(M120:AP120,"?*"))</f>
        <v/>
      </c>
      <c r="H120" s="7">
        <f>IF($D120="","",SUM(AR120:BU120))</f>
        <v/>
      </c>
      <c r="I120" s="7">
        <f>IF($D120="","",G120-H120)</f>
        <v/>
      </c>
      <c r="J120" s="7">
        <f>IF($D120="","",F120-G120)</f>
        <v/>
      </c>
      <c r="K120" s="7">
        <f>IF($D120="","",H120)</f>
        <v/>
      </c>
      <c r="L120" s="7">
        <f>IF($D120="","",IF(F120=0,"",ROUND(H120/F120*100,1)))</f>
        <v/>
      </c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R120">
        <f>IF(OR($D120="",M120="",1&gt;$F120),0,IF(UPPER(TRIM(M120))=IFERROR(INDEX(Key!$C$2:$C$263,MATCH($D120*100+1,Key!$G$2:$G$263,0)),"#"),1,0))</f>
        <v/>
      </c>
      <c r="AS120">
        <f>IF(OR($D120="",N120="",2&gt;$F120),0,IF(UPPER(TRIM(N120))=IFERROR(INDEX(Key!$C$2:$C$263,MATCH($D120*100+2,Key!$G$2:$G$263,0)),"#"),1,0))</f>
        <v/>
      </c>
      <c r="AT120">
        <f>IF(OR($D120="",O120="",3&gt;$F120),0,IF(UPPER(TRIM(O120))=IFERROR(INDEX(Key!$C$2:$C$263,MATCH($D120*100+3,Key!$G$2:$G$263,0)),"#"),1,0))</f>
        <v/>
      </c>
      <c r="AU120">
        <f>IF(OR($D120="",P120="",4&gt;$F120),0,IF(UPPER(TRIM(P120))=IFERROR(INDEX(Key!$C$2:$C$263,MATCH($D120*100+4,Key!$G$2:$G$263,0)),"#"),1,0))</f>
        <v/>
      </c>
      <c r="AV120">
        <f>IF(OR($D120="",Q120="",5&gt;$F120),0,IF(UPPER(TRIM(Q120))=IFERROR(INDEX(Key!$C$2:$C$263,MATCH($D120*100+5,Key!$G$2:$G$263,0)),"#"),1,0))</f>
        <v/>
      </c>
      <c r="AW120">
        <f>IF(OR($D120="",R120="",6&gt;$F120),0,IF(UPPER(TRIM(R120))=IFERROR(INDEX(Key!$C$2:$C$263,MATCH($D120*100+6,Key!$G$2:$G$263,0)),"#"),1,0))</f>
        <v/>
      </c>
      <c r="AX120">
        <f>IF(OR($D120="",S120="",7&gt;$F120),0,IF(UPPER(TRIM(S120))=IFERROR(INDEX(Key!$C$2:$C$263,MATCH($D120*100+7,Key!$G$2:$G$263,0)),"#"),1,0))</f>
        <v/>
      </c>
      <c r="AY120">
        <f>IF(OR($D120="",T120="",8&gt;$F120),0,IF(UPPER(TRIM(T120))=IFERROR(INDEX(Key!$C$2:$C$263,MATCH($D120*100+8,Key!$G$2:$G$263,0)),"#"),1,0))</f>
        <v/>
      </c>
      <c r="AZ120">
        <f>IF(OR($D120="",U120="",9&gt;$F120),0,IF(UPPER(TRIM(U120))=IFERROR(INDEX(Key!$C$2:$C$263,MATCH($D120*100+9,Key!$G$2:$G$263,0)),"#"),1,0))</f>
        <v/>
      </c>
      <c r="BA120">
        <f>IF(OR($D120="",V120="",10&gt;$F120),0,IF(UPPER(TRIM(V120))=IFERROR(INDEX(Key!$C$2:$C$263,MATCH($D120*100+10,Key!$G$2:$G$263,0)),"#"),1,0))</f>
        <v/>
      </c>
      <c r="BB120">
        <f>IF(OR($D120="",W120="",11&gt;$F120),0,IF(UPPER(TRIM(W120))=IFERROR(INDEX(Key!$C$2:$C$263,MATCH($D120*100+11,Key!$G$2:$G$263,0)),"#"),1,0))</f>
        <v/>
      </c>
      <c r="BC120">
        <f>IF(OR($D120="",X120="",12&gt;$F120),0,IF(UPPER(TRIM(X120))=IFERROR(INDEX(Key!$C$2:$C$263,MATCH($D120*100+12,Key!$G$2:$G$263,0)),"#"),1,0))</f>
        <v/>
      </c>
      <c r="BD120">
        <f>IF(OR($D120="",Y120="",13&gt;$F120),0,IF(UPPER(TRIM(Y120))=IFERROR(INDEX(Key!$C$2:$C$263,MATCH($D120*100+13,Key!$G$2:$G$263,0)),"#"),1,0))</f>
        <v/>
      </c>
      <c r="BE120">
        <f>IF(OR($D120="",Z120="",14&gt;$F120),0,IF(UPPER(TRIM(Z120))=IFERROR(INDEX(Key!$C$2:$C$263,MATCH($D120*100+14,Key!$G$2:$G$263,0)),"#"),1,0))</f>
        <v/>
      </c>
      <c r="BF120">
        <f>IF(OR($D120="",AA120="",15&gt;$F120),0,IF(UPPER(TRIM(AA120))=IFERROR(INDEX(Key!$C$2:$C$263,MATCH($D120*100+15,Key!$G$2:$G$263,0)),"#"),1,0))</f>
        <v/>
      </c>
      <c r="BG120">
        <f>IF(OR($D120="",AB120="",16&gt;$F120),0,IF(UPPER(TRIM(AB120))=IFERROR(INDEX(Key!$C$2:$C$263,MATCH($D120*100+16,Key!$G$2:$G$263,0)),"#"),1,0))</f>
        <v/>
      </c>
      <c r="BH120">
        <f>IF(OR($D120="",AC120="",17&gt;$F120),0,IF(UPPER(TRIM(AC120))=IFERROR(INDEX(Key!$C$2:$C$263,MATCH($D120*100+17,Key!$G$2:$G$263,0)),"#"),1,0))</f>
        <v/>
      </c>
      <c r="BI120">
        <f>IF(OR($D120="",AD120="",18&gt;$F120),0,IF(UPPER(TRIM(AD120))=IFERROR(INDEX(Key!$C$2:$C$263,MATCH($D120*100+18,Key!$G$2:$G$263,0)),"#"),1,0))</f>
        <v/>
      </c>
      <c r="BJ120">
        <f>IF(OR($D120="",AE120="",19&gt;$F120),0,IF(UPPER(TRIM(AE120))=IFERROR(INDEX(Key!$C$2:$C$263,MATCH($D120*100+19,Key!$G$2:$G$263,0)),"#"),1,0))</f>
        <v/>
      </c>
      <c r="BK120">
        <f>IF(OR($D120="",AF120="",20&gt;$F120),0,IF(UPPER(TRIM(AF120))=IFERROR(INDEX(Key!$C$2:$C$263,MATCH($D120*100+20,Key!$G$2:$G$263,0)),"#"),1,0))</f>
        <v/>
      </c>
      <c r="BL120">
        <f>IF(OR($D120="",AG120="",21&gt;$F120),0,IF(UPPER(TRIM(AG120))=IFERROR(INDEX(Key!$C$2:$C$263,MATCH($D120*100+21,Key!$G$2:$G$263,0)),"#"),1,0))</f>
        <v/>
      </c>
      <c r="BM120">
        <f>IF(OR($D120="",AH120="",22&gt;$F120),0,IF(UPPER(TRIM(AH120))=IFERROR(INDEX(Key!$C$2:$C$263,MATCH($D120*100+22,Key!$G$2:$G$263,0)),"#"),1,0))</f>
        <v/>
      </c>
      <c r="BN120">
        <f>IF(OR($D120="",AI120="",23&gt;$F120),0,IF(UPPER(TRIM(AI120))=IFERROR(INDEX(Key!$C$2:$C$263,MATCH($D120*100+23,Key!$G$2:$G$263,0)),"#"),1,0))</f>
        <v/>
      </c>
      <c r="BO120">
        <f>IF(OR($D120="",AJ120="",24&gt;$F120),0,IF(UPPER(TRIM(AJ120))=IFERROR(INDEX(Key!$C$2:$C$263,MATCH($D120*100+24,Key!$G$2:$G$263,0)),"#"),1,0))</f>
        <v/>
      </c>
      <c r="BP120">
        <f>IF(OR($D120="",AK120="",25&gt;$F120),0,IF(UPPER(TRIM(AK120))=IFERROR(INDEX(Key!$C$2:$C$263,MATCH($D120*100+25,Key!$G$2:$G$263,0)),"#"),1,0))</f>
        <v/>
      </c>
      <c r="BQ120">
        <f>IF(OR($D120="",AL120="",26&gt;$F120),0,IF(UPPER(TRIM(AL120))=IFERROR(INDEX(Key!$C$2:$C$263,MATCH($D120*100+26,Key!$G$2:$G$263,0)),"#"),1,0))</f>
        <v/>
      </c>
      <c r="BR120">
        <f>IF(OR($D120="",AM120="",27&gt;$F120),0,IF(UPPER(TRIM(AM120))=IFERROR(INDEX(Key!$C$2:$C$263,MATCH($D120*100+27,Key!$G$2:$G$263,0)),"#"),1,0))</f>
        <v/>
      </c>
      <c r="BS120">
        <f>IF(OR($D120="",AN120="",28&gt;$F120),0,IF(UPPER(TRIM(AN120))=IFERROR(INDEX(Key!$C$2:$C$263,MATCH($D120*100+28,Key!$G$2:$G$263,0)),"#"),1,0))</f>
        <v/>
      </c>
      <c r="BT120">
        <f>IF(OR($D120="",AO120="",29&gt;$F120),0,IF(UPPER(TRIM(AO120))=IFERROR(INDEX(Key!$C$2:$C$263,MATCH($D120*100+29,Key!$G$2:$G$263,0)),"#"),1,0))</f>
        <v/>
      </c>
      <c r="BU120">
        <f>IF(OR($D120="",AP120="",30&gt;$F120),0,IF(UPPER(TRIM(AP120))=IFERROR(INDEX(Key!$C$2:$C$263,MATCH($D120*100+30,Key!$G$2:$G$263,0)),"#"),1,0))</f>
        <v/>
      </c>
    </row>
    <row r="121">
      <c r="A121" s="6" t="n"/>
      <c r="B121" s="6" t="n"/>
      <c r="C121" s="6" t="n"/>
      <c r="D121" s="6" t="n"/>
      <c r="E121" s="7">
        <f>IF($D121="","",IFERROR(INDEX(Papers!$B$2:$B$12,MATCH($D121,Papers!$A$2:$A$12,0)),"?"))</f>
        <v/>
      </c>
      <c r="F121" s="7">
        <f>IF($D121="","",IFERROR(INDEX(Papers!$C$2:$C$12,MATCH($D121,Papers!$A$2:$A$12,0)),0))</f>
        <v/>
      </c>
      <c r="G121" s="7">
        <f>IF($D121="","",COUNTIF(M121:AP121,"?*"))</f>
        <v/>
      </c>
      <c r="H121" s="7">
        <f>IF($D121="","",SUM(AR121:BU121))</f>
        <v/>
      </c>
      <c r="I121" s="7">
        <f>IF($D121="","",G121-H121)</f>
        <v/>
      </c>
      <c r="J121" s="7">
        <f>IF($D121="","",F121-G121)</f>
        <v/>
      </c>
      <c r="K121" s="7">
        <f>IF($D121="","",H121)</f>
        <v/>
      </c>
      <c r="L121" s="7">
        <f>IF($D121="","",IF(F121=0,"",ROUND(H121/F121*100,1)))</f>
        <v/>
      </c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R121">
        <f>IF(OR($D121="",M121="",1&gt;$F121),0,IF(UPPER(TRIM(M121))=IFERROR(INDEX(Key!$C$2:$C$263,MATCH($D121*100+1,Key!$G$2:$G$263,0)),"#"),1,0))</f>
        <v/>
      </c>
      <c r="AS121">
        <f>IF(OR($D121="",N121="",2&gt;$F121),0,IF(UPPER(TRIM(N121))=IFERROR(INDEX(Key!$C$2:$C$263,MATCH($D121*100+2,Key!$G$2:$G$263,0)),"#"),1,0))</f>
        <v/>
      </c>
      <c r="AT121">
        <f>IF(OR($D121="",O121="",3&gt;$F121),0,IF(UPPER(TRIM(O121))=IFERROR(INDEX(Key!$C$2:$C$263,MATCH($D121*100+3,Key!$G$2:$G$263,0)),"#"),1,0))</f>
        <v/>
      </c>
      <c r="AU121">
        <f>IF(OR($D121="",P121="",4&gt;$F121),0,IF(UPPER(TRIM(P121))=IFERROR(INDEX(Key!$C$2:$C$263,MATCH($D121*100+4,Key!$G$2:$G$263,0)),"#"),1,0))</f>
        <v/>
      </c>
      <c r="AV121">
        <f>IF(OR($D121="",Q121="",5&gt;$F121),0,IF(UPPER(TRIM(Q121))=IFERROR(INDEX(Key!$C$2:$C$263,MATCH($D121*100+5,Key!$G$2:$G$263,0)),"#"),1,0))</f>
        <v/>
      </c>
      <c r="AW121">
        <f>IF(OR($D121="",R121="",6&gt;$F121),0,IF(UPPER(TRIM(R121))=IFERROR(INDEX(Key!$C$2:$C$263,MATCH($D121*100+6,Key!$G$2:$G$263,0)),"#"),1,0))</f>
        <v/>
      </c>
      <c r="AX121">
        <f>IF(OR($D121="",S121="",7&gt;$F121),0,IF(UPPER(TRIM(S121))=IFERROR(INDEX(Key!$C$2:$C$263,MATCH($D121*100+7,Key!$G$2:$G$263,0)),"#"),1,0))</f>
        <v/>
      </c>
      <c r="AY121">
        <f>IF(OR($D121="",T121="",8&gt;$F121),0,IF(UPPER(TRIM(T121))=IFERROR(INDEX(Key!$C$2:$C$263,MATCH($D121*100+8,Key!$G$2:$G$263,0)),"#"),1,0))</f>
        <v/>
      </c>
      <c r="AZ121">
        <f>IF(OR($D121="",U121="",9&gt;$F121),0,IF(UPPER(TRIM(U121))=IFERROR(INDEX(Key!$C$2:$C$263,MATCH($D121*100+9,Key!$G$2:$G$263,0)),"#"),1,0))</f>
        <v/>
      </c>
      <c r="BA121">
        <f>IF(OR($D121="",V121="",10&gt;$F121),0,IF(UPPER(TRIM(V121))=IFERROR(INDEX(Key!$C$2:$C$263,MATCH($D121*100+10,Key!$G$2:$G$263,0)),"#"),1,0))</f>
        <v/>
      </c>
      <c r="BB121">
        <f>IF(OR($D121="",W121="",11&gt;$F121),0,IF(UPPER(TRIM(W121))=IFERROR(INDEX(Key!$C$2:$C$263,MATCH($D121*100+11,Key!$G$2:$G$263,0)),"#"),1,0))</f>
        <v/>
      </c>
      <c r="BC121">
        <f>IF(OR($D121="",X121="",12&gt;$F121),0,IF(UPPER(TRIM(X121))=IFERROR(INDEX(Key!$C$2:$C$263,MATCH($D121*100+12,Key!$G$2:$G$263,0)),"#"),1,0))</f>
        <v/>
      </c>
      <c r="BD121">
        <f>IF(OR($D121="",Y121="",13&gt;$F121),0,IF(UPPER(TRIM(Y121))=IFERROR(INDEX(Key!$C$2:$C$263,MATCH($D121*100+13,Key!$G$2:$G$263,0)),"#"),1,0))</f>
        <v/>
      </c>
      <c r="BE121">
        <f>IF(OR($D121="",Z121="",14&gt;$F121),0,IF(UPPER(TRIM(Z121))=IFERROR(INDEX(Key!$C$2:$C$263,MATCH($D121*100+14,Key!$G$2:$G$263,0)),"#"),1,0))</f>
        <v/>
      </c>
      <c r="BF121">
        <f>IF(OR($D121="",AA121="",15&gt;$F121),0,IF(UPPER(TRIM(AA121))=IFERROR(INDEX(Key!$C$2:$C$263,MATCH($D121*100+15,Key!$G$2:$G$263,0)),"#"),1,0))</f>
        <v/>
      </c>
      <c r="BG121">
        <f>IF(OR($D121="",AB121="",16&gt;$F121),0,IF(UPPER(TRIM(AB121))=IFERROR(INDEX(Key!$C$2:$C$263,MATCH($D121*100+16,Key!$G$2:$G$263,0)),"#"),1,0))</f>
        <v/>
      </c>
      <c r="BH121">
        <f>IF(OR($D121="",AC121="",17&gt;$F121),0,IF(UPPER(TRIM(AC121))=IFERROR(INDEX(Key!$C$2:$C$263,MATCH($D121*100+17,Key!$G$2:$G$263,0)),"#"),1,0))</f>
        <v/>
      </c>
      <c r="BI121">
        <f>IF(OR($D121="",AD121="",18&gt;$F121),0,IF(UPPER(TRIM(AD121))=IFERROR(INDEX(Key!$C$2:$C$263,MATCH($D121*100+18,Key!$G$2:$G$263,0)),"#"),1,0))</f>
        <v/>
      </c>
      <c r="BJ121">
        <f>IF(OR($D121="",AE121="",19&gt;$F121),0,IF(UPPER(TRIM(AE121))=IFERROR(INDEX(Key!$C$2:$C$263,MATCH($D121*100+19,Key!$G$2:$G$263,0)),"#"),1,0))</f>
        <v/>
      </c>
      <c r="BK121">
        <f>IF(OR($D121="",AF121="",20&gt;$F121),0,IF(UPPER(TRIM(AF121))=IFERROR(INDEX(Key!$C$2:$C$263,MATCH($D121*100+20,Key!$G$2:$G$263,0)),"#"),1,0))</f>
        <v/>
      </c>
      <c r="BL121">
        <f>IF(OR($D121="",AG121="",21&gt;$F121),0,IF(UPPER(TRIM(AG121))=IFERROR(INDEX(Key!$C$2:$C$263,MATCH($D121*100+21,Key!$G$2:$G$263,0)),"#"),1,0))</f>
        <v/>
      </c>
      <c r="BM121">
        <f>IF(OR($D121="",AH121="",22&gt;$F121),0,IF(UPPER(TRIM(AH121))=IFERROR(INDEX(Key!$C$2:$C$263,MATCH($D121*100+22,Key!$G$2:$G$263,0)),"#"),1,0))</f>
        <v/>
      </c>
      <c r="BN121">
        <f>IF(OR($D121="",AI121="",23&gt;$F121),0,IF(UPPER(TRIM(AI121))=IFERROR(INDEX(Key!$C$2:$C$263,MATCH($D121*100+23,Key!$G$2:$G$263,0)),"#"),1,0))</f>
        <v/>
      </c>
      <c r="BO121">
        <f>IF(OR($D121="",AJ121="",24&gt;$F121),0,IF(UPPER(TRIM(AJ121))=IFERROR(INDEX(Key!$C$2:$C$263,MATCH($D121*100+24,Key!$G$2:$G$263,0)),"#"),1,0))</f>
        <v/>
      </c>
      <c r="BP121">
        <f>IF(OR($D121="",AK121="",25&gt;$F121),0,IF(UPPER(TRIM(AK121))=IFERROR(INDEX(Key!$C$2:$C$263,MATCH($D121*100+25,Key!$G$2:$G$263,0)),"#"),1,0))</f>
        <v/>
      </c>
      <c r="BQ121">
        <f>IF(OR($D121="",AL121="",26&gt;$F121),0,IF(UPPER(TRIM(AL121))=IFERROR(INDEX(Key!$C$2:$C$263,MATCH($D121*100+26,Key!$G$2:$G$263,0)),"#"),1,0))</f>
        <v/>
      </c>
      <c r="BR121">
        <f>IF(OR($D121="",AM121="",27&gt;$F121),0,IF(UPPER(TRIM(AM121))=IFERROR(INDEX(Key!$C$2:$C$263,MATCH($D121*100+27,Key!$G$2:$G$263,0)),"#"),1,0))</f>
        <v/>
      </c>
      <c r="BS121">
        <f>IF(OR($D121="",AN121="",28&gt;$F121),0,IF(UPPER(TRIM(AN121))=IFERROR(INDEX(Key!$C$2:$C$263,MATCH($D121*100+28,Key!$G$2:$G$263,0)),"#"),1,0))</f>
        <v/>
      </c>
      <c r="BT121">
        <f>IF(OR($D121="",AO121="",29&gt;$F121),0,IF(UPPER(TRIM(AO121))=IFERROR(INDEX(Key!$C$2:$C$263,MATCH($D121*100+29,Key!$G$2:$G$263,0)),"#"),1,0))</f>
        <v/>
      </c>
      <c r="BU121">
        <f>IF(OR($D121="",AP121="",30&gt;$F121),0,IF(UPPER(TRIM(AP121))=IFERROR(INDEX(Key!$C$2:$C$263,MATCH($D121*100+30,Key!$G$2:$G$263,0)),"#"),1,0))</f>
        <v/>
      </c>
    </row>
    <row r="122">
      <c r="A122" s="6" t="n"/>
      <c r="B122" s="6" t="n"/>
      <c r="C122" s="6" t="n"/>
      <c r="D122" s="6" t="n"/>
      <c r="E122" s="7">
        <f>IF($D122="","",IFERROR(INDEX(Papers!$B$2:$B$12,MATCH($D122,Papers!$A$2:$A$12,0)),"?"))</f>
        <v/>
      </c>
      <c r="F122" s="7">
        <f>IF($D122="","",IFERROR(INDEX(Papers!$C$2:$C$12,MATCH($D122,Papers!$A$2:$A$12,0)),0))</f>
        <v/>
      </c>
      <c r="G122" s="7">
        <f>IF($D122="","",COUNTIF(M122:AP122,"?*"))</f>
        <v/>
      </c>
      <c r="H122" s="7">
        <f>IF($D122="","",SUM(AR122:BU122))</f>
        <v/>
      </c>
      <c r="I122" s="7">
        <f>IF($D122="","",G122-H122)</f>
        <v/>
      </c>
      <c r="J122" s="7">
        <f>IF($D122="","",F122-G122)</f>
        <v/>
      </c>
      <c r="K122" s="7">
        <f>IF($D122="","",H122)</f>
        <v/>
      </c>
      <c r="L122" s="7">
        <f>IF($D122="","",IF(F122=0,"",ROUND(H122/F122*100,1)))</f>
        <v/>
      </c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R122">
        <f>IF(OR($D122="",M122="",1&gt;$F122),0,IF(UPPER(TRIM(M122))=IFERROR(INDEX(Key!$C$2:$C$263,MATCH($D122*100+1,Key!$G$2:$G$263,0)),"#"),1,0))</f>
        <v/>
      </c>
      <c r="AS122">
        <f>IF(OR($D122="",N122="",2&gt;$F122),0,IF(UPPER(TRIM(N122))=IFERROR(INDEX(Key!$C$2:$C$263,MATCH($D122*100+2,Key!$G$2:$G$263,0)),"#"),1,0))</f>
        <v/>
      </c>
      <c r="AT122">
        <f>IF(OR($D122="",O122="",3&gt;$F122),0,IF(UPPER(TRIM(O122))=IFERROR(INDEX(Key!$C$2:$C$263,MATCH($D122*100+3,Key!$G$2:$G$263,0)),"#"),1,0))</f>
        <v/>
      </c>
      <c r="AU122">
        <f>IF(OR($D122="",P122="",4&gt;$F122),0,IF(UPPER(TRIM(P122))=IFERROR(INDEX(Key!$C$2:$C$263,MATCH($D122*100+4,Key!$G$2:$G$263,0)),"#"),1,0))</f>
        <v/>
      </c>
      <c r="AV122">
        <f>IF(OR($D122="",Q122="",5&gt;$F122),0,IF(UPPER(TRIM(Q122))=IFERROR(INDEX(Key!$C$2:$C$263,MATCH($D122*100+5,Key!$G$2:$G$263,0)),"#"),1,0))</f>
        <v/>
      </c>
      <c r="AW122">
        <f>IF(OR($D122="",R122="",6&gt;$F122),0,IF(UPPER(TRIM(R122))=IFERROR(INDEX(Key!$C$2:$C$263,MATCH($D122*100+6,Key!$G$2:$G$263,0)),"#"),1,0))</f>
        <v/>
      </c>
      <c r="AX122">
        <f>IF(OR($D122="",S122="",7&gt;$F122),0,IF(UPPER(TRIM(S122))=IFERROR(INDEX(Key!$C$2:$C$263,MATCH($D122*100+7,Key!$G$2:$G$263,0)),"#"),1,0))</f>
        <v/>
      </c>
      <c r="AY122">
        <f>IF(OR($D122="",T122="",8&gt;$F122),0,IF(UPPER(TRIM(T122))=IFERROR(INDEX(Key!$C$2:$C$263,MATCH($D122*100+8,Key!$G$2:$G$263,0)),"#"),1,0))</f>
        <v/>
      </c>
      <c r="AZ122">
        <f>IF(OR($D122="",U122="",9&gt;$F122),0,IF(UPPER(TRIM(U122))=IFERROR(INDEX(Key!$C$2:$C$263,MATCH($D122*100+9,Key!$G$2:$G$263,0)),"#"),1,0))</f>
        <v/>
      </c>
      <c r="BA122">
        <f>IF(OR($D122="",V122="",10&gt;$F122),0,IF(UPPER(TRIM(V122))=IFERROR(INDEX(Key!$C$2:$C$263,MATCH($D122*100+10,Key!$G$2:$G$263,0)),"#"),1,0))</f>
        <v/>
      </c>
      <c r="BB122">
        <f>IF(OR($D122="",W122="",11&gt;$F122),0,IF(UPPER(TRIM(W122))=IFERROR(INDEX(Key!$C$2:$C$263,MATCH($D122*100+11,Key!$G$2:$G$263,0)),"#"),1,0))</f>
        <v/>
      </c>
      <c r="BC122">
        <f>IF(OR($D122="",X122="",12&gt;$F122),0,IF(UPPER(TRIM(X122))=IFERROR(INDEX(Key!$C$2:$C$263,MATCH($D122*100+12,Key!$G$2:$G$263,0)),"#"),1,0))</f>
        <v/>
      </c>
      <c r="BD122">
        <f>IF(OR($D122="",Y122="",13&gt;$F122),0,IF(UPPER(TRIM(Y122))=IFERROR(INDEX(Key!$C$2:$C$263,MATCH($D122*100+13,Key!$G$2:$G$263,0)),"#"),1,0))</f>
        <v/>
      </c>
      <c r="BE122">
        <f>IF(OR($D122="",Z122="",14&gt;$F122),0,IF(UPPER(TRIM(Z122))=IFERROR(INDEX(Key!$C$2:$C$263,MATCH($D122*100+14,Key!$G$2:$G$263,0)),"#"),1,0))</f>
        <v/>
      </c>
      <c r="BF122">
        <f>IF(OR($D122="",AA122="",15&gt;$F122),0,IF(UPPER(TRIM(AA122))=IFERROR(INDEX(Key!$C$2:$C$263,MATCH($D122*100+15,Key!$G$2:$G$263,0)),"#"),1,0))</f>
        <v/>
      </c>
      <c r="BG122">
        <f>IF(OR($D122="",AB122="",16&gt;$F122),0,IF(UPPER(TRIM(AB122))=IFERROR(INDEX(Key!$C$2:$C$263,MATCH($D122*100+16,Key!$G$2:$G$263,0)),"#"),1,0))</f>
        <v/>
      </c>
      <c r="BH122">
        <f>IF(OR($D122="",AC122="",17&gt;$F122),0,IF(UPPER(TRIM(AC122))=IFERROR(INDEX(Key!$C$2:$C$263,MATCH($D122*100+17,Key!$G$2:$G$263,0)),"#"),1,0))</f>
        <v/>
      </c>
      <c r="BI122">
        <f>IF(OR($D122="",AD122="",18&gt;$F122),0,IF(UPPER(TRIM(AD122))=IFERROR(INDEX(Key!$C$2:$C$263,MATCH($D122*100+18,Key!$G$2:$G$263,0)),"#"),1,0))</f>
        <v/>
      </c>
      <c r="BJ122">
        <f>IF(OR($D122="",AE122="",19&gt;$F122),0,IF(UPPER(TRIM(AE122))=IFERROR(INDEX(Key!$C$2:$C$263,MATCH($D122*100+19,Key!$G$2:$G$263,0)),"#"),1,0))</f>
        <v/>
      </c>
      <c r="BK122">
        <f>IF(OR($D122="",AF122="",20&gt;$F122),0,IF(UPPER(TRIM(AF122))=IFERROR(INDEX(Key!$C$2:$C$263,MATCH($D122*100+20,Key!$G$2:$G$263,0)),"#"),1,0))</f>
        <v/>
      </c>
      <c r="BL122">
        <f>IF(OR($D122="",AG122="",21&gt;$F122),0,IF(UPPER(TRIM(AG122))=IFERROR(INDEX(Key!$C$2:$C$263,MATCH($D122*100+21,Key!$G$2:$G$263,0)),"#"),1,0))</f>
        <v/>
      </c>
      <c r="BM122">
        <f>IF(OR($D122="",AH122="",22&gt;$F122),0,IF(UPPER(TRIM(AH122))=IFERROR(INDEX(Key!$C$2:$C$263,MATCH($D122*100+22,Key!$G$2:$G$263,0)),"#"),1,0))</f>
        <v/>
      </c>
      <c r="BN122">
        <f>IF(OR($D122="",AI122="",23&gt;$F122),0,IF(UPPER(TRIM(AI122))=IFERROR(INDEX(Key!$C$2:$C$263,MATCH($D122*100+23,Key!$G$2:$G$263,0)),"#"),1,0))</f>
        <v/>
      </c>
      <c r="BO122">
        <f>IF(OR($D122="",AJ122="",24&gt;$F122),0,IF(UPPER(TRIM(AJ122))=IFERROR(INDEX(Key!$C$2:$C$263,MATCH($D122*100+24,Key!$G$2:$G$263,0)),"#"),1,0))</f>
        <v/>
      </c>
      <c r="BP122">
        <f>IF(OR($D122="",AK122="",25&gt;$F122),0,IF(UPPER(TRIM(AK122))=IFERROR(INDEX(Key!$C$2:$C$263,MATCH($D122*100+25,Key!$G$2:$G$263,0)),"#"),1,0))</f>
        <v/>
      </c>
      <c r="BQ122">
        <f>IF(OR($D122="",AL122="",26&gt;$F122),0,IF(UPPER(TRIM(AL122))=IFERROR(INDEX(Key!$C$2:$C$263,MATCH($D122*100+26,Key!$G$2:$G$263,0)),"#"),1,0))</f>
        <v/>
      </c>
      <c r="BR122">
        <f>IF(OR($D122="",AM122="",27&gt;$F122),0,IF(UPPER(TRIM(AM122))=IFERROR(INDEX(Key!$C$2:$C$263,MATCH($D122*100+27,Key!$G$2:$G$263,0)),"#"),1,0))</f>
        <v/>
      </c>
      <c r="BS122">
        <f>IF(OR($D122="",AN122="",28&gt;$F122),0,IF(UPPER(TRIM(AN122))=IFERROR(INDEX(Key!$C$2:$C$263,MATCH($D122*100+28,Key!$G$2:$G$263,0)),"#"),1,0))</f>
        <v/>
      </c>
      <c r="BT122">
        <f>IF(OR($D122="",AO122="",29&gt;$F122),0,IF(UPPER(TRIM(AO122))=IFERROR(INDEX(Key!$C$2:$C$263,MATCH($D122*100+29,Key!$G$2:$G$263,0)),"#"),1,0))</f>
        <v/>
      </c>
      <c r="BU122">
        <f>IF(OR($D122="",AP122="",30&gt;$F122),0,IF(UPPER(TRIM(AP122))=IFERROR(INDEX(Key!$C$2:$C$263,MATCH($D122*100+30,Key!$G$2:$G$263,0)),"#"),1,0))</f>
        <v/>
      </c>
    </row>
    <row r="123">
      <c r="A123" s="6" t="n"/>
      <c r="B123" s="6" t="n"/>
      <c r="C123" s="6" t="n"/>
      <c r="D123" s="6" t="n"/>
      <c r="E123" s="7">
        <f>IF($D123="","",IFERROR(INDEX(Papers!$B$2:$B$12,MATCH($D123,Papers!$A$2:$A$12,0)),"?"))</f>
        <v/>
      </c>
      <c r="F123" s="7">
        <f>IF($D123="","",IFERROR(INDEX(Papers!$C$2:$C$12,MATCH($D123,Papers!$A$2:$A$12,0)),0))</f>
        <v/>
      </c>
      <c r="G123" s="7">
        <f>IF($D123="","",COUNTIF(M123:AP123,"?*"))</f>
        <v/>
      </c>
      <c r="H123" s="7">
        <f>IF($D123="","",SUM(AR123:BU123))</f>
        <v/>
      </c>
      <c r="I123" s="7">
        <f>IF($D123="","",G123-H123)</f>
        <v/>
      </c>
      <c r="J123" s="7">
        <f>IF($D123="","",F123-G123)</f>
        <v/>
      </c>
      <c r="K123" s="7">
        <f>IF($D123="","",H123)</f>
        <v/>
      </c>
      <c r="L123" s="7">
        <f>IF($D123="","",IF(F123=0,"",ROUND(H123/F123*100,1)))</f>
        <v/>
      </c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R123">
        <f>IF(OR($D123="",M123="",1&gt;$F123),0,IF(UPPER(TRIM(M123))=IFERROR(INDEX(Key!$C$2:$C$263,MATCH($D123*100+1,Key!$G$2:$G$263,0)),"#"),1,0))</f>
        <v/>
      </c>
      <c r="AS123">
        <f>IF(OR($D123="",N123="",2&gt;$F123),0,IF(UPPER(TRIM(N123))=IFERROR(INDEX(Key!$C$2:$C$263,MATCH($D123*100+2,Key!$G$2:$G$263,0)),"#"),1,0))</f>
        <v/>
      </c>
      <c r="AT123">
        <f>IF(OR($D123="",O123="",3&gt;$F123),0,IF(UPPER(TRIM(O123))=IFERROR(INDEX(Key!$C$2:$C$263,MATCH($D123*100+3,Key!$G$2:$G$263,0)),"#"),1,0))</f>
        <v/>
      </c>
      <c r="AU123">
        <f>IF(OR($D123="",P123="",4&gt;$F123),0,IF(UPPER(TRIM(P123))=IFERROR(INDEX(Key!$C$2:$C$263,MATCH($D123*100+4,Key!$G$2:$G$263,0)),"#"),1,0))</f>
        <v/>
      </c>
      <c r="AV123">
        <f>IF(OR($D123="",Q123="",5&gt;$F123),0,IF(UPPER(TRIM(Q123))=IFERROR(INDEX(Key!$C$2:$C$263,MATCH($D123*100+5,Key!$G$2:$G$263,0)),"#"),1,0))</f>
        <v/>
      </c>
      <c r="AW123">
        <f>IF(OR($D123="",R123="",6&gt;$F123),0,IF(UPPER(TRIM(R123))=IFERROR(INDEX(Key!$C$2:$C$263,MATCH($D123*100+6,Key!$G$2:$G$263,0)),"#"),1,0))</f>
        <v/>
      </c>
      <c r="AX123">
        <f>IF(OR($D123="",S123="",7&gt;$F123),0,IF(UPPER(TRIM(S123))=IFERROR(INDEX(Key!$C$2:$C$263,MATCH($D123*100+7,Key!$G$2:$G$263,0)),"#"),1,0))</f>
        <v/>
      </c>
      <c r="AY123">
        <f>IF(OR($D123="",T123="",8&gt;$F123),0,IF(UPPER(TRIM(T123))=IFERROR(INDEX(Key!$C$2:$C$263,MATCH($D123*100+8,Key!$G$2:$G$263,0)),"#"),1,0))</f>
        <v/>
      </c>
      <c r="AZ123">
        <f>IF(OR($D123="",U123="",9&gt;$F123),0,IF(UPPER(TRIM(U123))=IFERROR(INDEX(Key!$C$2:$C$263,MATCH($D123*100+9,Key!$G$2:$G$263,0)),"#"),1,0))</f>
        <v/>
      </c>
      <c r="BA123">
        <f>IF(OR($D123="",V123="",10&gt;$F123),0,IF(UPPER(TRIM(V123))=IFERROR(INDEX(Key!$C$2:$C$263,MATCH($D123*100+10,Key!$G$2:$G$263,0)),"#"),1,0))</f>
        <v/>
      </c>
      <c r="BB123">
        <f>IF(OR($D123="",W123="",11&gt;$F123),0,IF(UPPER(TRIM(W123))=IFERROR(INDEX(Key!$C$2:$C$263,MATCH($D123*100+11,Key!$G$2:$G$263,0)),"#"),1,0))</f>
        <v/>
      </c>
      <c r="BC123">
        <f>IF(OR($D123="",X123="",12&gt;$F123),0,IF(UPPER(TRIM(X123))=IFERROR(INDEX(Key!$C$2:$C$263,MATCH($D123*100+12,Key!$G$2:$G$263,0)),"#"),1,0))</f>
        <v/>
      </c>
      <c r="BD123">
        <f>IF(OR($D123="",Y123="",13&gt;$F123),0,IF(UPPER(TRIM(Y123))=IFERROR(INDEX(Key!$C$2:$C$263,MATCH($D123*100+13,Key!$G$2:$G$263,0)),"#"),1,0))</f>
        <v/>
      </c>
      <c r="BE123">
        <f>IF(OR($D123="",Z123="",14&gt;$F123),0,IF(UPPER(TRIM(Z123))=IFERROR(INDEX(Key!$C$2:$C$263,MATCH($D123*100+14,Key!$G$2:$G$263,0)),"#"),1,0))</f>
        <v/>
      </c>
      <c r="BF123">
        <f>IF(OR($D123="",AA123="",15&gt;$F123),0,IF(UPPER(TRIM(AA123))=IFERROR(INDEX(Key!$C$2:$C$263,MATCH($D123*100+15,Key!$G$2:$G$263,0)),"#"),1,0))</f>
        <v/>
      </c>
      <c r="BG123">
        <f>IF(OR($D123="",AB123="",16&gt;$F123),0,IF(UPPER(TRIM(AB123))=IFERROR(INDEX(Key!$C$2:$C$263,MATCH($D123*100+16,Key!$G$2:$G$263,0)),"#"),1,0))</f>
        <v/>
      </c>
      <c r="BH123">
        <f>IF(OR($D123="",AC123="",17&gt;$F123),0,IF(UPPER(TRIM(AC123))=IFERROR(INDEX(Key!$C$2:$C$263,MATCH($D123*100+17,Key!$G$2:$G$263,0)),"#"),1,0))</f>
        <v/>
      </c>
      <c r="BI123">
        <f>IF(OR($D123="",AD123="",18&gt;$F123),0,IF(UPPER(TRIM(AD123))=IFERROR(INDEX(Key!$C$2:$C$263,MATCH($D123*100+18,Key!$G$2:$G$263,0)),"#"),1,0))</f>
        <v/>
      </c>
      <c r="BJ123">
        <f>IF(OR($D123="",AE123="",19&gt;$F123),0,IF(UPPER(TRIM(AE123))=IFERROR(INDEX(Key!$C$2:$C$263,MATCH($D123*100+19,Key!$G$2:$G$263,0)),"#"),1,0))</f>
        <v/>
      </c>
      <c r="BK123">
        <f>IF(OR($D123="",AF123="",20&gt;$F123),0,IF(UPPER(TRIM(AF123))=IFERROR(INDEX(Key!$C$2:$C$263,MATCH($D123*100+20,Key!$G$2:$G$263,0)),"#"),1,0))</f>
        <v/>
      </c>
      <c r="BL123">
        <f>IF(OR($D123="",AG123="",21&gt;$F123),0,IF(UPPER(TRIM(AG123))=IFERROR(INDEX(Key!$C$2:$C$263,MATCH($D123*100+21,Key!$G$2:$G$263,0)),"#"),1,0))</f>
        <v/>
      </c>
      <c r="BM123">
        <f>IF(OR($D123="",AH123="",22&gt;$F123),0,IF(UPPER(TRIM(AH123))=IFERROR(INDEX(Key!$C$2:$C$263,MATCH($D123*100+22,Key!$G$2:$G$263,0)),"#"),1,0))</f>
        <v/>
      </c>
      <c r="BN123">
        <f>IF(OR($D123="",AI123="",23&gt;$F123),0,IF(UPPER(TRIM(AI123))=IFERROR(INDEX(Key!$C$2:$C$263,MATCH($D123*100+23,Key!$G$2:$G$263,0)),"#"),1,0))</f>
        <v/>
      </c>
      <c r="BO123">
        <f>IF(OR($D123="",AJ123="",24&gt;$F123),0,IF(UPPER(TRIM(AJ123))=IFERROR(INDEX(Key!$C$2:$C$263,MATCH($D123*100+24,Key!$G$2:$G$263,0)),"#"),1,0))</f>
        <v/>
      </c>
      <c r="BP123">
        <f>IF(OR($D123="",AK123="",25&gt;$F123),0,IF(UPPER(TRIM(AK123))=IFERROR(INDEX(Key!$C$2:$C$263,MATCH($D123*100+25,Key!$G$2:$G$263,0)),"#"),1,0))</f>
        <v/>
      </c>
      <c r="BQ123">
        <f>IF(OR($D123="",AL123="",26&gt;$F123),0,IF(UPPER(TRIM(AL123))=IFERROR(INDEX(Key!$C$2:$C$263,MATCH($D123*100+26,Key!$G$2:$G$263,0)),"#"),1,0))</f>
        <v/>
      </c>
      <c r="BR123">
        <f>IF(OR($D123="",AM123="",27&gt;$F123),0,IF(UPPER(TRIM(AM123))=IFERROR(INDEX(Key!$C$2:$C$263,MATCH($D123*100+27,Key!$G$2:$G$263,0)),"#"),1,0))</f>
        <v/>
      </c>
      <c r="BS123">
        <f>IF(OR($D123="",AN123="",28&gt;$F123),0,IF(UPPER(TRIM(AN123))=IFERROR(INDEX(Key!$C$2:$C$263,MATCH($D123*100+28,Key!$G$2:$G$263,0)),"#"),1,0))</f>
        <v/>
      </c>
      <c r="BT123">
        <f>IF(OR($D123="",AO123="",29&gt;$F123),0,IF(UPPER(TRIM(AO123))=IFERROR(INDEX(Key!$C$2:$C$263,MATCH($D123*100+29,Key!$G$2:$G$263,0)),"#"),1,0))</f>
        <v/>
      </c>
      <c r="BU123">
        <f>IF(OR($D123="",AP123="",30&gt;$F123),0,IF(UPPER(TRIM(AP123))=IFERROR(INDEX(Key!$C$2:$C$263,MATCH($D123*100+30,Key!$G$2:$G$263,0)),"#"),1,0))</f>
        <v/>
      </c>
    </row>
    <row r="124">
      <c r="A124" s="6" t="n"/>
      <c r="B124" s="6" t="n"/>
      <c r="C124" s="6" t="n"/>
      <c r="D124" s="6" t="n"/>
      <c r="E124" s="7">
        <f>IF($D124="","",IFERROR(INDEX(Papers!$B$2:$B$12,MATCH($D124,Papers!$A$2:$A$12,0)),"?"))</f>
        <v/>
      </c>
      <c r="F124" s="7">
        <f>IF($D124="","",IFERROR(INDEX(Papers!$C$2:$C$12,MATCH($D124,Papers!$A$2:$A$12,0)),0))</f>
        <v/>
      </c>
      <c r="G124" s="7">
        <f>IF($D124="","",COUNTIF(M124:AP124,"?*"))</f>
        <v/>
      </c>
      <c r="H124" s="7">
        <f>IF($D124="","",SUM(AR124:BU124))</f>
        <v/>
      </c>
      <c r="I124" s="7">
        <f>IF($D124="","",G124-H124)</f>
        <v/>
      </c>
      <c r="J124" s="7">
        <f>IF($D124="","",F124-G124)</f>
        <v/>
      </c>
      <c r="K124" s="7">
        <f>IF($D124="","",H124)</f>
        <v/>
      </c>
      <c r="L124" s="7">
        <f>IF($D124="","",IF(F124=0,"",ROUND(H124/F124*100,1)))</f>
        <v/>
      </c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R124">
        <f>IF(OR($D124="",M124="",1&gt;$F124),0,IF(UPPER(TRIM(M124))=IFERROR(INDEX(Key!$C$2:$C$263,MATCH($D124*100+1,Key!$G$2:$G$263,0)),"#"),1,0))</f>
        <v/>
      </c>
      <c r="AS124">
        <f>IF(OR($D124="",N124="",2&gt;$F124),0,IF(UPPER(TRIM(N124))=IFERROR(INDEX(Key!$C$2:$C$263,MATCH($D124*100+2,Key!$G$2:$G$263,0)),"#"),1,0))</f>
        <v/>
      </c>
      <c r="AT124">
        <f>IF(OR($D124="",O124="",3&gt;$F124),0,IF(UPPER(TRIM(O124))=IFERROR(INDEX(Key!$C$2:$C$263,MATCH($D124*100+3,Key!$G$2:$G$263,0)),"#"),1,0))</f>
        <v/>
      </c>
      <c r="AU124">
        <f>IF(OR($D124="",P124="",4&gt;$F124),0,IF(UPPER(TRIM(P124))=IFERROR(INDEX(Key!$C$2:$C$263,MATCH($D124*100+4,Key!$G$2:$G$263,0)),"#"),1,0))</f>
        <v/>
      </c>
      <c r="AV124">
        <f>IF(OR($D124="",Q124="",5&gt;$F124),0,IF(UPPER(TRIM(Q124))=IFERROR(INDEX(Key!$C$2:$C$263,MATCH($D124*100+5,Key!$G$2:$G$263,0)),"#"),1,0))</f>
        <v/>
      </c>
      <c r="AW124">
        <f>IF(OR($D124="",R124="",6&gt;$F124),0,IF(UPPER(TRIM(R124))=IFERROR(INDEX(Key!$C$2:$C$263,MATCH($D124*100+6,Key!$G$2:$G$263,0)),"#"),1,0))</f>
        <v/>
      </c>
      <c r="AX124">
        <f>IF(OR($D124="",S124="",7&gt;$F124),0,IF(UPPER(TRIM(S124))=IFERROR(INDEX(Key!$C$2:$C$263,MATCH($D124*100+7,Key!$G$2:$G$263,0)),"#"),1,0))</f>
        <v/>
      </c>
      <c r="AY124">
        <f>IF(OR($D124="",T124="",8&gt;$F124),0,IF(UPPER(TRIM(T124))=IFERROR(INDEX(Key!$C$2:$C$263,MATCH($D124*100+8,Key!$G$2:$G$263,0)),"#"),1,0))</f>
        <v/>
      </c>
      <c r="AZ124">
        <f>IF(OR($D124="",U124="",9&gt;$F124),0,IF(UPPER(TRIM(U124))=IFERROR(INDEX(Key!$C$2:$C$263,MATCH($D124*100+9,Key!$G$2:$G$263,0)),"#"),1,0))</f>
        <v/>
      </c>
      <c r="BA124">
        <f>IF(OR($D124="",V124="",10&gt;$F124),0,IF(UPPER(TRIM(V124))=IFERROR(INDEX(Key!$C$2:$C$263,MATCH($D124*100+10,Key!$G$2:$G$263,0)),"#"),1,0))</f>
        <v/>
      </c>
      <c r="BB124">
        <f>IF(OR($D124="",W124="",11&gt;$F124),0,IF(UPPER(TRIM(W124))=IFERROR(INDEX(Key!$C$2:$C$263,MATCH($D124*100+11,Key!$G$2:$G$263,0)),"#"),1,0))</f>
        <v/>
      </c>
      <c r="BC124">
        <f>IF(OR($D124="",X124="",12&gt;$F124),0,IF(UPPER(TRIM(X124))=IFERROR(INDEX(Key!$C$2:$C$263,MATCH($D124*100+12,Key!$G$2:$G$263,0)),"#"),1,0))</f>
        <v/>
      </c>
      <c r="BD124">
        <f>IF(OR($D124="",Y124="",13&gt;$F124),0,IF(UPPER(TRIM(Y124))=IFERROR(INDEX(Key!$C$2:$C$263,MATCH($D124*100+13,Key!$G$2:$G$263,0)),"#"),1,0))</f>
        <v/>
      </c>
      <c r="BE124">
        <f>IF(OR($D124="",Z124="",14&gt;$F124),0,IF(UPPER(TRIM(Z124))=IFERROR(INDEX(Key!$C$2:$C$263,MATCH($D124*100+14,Key!$G$2:$G$263,0)),"#"),1,0))</f>
        <v/>
      </c>
      <c r="BF124">
        <f>IF(OR($D124="",AA124="",15&gt;$F124),0,IF(UPPER(TRIM(AA124))=IFERROR(INDEX(Key!$C$2:$C$263,MATCH($D124*100+15,Key!$G$2:$G$263,0)),"#"),1,0))</f>
        <v/>
      </c>
      <c r="BG124">
        <f>IF(OR($D124="",AB124="",16&gt;$F124),0,IF(UPPER(TRIM(AB124))=IFERROR(INDEX(Key!$C$2:$C$263,MATCH($D124*100+16,Key!$G$2:$G$263,0)),"#"),1,0))</f>
        <v/>
      </c>
      <c r="BH124">
        <f>IF(OR($D124="",AC124="",17&gt;$F124),0,IF(UPPER(TRIM(AC124))=IFERROR(INDEX(Key!$C$2:$C$263,MATCH($D124*100+17,Key!$G$2:$G$263,0)),"#"),1,0))</f>
        <v/>
      </c>
      <c r="BI124">
        <f>IF(OR($D124="",AD124="",18&gt;$F124),0,IF(UPPER(TRIM(AD124))=IFERROR(INDEX(Key!$C$2:$C$263,MATCH($D124*100+18,Key!$G$2:$G$263,0)),"#"),1,0))</f>
        <v/>
      </c>
      <c r="BJ124">
        <f>IF(OR($D124="",AE124="",19&gt;$F124),0,IF(UPPER(TRIM(AE124))=IFERROR(INDEX(Key!$C$2:$C$263,MATCH($D124*100+19,Key!$G$2:$G$263,0)),"#"),1,0))</f>
        <v/>
      </c>
      <c r="BK124">
        <f>IF(OR($D124="",AF124="",20&gt;$F124),0,IF(UPPER(TRIM(AF124))=IFERROR(INDEX(Key!$C$2:$C$263,MATCH($D124*100+20,Key!$G$2:$G$263,0)),"#"),1,0))</f>
        <v/>
      </c>
      <c r="BL124">
        <f>IF(OR($D124="",AG124="",21&gt;$F124),0,IF(UPPER(TRIM(AG124))=IFERROR(INDEX(Key!$C$2:$C$263,MATCH($D124*100+21,Key!$G$2:$G$263,0)),"#"),1,0))</f>
        <v/>
      </c>
      <c r="BM124">
        <f>IF(OR($D124="",AH124="",22&gt;$F124),0,IF(UPPER(TRIM(AH124))=IFERROR(INDEX(Key!$C$2:$C$263,MATCH($D124*100+22,Key!$G$2:$G$263,0)),"#"),1,0))</f>
        <v/>
      </c>
      <c r="BN124">
        <f>IF(OR($D124="",AI124="",23&gt;$F124),0,IF(UPPER(TRIM(AI124))=IFERROR(INDEX(Key!$C$2:$C$263,MATCH($D124*100+23,Key!$G$2:$G$263,0)),"#"),1,0))</f>
        <v/>
      </c>
      <c r="BO124">
        <f>IF(OR($D124="",AJ124="",24&gt;$F124),0,IF(UPPER(TRIM(AJ124))=IFERROR(INDEX(Key!$C$2:$C$263,MATCH($D124*100+24,Key!$G$2:$G$263,0)),"#"),1,0))</f>
        <v/>
      </c>
      <c r="BP124">
        <f>IF(OR($D124="",AK124="",25&gt;$F124),0,IF(UPPER(TRIM(AK124))=IFERROR(INDEX(Key!$C$2:$C$263,MATCH($D124*100+25,Key!$G$2:$G$263,0)),"#"),1,0))</f>
        <v/>
      </c>
      <c r="BQ124">
        <f>IF(OR($D124="",AL124="",26&gt;$F124),0,IF(UPPER(TRIM(AL124))=IFERROR(INDEX(Key!$C$2:$C$263,MATCH($D124*100+26,Key!$G$2:$G$263,0)),"#"),1,0))</f>
        <v/>
      </c>
      <c r="BR124">
        <f>IF(OR($D124="",AM124="",27&gt;$F124),0,IF(UPPER(TRIM(AM124))=IFERROR(INDEX(Key!$C$2:$C$263,MATCH($D124*100+27,Key!$G$2:$G$263,0)),"#"),1,0))</f>
        <v/>
      </c>
      <c r="BS124">
        <f>IF(OR($D124="",AN124="",28&gt;$F124),0,IF(UPPER(TRIM(AN124))=IFERROR(INDEX(Key!$C$2:$C$263,MATCH($D124*100+28,Key!$G$2:$G$263,0)),"#"),1,0))</f>
        <v/>
      </c>
      <c r="BT124">
        <f>IF(OR($D124="",AO124="",29&gt;$F124),0,IF(UPPER(TRIM(AO124))=IFERROR(INDEX(Key!$C$2:$C$263,MATCH($D124*100+29,Key!$G$2:$G$263,0)),"#"),1,0))</f>
        <v/>
      </c>
      <c r="BU124">
        <f>IF(OR($D124="",AP124="",30&gt;$F124),0,IF(UPPER(TRIM(AP124))=IFERROR(INDEX(Key!$C$2:$C$263,MATCH($D124*100+30,Key!$G$2:$G$263,0)),"#"),1,0))</f>
        <v/>
      </c>
    </row>
    <row r="125">
      <c r="A125" s="6" t="n"/>
      <c r="B125" s="6" t="n"/>
      <c r="C125" s="6" t="n"/>
      <c r="D125" s="6" t="n"/>
      <c r="E125" s="7">
        <f>IF($D125="","",IFERROR(INDEX(Papers!$B$2:$B$12,MATCH($D125,Papers!$A$2:$A$12,0)),"?"))</f>
        <v/>
      </c>
      <c r="F125" s="7">
        <f>IF($D125="","",IFERROR(INDEX(Papers!$C$2:$C$12,MATCH($D125,Papers!$A$2:$A$12,0)),0))</f>
        <v/>
      </c>
      <c r="G125" s="7">
        <f>IF($D125="","",COUNTIF(M125:AP125,"?*"))</f>
        <v/>
      </c>
      <c r="H125" s="7">
        <f>IF($D125="","",SUM(AR125:BU125))</f>
        <v/>
      </c>
      <c r="I125" s="7">
        <f>IF($D125="","",G125-H125)</f>
        <v/>
      </c>
      <c r="J125" s="7">
        <f>IF($D125="","",F125-G125)</f>
        <v/>
      </c>
      <c r="K125" s="7">
        <f>IF($D125="","",H125)</f>
        <v/>
      </c>
      <c r="L125" s="7">
        <f>IF($D125="","",IF(F125=0,"",ROUND(H125/F125*100,1)))</f>
        <v/>
      </c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R125">
        <f>IF(OR($D125="",M125="",1&gt;$F125),0,IF(UPPER(TRIM(M125))=IFERROR(INDEX(Key!$C$2:$C$263,MATCH($D125*100+1,Key!$G$2:$G$263,0)),"#"),1,0))</f>
        <v/>
      </c>
      <c r="AS125">
        <f>IF(OR($D125="",N125="",2&gt;$F125),0,IF(UPPER(TRIM(N125))=IFERROR(INDEX(Key!$C$2:$C$263,MATCH($D125*100+2,Key!$G$2:$G$263,0)),"#"),1,0))</f>
        <v/>
      </c>
      <c r="AT125">
        <f>IF(OR($D125="",O125="",3&gt;$F125),0,IF(UPPER(TRIM(O125))=IFERROR(INDEX(Key!$C$2:$C$263,MATCH($D125*100+3,Key!$G$2:$G$263,0)),"#"),1,0))</f>
        <v/>
      </c>
      <c r="AU125">
        <f>IF(OR($D125="",P125="",4&gt;$F125),0,IF(UPPER(TRIM(P125))=IFERROR(INDEX(Key!$C$2:$C$263,MATCH($D125*100+4,Key!$G$2:$G$263,0)),"#"),1,0))</f>
        <v/>
      </c>
      <c r="AV125">
        <f>IF(OR($D125="",Q125="",5&gt;$F125),0,IF(UPPER(TRIM(Q125))=IFERROR(INDEX(Key!$C$2:$C$263,MATCH($D125*100+5,Key!$G$2:$G$263,0)),"#"),1,0))</f>
        <v/>
      </c>
      <c r="AW125">
        <f>IF(OR($D125="",R125="",6&gt;$F125),0,IF(UPPER(TRIM(R125))=IFERROR(INDEX(Key!$C$2:$C$263,MATCH($D125*100+6,Key!$G$2:$G$263,0)),"#"),1,0))</f>
        <v/>
      </c>
      <c r="AX125">
        <f>IF(OR($D125="",S125="",7&gt;$F125),0,IF(UPPER(TRIM(S125))=IFERROR(INDEX(Key!$C$2:$C$263,MATCH($D125*100+7,Key!$G$2:$G$263,0)),"#"),1,0))</f>
        <v/>
      </c>
      <c r="AY125">
        <f>IF(OR($D125="",T125="",8&gt;$F125),0,IF(UPPER(TRIM(T125))=IFERROR(INDEX(Key!$C$2:$C$263,MATCH($D125*100+8,Key!$G$2:$G$263,0)),"#"),1,0))</f>
        <v/>
      </c>
      <c r="AZ125">
        <f>IF(OR($D125="",U125="",9&gt;$F125),0,IF(UPPER(TRIM(U125))=IFERROR(INDEX(Key!$C$2:$C$263,MATCH($D125*100+9,Key!$G$2:$G$263,0)),"#"),1,0))</f>
        <v/>
      </c>
      <c r="BA125">
        <f>IF(OR($D125="",V125="",10&gt;$F125),0,IF(UPPER(TRIM(V125))=IFERROR(INDEX(Key!$C$2:$C$263,MATCH($D125*100+10,Key!$G$2:$G$263,0)),"#"),1,0))</f>
        <v/>
      </c>
      <c r="BB125">
        <f>IF(OR($D125="",W125="",11&gt;$F125),0,IF(UPPER(TRIM(W125))=IFERROR(INDEX(Key!$C$2:$C$263,MATCH($D125*100+11,Key!$G$2:$G$263,0)),"#"),1,0))</f>
        <v/>
      </c>
      <c r="BC125">
        <f>IF(OR($D125="",X125="",12&gt;$F125),0,IF(UPPER(TRIM(X125))=IFERROR(INDEX(Key!$C$2:$C$263,MATCH($D125*100+12,Key!$G$2:$G$263,0)),"#"),1,0))</f>
        <v/>
      </c>
      <c r="BD125">
        <f>IF(OR($D125="",Y125="",13&gt;$F125),0,IF(UPPER(TRIM(Y125))=IFERROR(INDEX(Key!$C$2:$C$263,MATCH($D125*100+13,Key!$G$2:$G$263,0)),"#"),1,0))</f>
        <v/>
      </c>
      <c r="BE125">
        <f>IF(OR($D125="",Z125="",14&gt;$F125),0,IF(UPPER(TRIM(Z125))=IFERROR(INDEX(Key!$C$2:$C$263,MATCH($D125*100+14,Key!$G$2:$G$263,0)),"#"),1,0))</f>
        <v/>
      </c>
      <c r="BF125">
        <f>IF(OR($D125="",AA125="",15&gt;$F125),0,IF(UPPER(TRIM(AA125))=IFERROR(INDEX(Key!$C$2:$C$263,MATCH($D125*100+15,Key!$G$2:$G$263,0)),"#"),1,0))</f>
        <v/>
      </c>
      <c r="BG125">
        <f>IF(OR($D125="",AB125="",16&gt;$F125),0,IF(UPPER(TRIM(AB125))=IFERROR(INDEX(Key!$C$2:$C$263,MATCH($D125*100+16,Key!$G$2:$G$263,0)),"#"),1,0))</f>
        <v/>
      </c>
      <c r="BH125">
        <f>IF(OR($D125="",AC125="",17&gt;$F125),0,IF(UPPER(TRIM(AC125))=IFERROR(INDEX(Key!$C$2:$C$263,MATCH($D125*100+17,Key!$G$2:$G$263,0)),"#"),1,0))</f>
        <v/>
      </c>
      <c r="BI125">
        <f>IF(OR($D125="",AD125="",18&gt;$F125),0,IF(UPPER(TRIM(AD125))=IFERROR(INDEX(Key!$C$2:$C$263,MATCH($D125*100+18,Key!$G$2:$G$263,0)),"#"),1,0))</f>
        <v/>
      </c>
      <c r="BJ125">
        <f>IF(OR($D125="",AE125="",19&gt;$F125),0,IF(UPPER(TRIM(AE125))=IFERROR(INDEX(Key!$C$2:$C$263,MATCH($D125*100+19,Key!$G$2:$G$263,0)),"#"),1,0))</f>
        <v/>
      </c>
      <c r="BK125">
        <f>IF(OR($D125="",AF125="",20&gt;$F125),0,IF(UPPER(TRIM(AF125))=IFERROR(INDEX(Key!$C$2:$C$263,MATCH($D125*100+20,Key!$G$2:$G$263,0)),"#"),1,0))</f>
        <v/>
      </c>
      <c r="BL125">
        <f>IF(OR($D125="",AG125="",21&gt;$F125),0,IF(UPPER(TRIM(AG125))=IFERROR(INDEX(Key!$C$2:$C$263,MATCH($D125*100+21,Key!$G$2:$G$263,0)),"#"),1,0))</f>
        <v/>
      </c>
      <c r="BM125">
        <f>IF(OR($D125="",AH125="",22&gt;$F125),0,IF(UPPER(TRIM(AH125))=IFERROR(INDEX(Key!$C$2:$C$263,MATCH($D125*100+22,Key!$G$2:$G$263,0)),"#"),1,0))</f>
        <v/>
      </c>
      <c r="BN125">
        <f>IF(OR($D125="",AI125="",23&gt;$F125),0,IF(UPPER(TRIM(AI125))=IFERROR(INDEX(Key!$C$2:$C$263,MATCH($D125*100+23,Key!$G$2:$G$263,0)),"#"),1,0))</f>
        <v/>
      </c>
      <c r="BO125">
        <f>IF(OR($D125="",AJ125="",24&gt;$F125),0,IF(UPPER(TRIM(AJ125))=IFERROR(INDEX(Key!$C$2:$C$263,MATCH($D125*100+24,Key!$G$2:$G$263,0)),"#"),1,0))</f>
        <v/>
      </c>
      <c r="BP125">
        <f>IF(OR($D125="",AK125="",25&gt;$F125),0,IF(UPPER(TRIM(AK125))=IFERROR(INDEX(Key!$C$2:$C$263,MATCH($D125*100+25,Key!$G$2:$G$263,0)),"#"),1,0))</f>
        <v/>
      </c>
      <c r="BQ125">
        <f>IF(OR($D125="",AL125="",26&gt;$F125),0,IF(UPPER(TRIM(AL125))=IFERROR(INDEX(Key!$C$2:$C$263,MATCH($D125*100+26,Key!$G$2:$G$263,0)),"#"),1,0))</f>
        <v/>
      </c>
      <c r="BR125">
        <f>IF(OR($D125="",AM125="",27&gt;$F125),0,IF(UPPER(TRIM(AM125))=IFERROR(INDEX(Key!$C$2:$C$263,MATCH($D125*100+27,Key!$G$2:$G$263,0)),"#"),1,0))</f>
        <v/>
      </c>
      <c r="BS125">
        <f>IF(OR($D125="",AN125="",28&gt;$F125),0,IF(UPPER(TRIM(AN125))=IFERROR(INDEX(Key!$C$2:$C$263,MATCH($D125*100+28,Key!$G$2:$G$263,0)),"#"),1,0))</f>
        <v/>
      </c>
      <c r="BT125">
        <f>IF(OR($D125="",AO125="",29&gt;$F125),0,IF(UPPER(TRIM(AO125))=IFERROR(INDEX(Key!$C$2:$C$263,MATCH($D125*100+29,Key!$G$2:$G$263,0)),"#"),1,0))</f>
        <v/>
      </c>
      <c r="BU125">
        <f>IF(OR($D125="",AP125="",30&gt;$F125),0,IF(UPPER(TRIM(AP125))=IFERROR(INDEX(Key!$C$2:$C$263,MATCH($D125*100+30,Key!$G$2:$G$263,0)),"#"),1,0))</f>
        <v/>
      </c>
    </row>
    <row r="126">
      <c r="A126" s="6" t="n"/>
      <c r="B126" s="6" t="n"/>
      <c r="C126" s="6" t="n"/>
      <c r="D126" s="6" t="n"/>
      <c r="E126" s="7">
        <f>IF($D126="","",IFERROR(INDEX(Papers!$B$2:$B$12,MATCH($D126,Papers!$A$2:$A$12,0)),"?"))</f>
        <v/>
      </c>
      <c r="F126" s="7">
        <f>IF($D126="","",IFERROR(INDEX(Papers!$C$2:$C$12,MATCH($D126,Papers!$A$2:$A$12,0)),0))</f>
        <v/>
      </c>
      <c r="G126" s="7">
        <f>IF($D126="","",COUNTIF(M126:AP126,"?*"))</f>
        <v/>
      </c>
      <c r="H126" s="7">
        <f>IF($D126="","",SUM(AR126:BU126))</f>
        <v/>
      </c>
      <c r="I126" s="7">
        <f>IF($D126="","",G126-H126)</f>
        <v/>
      </c>
      <c r="J126" s="7">
        <f>IF($D126="","",F126-G126)</f>
        <v/>
      </c>
      <c r="K126" s="7">
        <f>IF($D126="","",H126)</f>
        <v/>
      </c>
      <c r="L126" s="7">
        <f>IF($D126="","",IF(F126=0,"",ROUND(H126/F126*100,1)))</f>
        <v/>
      </c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R126">
        <f>IF(OR($D126="",M126="",1&gt;$F126),0,IF(UPPER(TRIM(M126))=IFERROR(INDEX(Key!$C$2:$C$263,MATCH($D126*100+1,Key!$G$2:$G$263,0)),"#"),1,0))</f>
        <v/>
      </c>
      <c r="AS126">
        <f>IF(OR($D126="",N126="",2&gt;$F126),0,IF(UPPER(TRIM(N126))=IFERROR(INDEX(Key!$C$2:$C$263,MATCH($D126*100+2,Key!$G$2:$G$263,0)),"#"),1,0))</f>
        <v/>
      </c>
      <c r="AT126">
        <f>IF(OR($D126="",O126="",3&gt;$F126),0,IF(UPPER(TRIM(O126))=IFERROR(INDEX(Key!$C$2:$C$263,MATCH($D126*100+3,Key!$G$2:$G$263,0)),"#"),1,0))</f>
        <v/>
      </c>
      <c r="AU126">
        <f>IF(OR($D126="",P126="",4&gt;$F126),0,IF(UPPER(TRIM(P126))=IFERROR(INDEX(Key!$C$2:$C$263,MATCH($D126*100+4,Key!$G$2:$G$263,0)),"#"),1,0))</f>
        <v/>
      </c>
      <c r="AV126">
        <f>IF(OR($D126="",Q126="",5&gt;$F126),0,IF(UPPER(TRIM(Q126))=IFERROR(INDEX(Key!$C$2:$C$263,MATCH($D126*100+5,Key!$G$2:$G$263,0)),"#"),1,0))</f>
        <v/>
      </c>
      <c r="AW126">
        <f>IF(OR($D126="",R126="",6&gt;$F126),0,IF(UPPER(TRIM(R126))=IFERROR(INDEX(Key!$C$2:$C$263,MATCH($D126*100+6,Key!$G$2:$G$263,0)),"#"),1,0))</f>
        <v/>
      </c>
      <c r="AX126">
        <f>IF(OR($D126="",S126="",7&gt;$F126),0,IF(UPPER(TRIM(S126))=IFERROR(INDEX(Key!$C$2:$C$263,MATCH($D126*100+7,Key!$G$2:$G$263,0)),"#"),1,0))</f>
        <v/>
      </c>
      <c r="AY126">
        <f>IF(OR($D126="",T126="",8&gt;$F126),0,IF(UPPER(TRIM(T126))=IFERROR(INDEX(Key!$C$2:$C$263,MATCH($D126*100+8,Key!$G$2:$G$263,0)),"#"),1,0))</f>
        <v/>
      </c>
      <c r="AZ126">
        <f>IF(OR($D126="",U126="",9&gt;$F126),0,IF(UPPER(TRIM(U126))=IFERROR(INDEX(Key!$C$2:$C$263,MATCH($D126*100+9,Key!$G$2:$G$263,0)),"#"),1,0))</f>
        <v/>
      </c>
      <c r="BA126">
        <f>IF(OR($D126="",V126="",10&gt;$F126),0,IF(UPPER(TRIM(V126))=IFERROR(INDEX(Key!$C$2:$C$263,MATCH($D126*100+10,Key!$G$2:$G$263,0)),"#"),1,0))</f>
        <v/>
      </c>
      <c r="BB126">
        <f>IF(OR($D126="",W126="",11&gt;$F126),0,IF(UPPER(TRIM(W126))=IFERROR(INDEX(Key!$C$2:$C$263,MATCH($D126*100+11,Key!$G$2:$G$263,0)),"#"),1,0))</f>
        <v/>
      </c>
      <c r="BC126">
        <f>IF(OR($D126="",X126="",12&gt;$F126),0,IF(UPPER(TRIM(X126))=IFERROR(INDEX(Key!$C$2:$C$263,MATCH($D126*100+12,Key!$G$2:$G$263,0)),"#"),1,0))</f>
        <v/>
      </c>
      <c r="BD126">
        <f>IF(OR($D126="",Y126="",13&gt;$F126),0,IF(UPPER(TRIM(Y126))=IFERROR(INDEX(Key!$C$2:$C$263,MATCH($D126*100+13,Key!$G$2:$G$263,0)),"#"),1,0))</f>
        <v/>
      </c>
      <c r="BE126">
        <f>IF(OR($D126="",Z126="",14&gt;$F126),0,IF(UPPER(TRIM(Z126))=IFERROR(INDEX(Key!$C$2:$C$263,MATCH($D126*100+14,Key!$G$2:$G$263,0)),"#"),1,0))</f>
        <v/>
      </c>
      <c r="BF126">
        <f>IF(OR($D126="",AA126="",15&gt;$F126),0,IF(UPPER(TRIM(AA126))=IFERROR(INDEX(Key!$C$2:$C$263,MATCH($D126*100+15,Key!$G$2:$G$263,0)),"#"),1,0))</f>
        <v/>
      </c>
      <c r="BG126">
        <f>IF(OR($D126="",AB126="",16&gt;$F126),0,IF(UPPER(TRIM(AB126))=IFERROR(INDEX(Key!$C$2:$C$263,MATCH($D126*100+16,Key!$G$2:$G$263,0)),"#"),1,0))</f>
        <v/>
      </c>
      <c r="BH126">
        <f>IF(OR($D126="",AC126="",17&gt;$F126),0,IF(UPPER(TRIM(AC126))=IFERROR(INDEX(Key!$C$2:$C$263,MATCH($D126*100+17,Key!$G$2:$G$263,0)),"#"),1,0))</f>
        <v/>
      </c>
      <c r="BI126">
        <f>IF(OR($D126="",AD126="",18&gt;$F126),0,IF(UPPER(TRIM(AD126))=IFERROR(INDEX(Key!$C$2:$C$263,MATCH($D126*100+18,Key!$G$2:$G$263,0)),"#"),1,0))</f>
        <v/>
      </c>
      <c r="BJ126">
        <f>IF(OR($D126="",AE126="",19&gt;$F126),0,IF(UPPER(TRIM(AE126))=IFERROR(INDEX(Key!$C$2:$C$263,MATCH($D126*100+19,Key!$G$2:$G$263,0)),"#"),1,0))</f>
        <v/>
      </c>
      <c r="BK126">
        <f>IF(OR($D126="",AF126="",20&gt;$F126),0,IF(UPPER(TRIM(AF126))=IFERROR(INDEX(Key!$C$2:$C$263,MATCH($D126*100+20,Key!$G$2:$G$263,0)),"#"),1,0))</f>
        <v/>
      </c>
      <c r="BL126">
        <f>IF(OR($D126="",AG126="",21&gt;$F126),0,IF(UPPER(TRIM(AG126))=IFERROR(INDEX(Key!$C$2:$C$263,MATCH($D126*100+21,Key!$G$2:$G$263,0)),"#"),1,0))</f>
        <v/>
      </c>
      <c r="BM126">
        <f>IF(OR($D126="",AH126="",22&gt;$F126),0,IF(UPPER(TRIM(AH126))=IFERROR(INDEX(Key!$C$2:$C$263,MATCH($D126*100+22,Key!$G$2:$G$263,0)),"#"),1,0))</f>
        <v/>
      </c>
      <c r="BN126">
        <f>IF(OR($D126="",AI126="",23&gt;$F126),0,IF(UPPER(TRIM(AI126))=IFERROR(INDEX(Key!$C$2:$C$263,MATCH($D126*100+23,Key!$G$2:$G$263,0)),"#"),1,0))</f>
        <v/>
      </c>
      <c r="BO126">
        <f>IF(OR($D126="",AJ126="",24&gt;$F126),0,IF(UPPER(TRIM(AJ126))=IFERROR(INDEX(Key!$C$2:$C$263,MATCH($D126*100+24,Key!$G$2:$G$263,0)),"#"),1,0))</f>
        <v/>
      </c>
      <c r="BP126">
        <f>IF(OR($D126="",AK126="",25&gt;$F126),0,IF(UPPER(TRIM(AK126))=IFERROR(INDEX(Key!$C$2:$C$263,MATCH($D126*100+25,Key!$G$2:$G$263,0)),"#"),1,0))</f>
        <v/>
      </c>
      <c r="BQ126">
        <f>IF(OR($D126="",AL126="",26&gt;$F126),0,IF(UPPER(TRIM(AL126))=IFERROR(INDEX(Key!$C$2:$C$263,MATCH($D126*100+26,Key!$G$2:$G$263,0)),"#"),1,0))</f>
        <v/>
      </c>
      <c r="BR126">
        <f>IF(OR($D126="",AM126="",27&gt;$F126),0,IF(UPPER(TRIM(AM126))=IFERROR(INDEX(Key!$C$2:$C$263,MATCH($D126*100+27,Key!$G$2:$G$263,0)),"#"),1,0))</f>
        <v/>
      </c>
      <c r="BS126">
        <f>IF(OR($D126="",AN126="",28&gt;$F126),0,IF(UPPER(TRIM(AN126))=IFERROR(INDEX(Key!$C$2:$C$263,MATCH($D126*100+28,Key!$G$2:$G$263,0)),"#"),1,0))</f>
        <v/>
      </c>
      <c r="BT126">
        <f>IF(OR($D126="",AO126="",29&gt;$F126),0,IF(UPPER(TRIM(AO126))=IFERROR(INDEX(Key!$C$2:$C$263,MATCH($D126*100+29,Key!$G$2:$G$263,0)),"#"),1,0))</f>
        <v/>
      </c>
      <c r="BU126">
        <f>IF(OR($D126="",AP126="",30&gt;$F126),0,IF(UPPER(TRIM(AP126))=IFERROR(INDEX(Key!$C$2:$C$263,MATCH($D126*100+30,Key!$G$2:$G$263,0)),"#"),1,0))</f>
        <v/>
      </c>
    </row>
    <row r="127">
      <c r="A127" s="6" t="n"/>
      <c r="B127" s="6" t="n"/>
      <c r="C127" s="6" t="n"/>
      <c r="D127" s="6" t="n"/>
      <c r="E127" s="7">
        <f>IF($D127="","",IFERROR(INDEX(Papers!$B$2:$B$12,MATCH($D127,Papers!$A$2:$A$12,0)),"?"))</f>
        <v/>
      </c>
      <c r="F127" s="7">
        <f>IF($D127="","",IFERROR(INDEX(Papers!$C$2:$C$12,MATCH($D127,Papers!$A$2:$A$12,0)),0))</f>
        <v/>
      </c>
      <c r="G127" s="7">
        <f>IF($D127="","",COUNTIF(M127:AP127,"?*"))</f>
        <v/>
      </c>
      <c r="H127" s="7">
        <f>IF($D127="","",SUM(AR127:BU127))</f>
        <v/>
      </c>
      <c r="I127" s="7">
        <f>IF($D127="","",G127-H127)</f>
        <v/>
      </c>
      <c r="J127" s="7">
        <f>IF($D127="","",F127-G127)</f>
        <v/>
      </c>
      <c r="K127" s="7">
        <f>IF($D127="","",H127)</f>
        <v/>
      </c>
      <c r="L127" s="7">
        <f>IF($D127="","",IF(F127=0,"",ROUND(H127/F127*100,1)))</f>
        <v/>
      </c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R127">
        <f>IF(OR($D127="",M127="",1&gt;$F127),0,IF(UPPER(TRIM(M127))=IFERROR(INDEX(Key!$C$2:$C$263,MATCH($D127*100+1,Key!$G$2:$G$263,0)),"#"),1,0))</f>
        <v/>
      </c>
      <c r="AS127">
        <f>IF(OR($D127="",N127="",2&gt;$F127),0,IF(UPPER(TRIM(N127))=IFERROR(INDEX(Key!$C$2:$C$263,MATCH($D127*100+2,Key!$G$2:$G$263,0)),"#"),1,0))</f>
        <v/>
      </c>
      <c r="AT127">
        <f>IF(OR($D127="",O127="",3&gt;$F127),0,IF(UPPER(TRIM(O127))=IFERROR(INDEX(Key!$C$2:$C$263,MATCH($D127*100+3,Key!$G$2:$G$263,0)),"#"),1,0))</f>
        <v/>
      </c>
      <c r="AU127">
        <f>IF(OR($D127="",P127="",4&gt;$F127),0,IF(UPPER(TRIM(P127))=IFERROR(INDEX(Key!$C$2:$C$263,MATCH($D127*100+4,Key!$G$2:$G$263,0)),"#"),1,0))</f>
        <v/>
      </c>
      <c r="AV127">
        <f>IF(OR($D127="",Q127="",5&gt;$F127),0,IF(UPPER(TRIM(Q127))=IFERROR(INDEX(Key!$C$2:$C$263,MATCH($D127*100+5,Key!$G$2:$G$263,0)),"#"),1,0))</f>
        <v/>
      </c>
      <c r="AW127">
        <f>IF(OR($D127="",R127="",6&gt;$F127),0,IF(UPPER(TRIM(R127))=IFERROR(INDEX(Key!$C$2:$C$263,MATCH($D127*100+6,Key!$G$2:$G$263,0)),"#"),1,0))</f>
        <v/>
      </c>
      <c r="AX127">
        <f>IF(OR($D127="",S127="",7&gt;$F127),0,IF(UPPER(TRIM(S127))=IFERROR(INDEX(Key!$C$2:$C$263,MATCH($D127*100+7,Key!$G$2:$G$263,0)),"#"),1,0))</f>
        <v/>
      </c>
      <c r="AY127">
        <f>IF(OR($D127="",T127="",8&gt;$F127),0,IF(UPPER(TRIM(T127))=IFERROR(INDEX(Key!$C$2:$C$263,MATCH($D127*100+8,Key!$G$2:$G$263,0)),"#"),1,0))</f>
        <v/>
      </c>
      <c r="AZ127">
        <f>IF(OR($D127="",U127="",9&gt;$F127),0,IF(UPPER(TRIM(U127))=IFERROR(INDEX(Key!$C$2:$C$263,MATCH($D127*100+9,Key!$G$2:$G$263,0)),"#"),1,0))</f>
        <v/>
      </c>
      <c r="BA127">
        <f>IF(OR($D127="",V127="",10&gt;$F127),0,IF(UPPER(TRIM(V127))=IFERROR(INDEX(Key!$C$2:$C$263,MATCH($D127*100+10,Key!$G$2:$G$263,0)),"#"),1,0))</f>
        <v/>
      </c>
      <c r="BB127">
        <f>IF(OR($D127="",W127="",11&gt;$F127),0,IF(UPPER(TRIM(W127))=IFERROR(INDEX(Key!$C$2:$C$263,MATCH($D127*100+11,Key!$G$2:$G$263,0)),"#"),1,0))</f>
        <v/>
      </c>
      <c r="BC127">
        <f>IF(OR($D127="",X127="",12&gt;$F127),0,IF(UPPER(TRIM(X127))=IFERROR(INDEX(Key!$C$2:$C$263,MATCH($D127*100+12,Key!$G$2:$G$263,0)),"#"),1,0))</f>
        <v/>
      </c>
      <c r="BD127">
        <f>IF(OR($D127="",Y127="",13&gt;$F127),0,IF(UPPER(TRIM(Y127))=IFERROR(INDEX(Key!$C$2:$C$263,MATCH($D127*100+13,Key!$G$2:$G$263,0)),"#"),1,0))</f>
        <v/>
      </c>
      <c r="BE127">
        <f>IF(OR($D127="",Z127="",14&gt;$F127),0,IF(UPPER(TRIM(Z127))=IFERROR(INDEX(Key!$C$2:$C$263,MATCH($D127*100+14,Key!$G$2:$G$263,0)),"#"),1,0))</f>
        <v/>
      </c>
      <c r="BF127">
        <f>IF(OR($D127="",AA127="",15&gt;$F127),0,IF(UPPER(TRIM(AA127))=IFERROR(INDEX(Key!$C$2:$C$263,MATCH($D127*100+15,Key!$G$2:$G$263,0)),"#"),1,0))</f>
        <v/>
      </c>
      <c r="BG127">
        <f>IF(OR($D127="",AB127="",16&gt;$F127),0,IF(UPPER(TRIM(AB127))=IFERROR(INDEX(Key!$C$2:$C$263,MATCH($D127*100+16,Key!$G$2:$G$263,0)),"#"),1,0))</f>
        <v/>
      </c>
      <c r="BH127">
        <f>IF(OR($D127="",AC127="",17&gt;$F127),0,IF(UPPER(TRIM(AC127))=IFERROR(INDEX(Key!$C$2:$C$263,MATCH($D127*100+17,Key!$G$2:$G$263,0)),"#"),1,0))</f>
        <v/>
      </c>
      <c r="BI127">
        <f>IF(OR($D127="",AD127="",18&gt;$F127),0,IF(UPPER(TRIM(AD127))=IFERROR(INDEX(Key!$C$2:$C$263,MATCH($D127*100+18,Key!$G$2:$G$263,0)),"#"),1,0))</f>
        <v/>
      </c>
      <c r="BJ127">
        <f>IF(OR($D127="",AE127="",19&gt;$F127),0,IF(UPPER(TRIM(AE127))=IFERROR(INDEX(Key!$C$2:$C$263,MATCH($D127*100+19,Key!$G$2:$G$263,0)),"#"),1,0))</f>
        <v/>
      </c>
      <c r="BK127">
        <f>IF(OR($D127="",AF127="",20&gt;$F127),0,IF(UPPER(TRIM(AF127))=IFERROR(INDEX(Key!$C$2:$C$263,MATCH($D127*100+20,Key!$G$2:$G$263,0)),"#"),1,0))</f>
        <v/>
      </c>
      <c r="BL127">
        <f>IF(OR($D127="",AG127="",21&gt;$F127),0,IF(UPPER(TRIM(AG127))=IFERROR(INDEX(Key!$C$2:$C$263,MATCH($D127*100+21,Key!$G$2:$G$263,0)),"#"),1,0))</f>
        <v/>
      </c>
      <c r="BM127">
        <f>IF(OR($D127="",AH127="",22&gt;$F127),0,IF(UPPER(TRIM(AH127))=IFERROR(INDEX(Key!$C$2:$C$263,MATCH($D127*100+22,Key!$G$2:$G$263,0)),"#"),1,0))</f>
        <v/>
      </c>
      <c r="BN127">
        <f>IF(OR($D127="",AI127="",23&gt;$F127),0,IF(UPPER(TRIM(AI127))=IFERROR(INDEX(Key!$C$2:$C$263,MATCH($D127*100+23,Key!$G$2:$G$263,0)),"#"),1,0))</f>
        <v/>
      </c>
      <c r="BO127">
        <f>IF(OR($D127="",AJ127="",24&gt;$F127),0,IF(UPPER(TRIM(AJ127))=IFERROR(INDEX(Key!$C$2:$C$263,MATCH($D127*100+24,Key!$G$2:$G$263,0)),"#"),1,0))</f>
        <v/>
      </c>
      <c r="BP127">
        <f>IF(OR($D127="",AK127="",25&gt;$F127),0,IF(UPPER(TRIM(AK127))=IFERROR(INDEX(Key!$C$2:$C$263,MATCH($D127*100+25,Key!$G$2:$G$263,0)),"#"),1,0))</f>
        <v/>
      </c>
      <c r="BQ127">
        <f>IF(OR($D127="",AL127="",26&gt;$F127),0,IF(UPPER(TRIM(AL127))=IFERROR(INDEX(Key!$C$2:$C$263,MATCH($D127*100+26,Key!$G$2:$G$263,0)),"#"),1,0))</f>
        <v/>
      </c>
      <c r="BR127">
        <f>IF(OR($D127="",AM127="",27&gt;$F127),0,IF(UPPER(TRIM(AM127))=IFERROR(INDEX(Key!$C$2:$C$263,MATCH($D127*100+27,Key!$G$2:$G$263,0)),"#"),1,0))</f>
        <v/>
      </c>
      <c r="BS127">
        <f>IF(OR($D127="",AN127="",28&gt;$F127),0,IF(UPPER(TRIM(AN127))=IFERROR(INDEX(Key!$C$2:$C$263,MATCH($D127*100+28,Key!$G$2:$G$263,0)),"#"),1,0))</f>
        <v/>
      </c>
      <c r="BT127">
        <f>IF(OR($D127="",AO127="",29&gt;$F127),0,IF(UPPER(TRIM(AO127))=IFERROR(INDEX(Key!$C$2:$C$263,MATCH($D127*100+29,Key!$G$2:$G$263,0)),"#"),1,0))</f>
        <v/>
      </c>
      <c r="BU127">
        <f>IF(OR($D127="",AP127="",30&gt;$F127),0,IF(UPPER(TRIM(AP127))=IFERROR(INDEX(Key!$C$2:$C$263,MATCH($D127*100+30,Key!$G$2:$G$263,0)),"#"),1,0))</f>
        <v/>
      </c>
    </row>
    <row r="128">
      <c r="A128" s="6" t="n"/>
      <c r="B128" s="6" t="n"/>
      <c r="C128" s="6" t="n"/>
      <c r="D128" s="6" t="n"/>
      <c r="E128" s="7">
        <f>IF($D128="","",IFERROR(INDEX(Papers!$B$2:$B$12,MATCH($D128,Papers!$A$2:$A$12,0)),"?"))</f>
        <v/>
      </c>
      <c r="F128" s="7">
        <f>IF($D128="","",IFERROR(INDEX(Papers!$C$2:$C$12,MATCH($D128,Papers!$A$2:$A$12,0)),0))</f>
        <v/>
      </c>
      <c r="G128" s="7">
        <f>IF($D128="","",COUNTIF(M128:AP128,"?*"))</f>
        <v/>
      </c>
      <c r="H128" s="7">
        <f>IF($D128="","",SUM(AR128:BU128))</f>
        <v/>
      </c>
      <c r="I128" s="7">
        <f>IF($D128="","",G128-H128)</f>
        <v/>
      </c>
      <c r="J128" s="7">
        <f>IF($D128="","",F128-G128)</f>
        <v/>
      </c>
      <c r="K128" s="7">
        <f>IF($D128="","",H128)</f>
        <v/>
      </c>
      <c r="L128" s="7">
        <f>IF($D128="","",IF(F128=0,"",ROUND(H128/F128*100,1)))</f>
        <v/>
      </c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R128">
        <f>IF(OR($D128="",M128="",1&gt;$F128),0,IF(UPPER(TRIM(M128))=IFERROR(INDEX(Key!$C$2:$C$263,MATCH($D128*100+1,Key!$G$2:$G$263,0)),"#"),1,0))</f>
        <v/>
      </c>
      <c r="AS128">
        <f>IF(OR($D128="",N128="",2&gt;$F128),0,IF(UPPER(TRIM(N128))=IFERROR(INDEX(Key!$C$2:$C$263,MATCH($D128*100+2,Key!$G$2:$G$263,0)),"#"),1,0))</f>
        <v/>
      </c>
      <c r="AT128">
        <f>IF(OR($D128="",O128="",3&gt;$F128),0,IF(UPPER(TRIM(O128))=IFERROR(INDEX(Key!$C$2:$C$263,MATCH($D128*100+3,Key!$G$2:$G$263,0)),"#"),1,0))</f>
        <v/>
      </c>
      <c r="AU128">
        <f>IF(OR($D128="",P128="",4&gt;$F128),0,IF(UPPER(TRIM(P128))=IFERROR(INDEX(Key!$C$2:$C$263,MATCH($D128*100+4,Key!$G$2:$G$263,0)),"#"),1,0))</f>
        <v/>
      </c>
      <c r="AV128">
        <f>IF(OR($D128="",Q128="",5&gt;$F128),0,IF(UPPER(TRIM(Q128))=IFERROR(INDEX(Key!$C$2:$C$263,MATCH($D128*100+5,Key!$G$2:$G$263,0)),"#"),1,0))</f>
        <v/>
      </c>
      <c r="AW128">
        <f>IF(OR($D128="",R128="",6&gt;$F128),0,IF(UPPER(TRIM(R128))=IFERROR(INDEX(Key!$C$2:$C$263,MATCH($D128*100+6,Key!$G$2:$G$263,0)),"#"),1,0))</f>
        <v/>
      </c>
      <c r="AX128">
        <f>IF(OR($D128="",S128="",7&gt;$F128),0,IF(UPPER(TRIM(S128))=IFERROR(INDEX(Key!$C$2:$C$263,MATCH($D128*100+7,Key!$G$2:$G$263,0)),"#"),1,0))</f>
        <v/>
      </c>
      <c r="AY128">
        <f>IF(OR($D128="",T128="",8&gt;$F128),0,IF(UPPER(TRIM(T128))=IFERROR(INDEX(Key!$C$2:$C$263,MATCH($D128*100+8,Key!$G$2:$G$263,0)),"#"),1,0))</f>
        <v/>
      </c>
      <c r="AZ128">
        <f>IF(OR($D128="",U128="",9&gt;$F128),0,IF(UPPER(TRIM(U128))=IFERROR(INDEX(Key!$C$2:$C$263,MATCH($D128*100+9,Key!$G$2:$G$263,0)),"#"),1,0))</f>
        <v/>
      </c>
      <c r="BA128">
        <f>IF(OR($D128="",V128="",10&gt;$F128),0,IF(UPPER(TRIM(V128))=IFERROR(INDEX(Key!$C$2:$C$263,MATCH($D128*100+10,Key!$G$2:$G$263,0)),"#"),1,0))</f>
        <v/>
      </c>
      <c r="BB128">
        <f>IF(OR($D128="",W128="",11&gt;$F128),0,IF(UPPER(TRIM(W128))=IFERROR(INDEX(Key!$C$2:$C$263,MATCH($D128*100+11,Key!$G$2:$G$263,0)),"#"),1,0))</f>
        <v/>
      </c>
      <c r="BC128">
        <f>IF(OR($D128="",X128="",12&gt;$F128),0,IF(UPPER(TRIM(X128))=IFERROR(INDEX(Key!$C$2:$C$263,MATCH($D128*100+12,Key!$G$2:$G$263,0)),"#"),1,0))</f>
        <v/>
      </c>
      <c r="BD128">
        <f>IF(OR($D128="",Y128="",13&gt;$F128),0,IF(UPPER(TRIM(Y128))=IFERROR(INDEX(Key!$C$2:$C$263,MATCH($D128*100+13,Key!$G$2:$G$263,0)),"#"),1,0))</f>
        <v/>
      </c>
      <c r="BE128">
        <f>IF(OR($D128="",Z128="",14&gt;$F128),0,IF(UPPER(TRIM(Z128))=IFERROR(INDEX(Key!$C$2:$C$263,MATCH($D128*100+14,Key!$G$2:$G$263,0)),"#"),1,0))</f>
        <v/>
      </c>
      <c r="BF128">
        <f>IF(OR($D128="",AA128="",15&gt;$F128),0,IF(UPPER(TRIM(AA128))=IFERROR(INDEX(Key!$C$2:$C$263,MATCH($D128*100+15,Key!$G$2:$G$263,0)),"#"),1,0))</f>
        <v/>
      </c>
      <c r="BG128">
        <f>IF(OR($D128="",AB128="",16&gt;$F128),0,IF(UPPER(TRIM(AB128))=IFERROR(INDEX(Key!$C$2:$C$263,MATCH($D128*100+16,Key!$G$2:$G$263,0)),"#"),1,0))</f>
        <v/>
      </c>
      <c r="BH128">
        <f>IF(OR($D128="",AC128="",17&gt;$F128),0,IF(UPPER(TRIM(AC128))=IFERROR(INDEX(Key!$C$2:$C$263,MATCH($D128*100+17,Key!$G$2:$G$263,0)),"#"),1,0))</f>
        <v/>
      </c>
      <c r="BI128">
        <f>IF(OR($D128="",AD128="",18&gt;$F128),0,IF(UPPER(TRIM(AD128))=IFERROR(INDEX(Key!$C$2:$C$263,MATCH($D128*100+18,Key!$G$2:$G$263,0)),"#"),1,0))</f>
        <v/>
      </c>
      <c r="BJ128">
        <f>IF(OR($D128="",AE128="",19&gt;$F128),0,IF(UPPER(TRIM(AE128))=IFERROR(INDEX(Key!$C$2:$C$263,MATCH($D128*100+19,Key!$G$2:$G$263,0)),"#"),1,0))</f>
        <v/>
      </c>
      <c r="BK128">
        <f>IF(OR($D128="",AF128="",20&gt;$F128),0,IF(UPPER(TRIM(AF128))=IFERROR(INDEX(Key!$C$2:$C$263,MATCH($D128*100+20,Key!$G$2:$G$263,0)),"#"),1,0))</f>
        <v/>
      </c>
      <c r="BL128">
        <f>IF(OR($D128="",AG128="",21&gt;$F128),0,IF(UPPER(TRIM(AG128))=IFERROR(INDEX(Key!$C$2:$C$263,MATCH($D128*100+21,Key!$G$2:$G$263,0)),"#"),1,0))</f>
        <v/>
      </c>
      <c r="BM128">
        <f>IF(OR($D128="",AH128="",22&gt;$F128),0,IF(UPPER(TRIM(AH128))=IFERROR(INDEX(Key!$C$2:$C$263,MATCH($D128*100+22,Key!$G$2:$G$263,0)),"#"),1,0))</f>
        <v/>
      </c>
      <c r="BN128">
        <f>IF(OR($D128="",AI128="",23&gt;$F128),0,IF(UPPER(TRIM(AI128))=IFERROR(INDEX(Key!$C$2:$C$263,MATCH($D128*100+23,Key!$G$2:$G$263,0)),"#"),1,0))</f>
        <v/>
      </c>
      <c r="BO128">
        <f>IF(OR($D128="",AJ128="",24&gt;$F128),0,IF(UPPER(TRIM(AJ128))=IFERROR(INDEX(Key!$C$2:$C$263,MATCH($D128*100+24,Key!$G$2:$G$263,0)),"#"),1,0))</f>
        <v/>
      </c>
      <c r="BP128">
        <f>IF(OR($D128="",AK128="",25&gt;$F128),0,IF(UPPER(TRIM(AK128))=IFERROR(INDEX(Key!$C$2:$C$263,MATCH($D128*100+25,Key!$G$2:$G$263,0)),"#"),1,0))</f>
        <v/>
      </c>
      <c r="BQ128">
        <f>IF(OR($D128="",AL128="",26&gt;$F128),0,IF(UPPER(TRIM(AL128))=IFERROR(INDEX(Key!$C$2:$C$263,MATCH($D128*100+26,Key!$G$2:$G$263,0)),"#"),1,0))</f>
        <v/>
      </c>
      <c r="BR128">
        <f>IF(OR($D128="",AM128="",27&gt;$F128),0,IF(UPPER(TRIM(AM128))=IFERROR(INDEX(Key!$C$2:$C$263,MATCH($D128*100+27,Key!$G$2:$G$263,0)),"#"),1,0))</f>
        <v/>
      </c>
      <c r="BS128">
        <f>IF(OR($D128="",AN128="",28&gt;$F128),0,IF(UPPER(TRIM(AN128))=IFERROR(INDEX(Key!$C$2:$C$263,MATCH($D128*100+28,Key!$G$2:$G$263,0)),"#"),1,0))</f>
        <v/>
      </c>
      <c r="BT128">
        <f>IF(OR($D128="",AO128="",29&gt;$F128),0,IF(UPPER(TRIM(AO128))=IFERROR(INDEX(Key!$C$2:$C$263,MATCH($D128*100+29,Key!$G$2:$G$263,0)),"#"),1,0))</f>
        <v/>
      </c>
      <c r="BU128">
        <f>IF(OR($D128="",AP128="",30&gt;$F128),0,IF(UPPER(TRIM(AP128))=IFERROR(INDEX(Key!$C$2:$C$263,MATCH($D128*100+30,Key!$G$2:$G$263,0)),"#"),1,0))</f>
        <v/>
      </c>
    </row>
    <row r="129">
      <c r="A129" s="6" t="n"/>
      <c r="B129" s="6" t="n"/>
      <c r="C129" s="6" t="n"/>
      <c r="D129" s="6" t="n"/>
      <c r="E129" s="7">
        <f>IF($D129="","",IFERROR(INDEX(Papers!$B$2:$B$12,MATCH($D129,Papers!$A$2:$A$12,0)),"?"))</f>
        <v/>
      </c>
      <c r="F129" s="7">
        <f>IF($D129="","",IFERROR(INDEX(Papers!$C$2:$C$12,MATCH($D129,Papers!$A$2:$A$12,0)),0))</f>
        <v/>
      </c>
      <c r="G129" s="7">
        <f>IF($D129="","",COUNTIF(M129:AP129,"?*"))</f>
        <v/>
      </c>
      <c r="H129" s="7">
        <f>IF($D129="","",SUM(AR129:BU129))</f>
        <v/>
      </c>
      <c r="I129" s="7">
        <f>IF($D129="","",G129-H129)</f>
        <v/>
      </c>
      <c r="J129" s="7">
        <f>IF($D129="","",F129-G129)</f>
        <v/>
      </c>
      <c r="K129" s="7">
        <f>IF($D129="","",H129)</f>
        <v/>
      </c>
      <c r="L129" s="7">
        <f>IF($D129="","",IF(F129=0,"",ROUND(H129/F129*100,1)))</f>
        <v/>
      </c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R129">
        <f>IF(OR($D129="",M129="",1&gt;$F129),0,IF(UPPER(TRIM(M129))=IFERROR(INDEX(Key!$C$2:$C$263,MATCH($D129*100+1,Key!$G$2:$G$263,0)),"#"),1,0))</f>
        <v/>
      </c>
      <c r="AS129">
        <f>IF(OR($D129="",N129="",2&gt;$F129),0,IF(UPPER(TRIM(N129))=IFERROR(INDEX(Key!$C$2:$C$263,MATCH($D129*100+2,Key!$G$2:$G$263,0)),"#"),1,0))</f>
        <v/>
      </c>
      <c r="AT129">
        <f>IF(OR($D129="",O129="",3&gt;$F129),0,IF(UPPER(TRIM(O129))=IFERROR(INDEX(Key!$C$2:$C$263,MATCH($D129*100+3,Key!$G$2:$G$263,0)),"#"),1,0))</f>
        <v/>
      </c>
      <c r="AU129">
        <f>IF(OR($D129="",P129="",4&gt;$F129),0,IF(UPPER(TRIM(P129))=IFERROR(INDEX(Key!$C$2:$C$263,MATCH($D129*100+4,Key!$G$2:$G$263,0)),"#"),1,0))</f>
        <v/>
      </c>
      <c r="AV129">
        <f>IF(OR($D129="",Q129="",5&gt;$F129),0,IF(UPPER(TRIM(Q129))=IFERROR(INDEX(Key!$C$2:$C$263,MATCH($D129*100+5,Key!$G$2:$G$263,0)),"#"),1,0))</f>
        <v/>
      </c>
      <c r="AW129">
        <f>IF(OR($D129="",R129="",6&gt;$F129),0,IF(UPPER(TRIM(R129))=IFERROR(INDEX(Key!$C$2:$C$263,MATCH($D129*100+6,Key!$G$2:$G$263,0)),"#"),1,0))</f>
        <v/>
      </c>
      <c r="AX129">
        <f>IF(OR($D129="",S129="",7&gt;$F129),0,IF(UPPER(TRIM(S129))=IFERROR(INDEX(Key!$C$2:$C$263,MATCH($D129*100+7,Key!$G$2:$G$263,0)),"#"),1,0))</f>
        <v/>
      </c>
      <c r="AY129">
        <f>IF(OR($D129="",T129="",8&gt;$F129),0,IF(UPPER(TRIM(T129))=IFERROR(INDEX(Key!$C$2:$C$263,MATCH($D129*100+8,Key!$G$2:$G$263,0)),"#"),1,0))</f>
        <v/>
      </c>
      <c r="AZ129">
        <f>IF(OR($D129="",U129="",9&gt;$F129),0,IF(UPPER(TRIM(U129))=IFERROR(INDEX(Key!$C$2:$C$263,MATCH($D129*100+9,Key!$G$2:$G$263,0)),"#"),1,0))</f>
        <v/>
      </c>
      <c r="BA129">
        <f>IF(OR($D129="",V129="",10&gt;$F129),0,IF(UPPER(TRIM(V129))=IFERROR(INDEX(Key!$C$2:$C$263,MATCH($D129*100+10,Key!$G$2:$G$263,0)),"#"),1,0))</f>
        <v/>
      </c>
      <c r="BB129">
        <f>IF(OR($D129="",W129="",11&gt;$F129),0,IF(UPPER(TRIM(W129))=IFERROR(INDEX(Key!$C$2:$C$263,MATCH($D129*100+11,Key!$G$2:$G$263,0)),"#"),1,0))</f>
        <v/>
      </c>
      <c r="BC129">
        <f>IF(OR($D129="",X129="",12&gt;$F129),0,IF(UPPER(TRIM(X129))=IFERROR(INDEX(Key!$C$2:$C$263,MATCH($D129*100+12,Key!$G$2:$G$263,0)),"#"),1,0))</f>
        <v/>
      </c>
      <c r="BD129">
        <f>IF(OR($D129="",Y129="",13&gt;$F129),0,IF(UPPER(TRIM(Y129))=IFERROR(INDEX(Key!$C$2:$C$263,MATCH($D129*100+13,Key!$G$2:$G$263,0)),"#"),1,0))</f>
        <v/>
      </c>
      <c r="BE129">
        <f>IF(OR($D129="",Z129="",14&gt;$F129),0,IF(UPPER(TRIM(Z129))=IFERROR(INDEX(Key!$C$2:$C$263,MATCH($D129*100+14,Key!$G$2:$G$263,0)),"#"),1,0))</f>
        <v/>
      </c>
      <c r="BF129">
        <f>IF(OR($D129="",AA129="",15&gt;$F129),0,IF(UPPER(TRIM(AA129))=IFERROR(INDEX(Key!$C$2:$C$263,MATCH($D129*100+15,Key!$G$2:$G$263,0)),"#"),1,0))</f>
        <v/>
      </c>
      <c r="BG129">
        <f>IF(OR($D129="",AB129="",16&gt;$F129),0,IF(UPPER(TRIM(AB129))=IFERROR(INDEX(Key!$C$2:$C$263,MATCH($D129*100+16,Key!$G$2:$G$263,0)),"#"),1,0))</f>
        <v/>
      </c>
      <c r="BH129">
        <f>IF(OR($D129="",AC129="",17&gt;$F129),0,IF(UPPER(TRIM(AC129))=IFERROR(INDEX(Key!$C$2:$C$263,MATCH($D129*100+17,Key!$G$2:$G$263,0)),"#"),1,0))</f>
        <v/>
      </c>
      <c r="BI129">
        <f>IF(OR($D129="",AD129="",18&gt;$F129),0,IF(UPPER(TRIM(AD129))=IFERROR(INDEX(Key!$C$2:$C$263,MATCH($D129*100+18,Key!$G$2:$G$263,0)),"#"),1,0))</f>
        <v/>
      </c>
      <c r="BJ129">
        <f>IF(OR($D129="",AE129="",19&gt;$F129),0,IF(UPPER(TRIM(AE129))=IFERROR(INDEX(Key!$C$2:$C$263,MATCH($D129*100+19,Key!$G$2:$G$263,0)),"#"),1,0))</f>
        <v/>
      </c>
      <c r="BK129">
        <f>IF(OR($D129="",AF129="",20&gt;$F129),0,IF(UPPER(TRIM(AF129))=IFERROR(INDEX(Key!$C$2:$C$263,MATCH($D129*100+20,Key!$G$2:$G$263,0)),"#"),1,0))</f>
        <v/>
      </c>
      <c r="BL129">
        <f>IF(OR($D129="",AG129="",21&gt;$F129),0,IF(UPPER(TRIM(AG129))=IFERROR(INDEX(Key!$C$2:$C$263,MATCH($D129*100+21,Key!$G$2:$G$263,0)),"#"),1,0))</f>
        <v/>
      </c>
      <c r="BM129">
        <f>IF(OR($D129="",AH129="",22&gt;$F129),0,IF(UPPER(TRIM(AH129))=IFERROR(INDEX(Key!$C$2:$C$263,MATCH($D129*100+22,Key!$G$2:$G$263,0)),"#"),1,0))</f>
        <v/>
      </c>
      <c r="BN129">
        <f>IF(OR($D129="",AI129="",23&gt;$F129),0,IF(UPPER(TRIM(AI129))=IFERROR(INDEX(Key!$C$2:$C$263,MATCH($D129*100+23,Key!$G$2:$G$263,0)),"#"),1,0))</f>
        <v/>
      </c>
      <c r="BO129">
        <f>IF(OR($D129="",AJ129="",24&gt;$F129),0,IF(UPPER(TRIM(AJ129))=IFERROR(INDEX(Key!$C$2:$C$263,MATCH($D129*100+24,Key!$G$2:$G$263,0)),"#"),1,0))</f>
        <v/>
      </c>
      <c r="BP129">
        <f>IF(OR($D129="",AK129="",25&gt;$F129),0,IF(UPPER(TRIM(AK129))=IFERROR(INDEX(Key!$C$2:$C$263,MATCH($D129*100+25,Key!$G$2:$G$263,0)),"#"),1,0))</f>
        <v/>
      </c>
      <c r="BQ129">
        <f>IF(OR($D129="",AL129="",26&gt;$F129),0,IF(UPPER(TRIM(AL129))=IFERROR(INDEX(Key!$C$2:$C$263,MATCH($D129*100+26,Key!$G$2:$G$263,0)),"#"),1,0))</f>
        <v/>
      </c>
      <c r="BR129">
        <f>IF(OR($D129="",AM129="",27&gt;$F129),0,IF(UPPER(TRIM(AM129))=IFERROR(INDEX(Key!$C$2:$C$263,MATCH($D129*100+27,Key!$G$2:$G$263,0)),"#"),1,0))</f>
        <v/>
      </c>
      <c r="BS129">
        <f>IF(OR($D129="",AN129="",28&gt;$F129),0,IF(UPPER(TRIM(AN129))=IFERROR(INDEX(Key!$C$2:$C$263,MATCH($D129*100+28,Key!$G$2:$G$263,0)),"#"),1,0))</f>
        <v/>
      </c>
      <c r="BT129">
        <f>IF(OR($D129="",AO129="",29&gt;$F129),0,IF(UPPER(TRIM(AO129))=IFERROR(INDEX(Key!$C$2:$C$263,MATCH($D129*100+29,Key!$G$2:$G$263,0)),"#"),1,0))</f>
        <v/>
      </c>
      <c r="BU129">
        <f>IF(OR($D129="",AP129="",30&gt;$F129),0,IF(UPPER(TRIM(AP129))=IFERROR(INDEX(Key!$C$2:$C$263,MATCH($D129*100+30,Key!$G$2:$G$263,0)),"#"),1,0))</f>
        <v/>
      </c>
    </row>
    <row r="130">
      <c r="A130" s="6" t="n"/>
      <c r="B130" s="6" t="n"/>
      <c r="C130" s="6" t="n"/>
      <c r="D130" s="6" t="n"/>
      <c r="E130" s="7">
        <f>IF($D130="","",IFERROR(INDEX(Papers!$B$2:$B$12,MATCH($D130,Papers!$A$2:$A$12,0)),"?"))</f>
        <v/>
      </c>
      <c r="F130" s="7">
        <f>IF($D130="","",IFERROR(INDEX(Papers!$C$2:$C$12,MATCH($D130,Papers!$A$2:$A$12,0)),0))</f>
        <v/>
      </c>
      <c r="G130" s="7">
        <f>IF($D130="","",COUNTIF(M130:AP130,"?*"))</f>
        <v/>
      </c>
      <c r="H130" s="7">
        <f>IF($D130="","",SUM(AR130:BU130))</f>
        <v/>
      </c>
      <c r="I130" s="7">
        <f>IF($D130="","",G130-H130)</f>
        <v/>
      </c>
      <c r="J130" s="7">
        <f>IF($D130="","",F130-G130)</f>
        <v/>
      </c>
      <c r="K130" s="7">
        <f>IF($D130="","",H130)</f>
        <v/>
      </c>
      <c r="L130" s="7">
        <f>IF($D130="","",IF(F130=0,"",ROUND(H130/F130*100,1)))</f>
        <v/>
      </c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R130">
        <f>IF(OR($D130="",M130="",1&gt;$F130),0,IF(UPPER(TRIM(M130))=IFERROR(INDEX(Key!$C$2:$C$263,MATCH($D130*100+1,Key!$G$2:$G$263,0)),"#"),1,0))</f>
        <v/>
      </c>
      <c r="AS130">
        <f>IF(OR($D130="",N130="",2&gt;$F130),0,IF(UPPER(TRIM(N130))=IFERROR(INDEX(Key!$C$2:$C$263,MATCH($D130*100+2,Key!$G$2:$G$263,0)),"#"),1,0))</f>
        <v/>
      </c>
      <c r="AT130">
        <f>IF(OR($D130="",O130="",3&gt;$F130),0,IF(UPPER(TRIM(O130))=IFERROR(INDEX(Key!$C$2:$C$263,MATCH($D130*100+3,Key!$G$2:$G$263,0)),"#"),1,0))</f>
        <v/>
      </c>
      <c r="AU130">
        <f>IF(OR($D130="",P130="",4&gt;$F130),0,IF(UPPER(TRIM(P130))=IFERROR(INDEX(Key!$C$2:$C$263,MATCH($D130*100+4,Key!$G$2:$G$263,0)),"#"),1,0))</f>
        <v/>
      </c>
      <c r="AV130">
        <f>IF(OR($D130="",Q130="",5&gt;$F130),0,IF(UPPER(TRIM(Q130))=IFERROR(INDEX(Key!$C$2:$C$263,MATCH($D130*100+5,Key!$G$2:$G$263,0)),"#"),1,0))</f>
        <v/>
      </c>
      <c r="AW130">
        <f>IF(OR($D130="",R130="",6&gt;$F130),0,IF(UPPER(TRIM(R130))=IFERROR(INDEX(Key!$C$2:$C$263,MATCH($D130*100+6,Key!$G$2:$G$263,0)),"#"),1,0))</f>
        <v/>
      </c>
      <c r="AX130">
        <f>IF(OR($D130="",S130="",7&gt;$F130),0,IF(UPPER(TRIM(S130))=IFERROR(INDEX(Key!$C$2:$C$263,MATCH($D130*100+7,Key!$G$2:$G$263,0)),"#"),1,0))</f>
        <v/>
      </c>
      <c r="AY130">
        <f>IF(OR($D130="",T130="",8&gt;$F130),0,IF(UPPER(TRIM(T130))=IFERROR(INDEX(Key!$C$2:$C$263,MATCH($D130*100+8,Key!$G$2:$G$263,0)),"#"),1,0))</f>
        <v/>
      </c>
      <c r="AZ130">
        <f>IF(OR($D130="",U130="",9&gt;$F130),0,IF(UPPER(TRIM(U130))=IFERROR(INDEX(Key!$C$2:$C$263,MATCH($D130*100+9,Key!$G$2:$G$263,0)),"#"),1,0))</f>
        <v/>
      </c>
      <c r="BA130">
        <f>IF(OR($D130="",V130="",10&gt;$F130),0,IF(UPPER(TRIM(V130))=IFERROR(INDEX(Key!$C$2:$C$263,MATCH($D130*100+10,Key!$G$2:$G$263,0)),"#"),1,0))</f>
        <v/>
      </c>
      <c r="BB130">
        <f>IF(OR($D130="",W130="",11&gt;$F130),0,IF(UPPER(TRIM(W130))=IFERROR(INDEX(Key!$C$2:$C$263,MATCH($D130*100+11,Key!$G$2:$G$263,0)),"#"),1,0))</f>
        <v/>
      </c>
      <c r="BC130">
        <f>IF(OR($D130="",X130="",12&gt;$F130),0,IF(UPPER(TRIM(X130))=IFERROR(INDEX(Key!$C$2:$C$263,MATCH($D130*100+12,Key!$G$2:$G$263,0)),"#"),1,0))</f>
        <v/>
      </c>
      <c r="BD130">
        <f>IF(OR($D130="",Y130="",13&gt;$F130),0,IF(UPPER(TRIM(Y130))=IFERROR(INDEX(Key!$C$2:$C$263,MATCH($D130*100+13,Key!$G$2:$G$263,0)),"#"),1,0))</f>
        <v/>
      </c>
      <c r="BE130">
        <f>IF(OR($D130="",Z130="",14&gt;$F130),0,IF(UPPER(TRIM(Z130))=IFERROR(INDEX(Key!$C$2:$C$263,MATCH($D130*100+14,Key!$G$2:$G$263,0)),"#"),1,0))</f>
        <v/>
      </c>
      <c r="BF130">
        <f>IF(OR($D130="",AA130="",15&gt;$F130),0,IF(UPPER(TRIM(AA130))=IFERROR(INDEX(Key!$C$2:$C$263,MATCH($D130*100+15,Key!$G$2:$G$263,0)),"#"),1,0))</f>
        <v/>
      </c>
      <c r="BG130">
        <f>IF(OR($D130="",AB130="",16&gt;$F130),0,IF(UPPER(TRIM(AB130))=IFERROR(INDEX(Key!$C$2:$C$263,MATCH($D130*100+16,Key!$G$2:$G$263,0)),"#"),1,0))</f>
        <v/>
      </c>
      <c r="BH130">
        <f>IF(OR($D130="",AC130="",17&gt;$F130),0,IF(UPPER(TRIM(AC130))=IFERROR(INDEX(Key!$C$2:$C$263,MATCH($D130*100+17,Key!$G$2:$G$263,0)),"#"),1,0))</f>
        <v/>
      </c>
      <c r="BI130">
        <f>IF(OR($D130="",AD130="",18&gt;$F130),0,IF(UPPER(TRIM(AD130))=IFERROR(INDEX(Key!$C$2:$C$263,MATCH($D130*100+18,Key!$G$2:$G$263,0)),"#"),1,0))</f>
        <v/>
      </c>
      <c r="BJ130">
        <f>IF(OR($D130="",AE130="",19&gt;$F130),0,IF(UPPER(TRIM(AE130))=IFERROR(INDEX(Key!$C$2:$C$263,MATCH($D130*100+19,Key!$G$2:$G$263,0)),"#"),1,0))</f>
        <v/>
      </c>
      <c r="BK130">
        <f>IF(OR($D130="",AF130="",20&gt;$F130),0,IF(UPPER(TRIM(AF130))=IFERROR(INDEX(Key!$C$2:$C$263,MATCH($D130*100+20,Key!$G$2:$G$263,0)),"#"),1,0))</f>
        <v/>
      </c>
      <c r="BL130">
        <f>IF(OR($D130="",AG130="",21&gt;$F130),0,IF(UPPER(TRIM(AG130))=IFERROR(INDEX(Key!$C$2:$C$263,MATCH($D130*100+21,Key!$G$2:$G$263,0)),"#"),1,0))</f>
        <v/>
      </c>
      <c r="BM130">
        <f>IF(OR($D130="",AH130="",22&gt;$F130),0,IF(UPPER(TRIM(AH130))=IFERROR(INDEX(Key!$C$2:$C$263,MATCH($D130*100+22,Key!$G$2:$G$263,0)),"#"),1,0))</f>
        <v/>
      </c>
      <c r="BN130">
        <f>IF(OR($D130="",AI130="",23&gt;$F130),0,IF(UPPER(TRIM(AI130))=IFERROR(INDEX(Key!$C$2:$C$263,MATCH($D130*100+23,Key!$G$2:$G$263,0)),"#"),1,0))</f>
        <v/>
      </c>
      <c r="BO130">
        <f>IF(OR($D130="",AJ130="",24&gt;$F130),0,IF(UPPER(TRIM(AJ130))=IFERROR(INDEX(Key!$C$2:$C$263,MATCH($D130*100+24,Key!$G$2:$G$263,0)),"#"),1,0))</f>
        <v/>
      </c>
      <c r="BP130">
        <f>IF(OR($D130="",AK130="",25&gt;$F130),0,IF(UPPER(TRIM(AK130))=IFERROR(INDEX(Key!$C$2:$C$263,MATCH($D130*100+25,Key!$G$2:$G$263,0)),"#"),1,0))</f>
        <v/>
      </c>
      <c r="BQ130">
        <f>IF(OR($D130="",AL130="",26&gt;$F130),0,IF(UPPER(TRIM(AL130))=IFERROR(INDEX(Key!$C$2:$C$263,MATCH($D130*100+26,Key!$G$2:$G$263,0)),"#"),1,0))</f>
        <v/>
      </c>
      <c r="BR130">
        <f>IF(OR($D130="",AM130="",27&gt;$F130),0,IF(UPPER(TRIM(AM130))=IFERROR(INDEX(Key!$C$2:$C$263,MATCH($D130*100+27,Key!$G$2:$G$263,0)),"#"),1,0))</f>
        <v/>
      </c>
      <c r="BS130">
        <f>IF(OR($D130="",AN130="",28&gt;$F130),0,IF(UPPER(TRIM(AN130))=IFERROR(INDEX(Key!$C$2:$C$263,MATCH($D130*100+28,Key!$G$2:$G$263,0)),"#"),1,0))</f>
        <v/>
      </c>
      <c r="BT130">
        <f>IF(OR($D130="",AO130="",29&gt;$F130),0,IF(UPPER(TRIM(AO130))=IFERROR(INDEX(Key!$C$2:$C$263,MATCH($D130*100+29,Key!$G$2:$G$263,0)),"#"),1,0))</f>
        <v/>
      </c>
      <c r="BU130">
        <f>IF(OR($D130="",AP130="",30&gt;$F130),0,IF(UPPER(TRIM(AP130))=IFERROR(INDEX(Key!$C$2:$C$263,MATCH($D130*100+30,Key!$G$2:$G$263,0)),"#"),1,0))</f>
        <v/>
      </c>
    </row>
    <row r="131">
      <c r="A131" s="6" t="n"/>
      <c r="B131" s="6" t="n"/>
      <c r="C131" s="6" t="n"/>
      <c r="D131" s="6" t="n"/>
      <c r="E131" s="7">
        <f>IF($D131="","",IFERROR(INDEX(Papers!$B$2:$B$12,MATCH($D131,Papers!$A$2:$A$12,0)),"?"))</f>
        <v/>
      </c>
      <c r="F131" s="7">
        <f>IF($D131="","",IFERROR(INDEX(Papers!$C$2:$C$12,MATCH($D131,Papers!$A$2:$A$12,0)),0))</f>
        <v/>
      </c>
      <c r="G131" s="7">
        <f>IF($D131="","",COUNTIF(M131:AP131,"?*"))</f>
        <v/>
      </c>
      <c r="H131" s="7">
        <f>IF($D131="","",SUM(AR131:BU131))</f>
        <v/>
      </c>
      <c r="I131" s="7">
        <f>IF($D131="","",G131-H131)</f>
        <v/>
      </c>
      <c r="J131" s="7">
        <f>IF($D131="","",F131-G131)</f>
        <v/>
      </c>
      <c r="K131" s="7">
        <f>IF($D131="","",H131)</f>
        <v/>
      </c>
      <c r="L131" s="7">
        <f>IF($D131="","",IF(F131=0,"",ROUND(H131/F131*100,1)))</f>
        <v/>
      </c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R131">
        <f>IF(OR($D131="",M131="",1&gt;$F131),0,IF(UPPER(TRIM(M131))=IFERROR(INDEX(Key!$C$2:$C$263,MATCH($D131*100+1,Key!$G$2:$G$263,0)),"#"),1,0))</f>
        <v/>
      </c>
      <c r="AS131">
        <f>IF(OR($D131="",N131="",2&gt;$F131),0,IF(UPPER(TRIM(N131))=IFERROR(INDEX(Key!$C$2:$C$263,MATCH($D131*100+2,Key!$G$2:$G$263,0)),"#"),1,0))</f>
        <v/>
      </c>
      <c r="AT131">
        <f>IF(OR($D131="",O131="",3&gt;$F131),0,IF(UPPER(TRIM(O131))=IFERROR(INDEX(Key!$C$2:$C$263,MATCH($D131*100+3,Key!$G$2:$G$263,0)),"#"),1,0))</f>
        <v/>
      </c>
      <c r="AU131">
        <f>IF(OR($D131="",P131="",4&gt;$F131),0,IF(UPPER(TRIM(P131))=IFERROR(INDEX(Key!$C$2:$C$263,MATCH($D131*100+4,Key!$G$2:$G$263,0)),"#"),1,0))</f>
        <v/>
      </c>
      <c r="AV131">
        <f>IF(OR($D131="",Q131="",5&gt;$F131),0,IF(UPPER(TRIM(Q131))=IFERROR(INDEX(Key!$C$2:$C$263,MATCH($D131*100+5,Key!$G$2:$G$263,0)),"#"),1,0))</f>
        <v/>
      </c>
      <c r="AW131">
        <f>IF(OR($D131="",R131="",6&gt;$F131),0,IF(UPPER(TRIM(R131))=IFERROR(INDEX(Key!$C$2:$C$263,MATCH($D131*100+6,Key!$G$2:$G$263,0)),"#"),1,0))</f>
        <v/>
      </c>
      <c r="AX131">
        <f>IF(OR($D131="",S131="",7&gt;$F131),0,IF(UPPER(TRIM(S131))=IFERROR(INDEX(Key!$C$2:$C$263,MATCH($D131*100+7,Key!$G$2:$G$263,0)),"#"),1,0))</f>
        <v/>
      </c>
      <c r="AY131">
        <f>IF(OR($D131="",T131="",8&gt;$F131),0,IF(UPPER(TRIM(T131))=IFERROR(INDEX(Key!$C$2:$C$263,MATCH($D131*100+8,Key!$G$2:$G$263,0)),"#"),1,0))</f>
        <v/>
      </c>
      <c r="AZ131">
        <f>IF(OR($D131="",U131="",9&gt;$F131),0,IF(UPPER(TRIM(U131))=IFERROR(INDEX(Key!$C$2:$C$263,MATCH($D131*100+9,Key!$G$2:$G$263,0)),"#"),1,0))</f>
        <v/>
      </c>
      <c r="BA131">
        <f>IF(OR($D131="",V131="",10&gt;$F131),0,IF(UPPER(TRIM(V131))=IFERROR(INDEX(Key!$C$2:$C$263,MATCH($D131*100+10,Key!$G$2:$G$263,0)),"#"),1,0))</f>
        <v/>
      </c>
      <c r="BB131">
        <f>IF(OR($D131="",W131="",11&gt;$F131),0,IF(UPPER(TRIM(W131))=IFERROR(INDEX(Key!$C$2:$C$263,MATCH($D131*100+11,Key!$G$2:$G$263,0)),"#"),1,0))</f>
        <v/>
      </c>
      <c r="BC131">
        <f>IF(OR($D131="",X131="",12&gt;$F131),0,IF(UPPER(TRIM(X131))=IFERROR(INDEX(Key!$C$2:$C$263,MATCH($D131*100+12,Key!$G$2:$G$263,0)),"#"),1,0))</f>
        <v/>
      </c>
      <c r="BD131">
        <f>IF(OR($D131="",Y131="",13&gt;$F131),0,IF(UPPER(TRIM(Y131))=IFERROR(INDEX(Key!$C$2:$C$263,MATCH($D131*100+13,Key!$G$2:$G$263,0)),"#"),1,0))</f>
        <v/>
      </c>
      <c r="BE131">
        <f>IF(OR($D131="",Z131="",14&gt;$F131),0,IF(UPPER(TRIM(Z131))=IFERROR(INDEX(Key!$C$2:$C$263,MATCH($D131*100+14,Key!$G$2:$G$263,0)),"#"),1,0))</f>
        <v/>
      </c>
      <c r="BF131">
        <f>IF(OR($D131="",AA131="",15&gt;$F131),0,IF(UPPER(TRIM(AA131))=IFERROR(INDEX(Key!$C$2:$C$263,MATCH($D131*100+15,Key!$G$2:$G$263,0)),"#"),1,0))</f>
        <v/>
      </c>
      <c r="BG131">
        <f>IF(OR($D131="",AB131="",16&gt;$F131),0,IF(UPPER(TRIM(AB131))=IFERROR(INDEX(Key!$C$2:$C$263,MATCH($D131*100+16,Key!$G$2:$G$263,0)),"#"),1,0))</f>
        <v/>
      </c>
      <c r="BH131">
        <f>IF(OR($D131="",AC131="",17&gt;$F131),0,IF(UPPER(TRIM(AC131))=IFERROR(INDEX(Key!$C$2:$C$263,MATCH($D131*100+17,Key!$G$2:$G$263,0)),"#"),1,0))</f>
        <v/>
      </c>
      <c r="BI131">
        <f>IF(OR($D131="",AD131="",18&gt;$F131),0,IF(UPPER(TRIM(AD131))=IFERROR(INDEX(Key!$C$2:$C$263,MATCH($D131*100+18,Key!$G$2:$G$263,0)),"#"),1,0))</f>
        <v/>
      </c>
      <c r="BJ131">
        <f>IF(OR($D131="",AE131="",19&gt;$F131),0,IF(UPPER(TRIM(AE131))=IFERROR(INDEX(Key!$C$2:$C$263,MATCH($D131*100+19,Key!$G$2:$G$263,0)),"#"),1,0))</f>
        <v/>
      </c>
      <c r="BK131">
        <f>IF(OR($D131="",AF131="",20&gt;$F131),0,IF(UPPER(TRIM(AF131))=IFERROR(INDEX(Key!$C$2:$C$263,MATCH($D131*100+20,Key!$G$2:$G$263,0)),"#"),1,0))</f>
        <v/>
      </c>
      <c r="BL131">
        <f>IF(OR($D131="",AG131="",21&gt;$F131),0,IF(UPPER(TRIM(AG131))=IFERROR(INDEX(Key!$C$2:$C$263,MATCH($D131*100+21,Key!$G$2:$G$263,0)),"#"),1,0))</f>
        <v/>
      </c>
      <c r="BM131">
        <f>IF(OR($D131="",AH131="",22&gt;$F131),0,IF(UPPER(TRIM(AH131))=IFERROR(INDEX(Key!$C$2:$C$263,MATCH($D131*100+22,Key!$G$2:$G$263,0)),"#"),1,0))</f>
        <v/>
      </c>
      <c r="BN131">
        <f>IF(OR($D131="",AI131="",23&gt;$F131),0,IF(UPPER(TRIM(AI131))=IFERROR(INDEX(Key!$C$2:$C$263,MATCH($D131*100+23,Key!$G$2:$G$263,0)),"#"),1,0))</f>
        <v/>
      </c>
      <c r="BO131">
        <f>IF(OR($D131="",AJ131="",24&gt;$F131),0,IF(UPPER(TRIM(AJ131))=IFERROR(INDEX(Key!$C$2:$C$263,MATCH($D131*100+24,Key!$G$2:$G$263,0)),"#"),1,0))</f>
        <v/>
      </c>
      <c r="BP131">
        <f>IF(OR($D131="",AK131="",25&gt;$F131),0,IF(UPPER(TRIM(AK131))=IFERROR(INDEX(Key!$C$2:$C$263,MATCH($D131*100+25,Key!$G$2:$G$263,0)),"#"),1,0))</f>
        <v/>
      </c>
      <c r="BQ131">
        <f>IF(OR($D131="",AL131="",26&gt;$F131),0,IF(UPPER(TRIM(AL131))=IFERROR(INDEX(Key!$C$2:$C$263,MATCH($D131*100+26,Key!$G$2:$G$263,0)),"#"),1,0))</f>
        <v/>
      </c>
      <c r="BR131">
        <f>IF(OR($D131="",AM131="",27&gt;$F131),0,IF(UPPER(TRIM(AM131))=IFERROR(INDEX(Key!$C$2:$C$263,MATCH($D131*100+27,Key!$G$2:$G$263,0)),"#"),1,0))</f>
        <v/>
      </c>
      <c r="BS131">
        <f>IF(OR($D131="",AN131="",28&gt;$F131),0,IF(UPPER(TRIM(AN131))=IFERROR(INDEX(Key!$C$2:$C$263,MATCH($D131*100+28,Key!$G$2:$G$263,0)),"#"),1,0))</f>
        <v/>
      </c>
      <c r="BT131">
        <f>IF(OR($D131="",AO131="",29&gt;$F131),0,IF(UPPER(TRIM(AO131))=IFERROR(INDEX(Key!$C$2:$C$263,MATCH($D131*100+29,Key!$G$2:$G$263,0)),"#"),1,0))</f>
        <v/>
      </c>
      <c r="BU131">
        <f>IF(OR($D131="",AP131="",30&gt;$F131),0,IF(UPPER(TRIM(AP131))=IFERROR(INDEX(Key!$C$2:$C$263,MATCH($D131*100+30,Key!$G$2:$G$263,0)),"#"),1,0))</f>
        <v/>
      </c>
    </row>
    <row r="132">
      <c r="A132" s="6" t="n"/>
      <c r="B132" s="6" t="n"/>
      <c r="C132" s="6" t="n"/>
      <c r="D132" s="6" t="n"/>
      <c r="E132" s="7">
        <f>IF($D132="","",IFERROR(INDEX(Papers!$B$2:$B$12,MATCH($D132,Papers!$A$2:$A$12,0)),"?"))</f>
        <v/>
      </c>
      <c r="F132" s="7">
        <f>IF($D132="","",IFERROR(INDEX(Papers!$C$2:$C$12,MATCH($D132,Papers!$A$2:$A$12,0)),0))</f>
        <v/>
      </c>
      <c r="G132" s="7">
        <f>IF($D132="","",COUNTIF(M132:AP132,"?*"))</f>
        <v/>
      </c>
      <c r="H132" s="7">
        <f>IF($D132="","",SUM(AR132:BU132))</f>
        <v/>
      </c>
      <c r="I132" s="7">
        <f>IF($D132="","",G132-H132)</f>
        <v/>
      </c>
      <c r="J132" s="7">
        <f>IF($D132="","",F132-G132)</f>
        <v/>
      </c>
      <c r="K132" s="7">
        <f>IF($D132="","",H132)</f>
        <v/>
      </c>
      <c r="L132" s="7">
        <f>IF($D132="","",IF(F132=0,"",ROUND(H132/F132*100,1)))</f>
        <v/>
      </c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R132">
        <f>IF(OR($D132="",M132="",1&gt;$F132),0,IF(UPPER(TRIM(M132))=IFERROR(INDEX(Key!$C$2:$C$263,MATCH($D132*100+1,Key!$G$2:$G$263,0)),"#"),1,0))</f>
        <v/>
      </c>
      <c r="AS132">
        <f>IF(OR($D132="",N132="",2&gt;$F132),0,IF(UPPER(TRIM(N132))=IFERROR(INDEX(Key!$C$2:$C$263,MATCH($D132*100+2,Key!$G$2:$G$263,0)),"#"),1,0))</f>
        <v/>
      </c>
      <c r="AT132">
        <f>IF(OR($D132="",O132="",3&gt;$F132),0,IF(UPPER(TRIM(O132))=IFERROR(INDEX(Key!$C$2:$C$263,MATCH($D132*100+3,Key!$G$2:$G$263,0)),"#"),1,0))</f>
        <v/>
      </c>
      <c r="AU132">
        <f>IF(OR($D132="",P132="",4&gt;$F132),0,IF(UPPER(TRIM(P132))=IFERROR(INDEX(Key!$C$2:$C$263,MATCH($D132*100+4,Key!$G$2:$G$263,0)),"#"),1,0))</f>
        <v/>
      </c>
      <c r="AV132">
        <f>IF(OR($D132="",Q132="",5&gt;$F132),0,IF(UPPER(TRIM(Q132))=IFERROR(INDEX(Key!$C$2:$C$263,MATCH($D132*100+5,Key!$G$2:$G$263,0)),"#"),1,0))</f>
        <v/>
      </c>
      <c r="AW132">
        <f>IF(OR($D132="",R132="",6&gt;$F132),0,IF(UPPER(TRIM(R132))=IFERROR(INDEX(Key!$C$2:$C$263,MATCH($D132*100+6,Key!$G$2:$G$263,0)),"#"),1,0))</f>
        <v/>
      </c>
      <c r="AX132">
        <f>IF(OR($D132="",S132="",7&gt;$F132),0,IF(UPPER(TRIM(S132))=IFERROR(INDEX(Key!$C$2:$C$263,MATCH($D132*100+7,Key!$G$2:$G$263,0)),"#"),1,0))</f>
        <v/>
      </c>
      <c r="AY132">
        <f>IF(OR($D132="",T132="",8&gt;$F132),0,IF(UPPER(TRIM(T132))=IFERROR(INDEX(Key!$C$2:$C$263,MATCH($D132*100+8,Key!$G$2:$G$263,0)),"#"),1,0))</f>
        <v/>
      </c>
      <c r="AZ132">
        <f>IF(OR($D132="",U132="",9&gt;$F132),0,IF(UPPER(TRIM(U132))=IFERROR(INDEX(Key!$C$2:$C$263,MATCH($D132*100+9,Key!$G$2:$G$263,0)),"#"),1,0))</f>
        <v/>
      </c>
      <c r="BA132">
        <f>IF(OR($D132="",V132="",10&gt;$F132),0,IF(UPPER(TRIM(V132))=IFERROR(INDEX(Key!$C$2:$C$263,MATCH($D132*100+10,Key!$G$2:$G$263,0)),"#"),1,0))</f>
        <v/>
      </c>
      <c r="BB132">
        <f>IF(OR($D132="",W132="",11&gt;$F132),0,IF(UPPER(TRIM(W132))=IFERROR(INDEX(Key!$C$2:$C$263,MATCH($D132*100+11,Key!$G$2:$G$263,0)),"#"),1,0))</f>
        <v/>
      </c>
      <c r="BC132">
        <f>IF(OR($D132="",X132="",12&gt;$F132),0,IF(UPPER(TRIM(X132))=IFERROR(INDEX(Key!$C$2:$C$263,MATCH($D132*100+12,Key!$G$2:$G$263,0)),"#"),1,0))</f>
        <v/>
      </c>
      <c r="BD132">
        <f>IF(OR($D132="",Y132="",13&gt;$F132),0,IF(UPPER(TRIM(Y132))=IFERROR(INDEX(Key!$C$2:$C$263,MATCH($D132*100+13,Key!$G$2:$G$263,0)),"#"),1,0))</f>
        <v/>
      </c>
      <c r="BE132">
        <f>IF(OR($D132="",Z132="",14&gt;$F132),0,IF(UPPER(TRIM(Z132))=IFERROR(INDEX(Key!$C$2:$C$263,MATCH($D132*100+14,Key!$G$2:$G$263,0)),"#"),1,0))</f>
        <v/>
      </c>
      <c r="BF132">
        <f>IF(OR($D132="",AA132="",15&gt;$F132),0,IF(UPPER(TRIM(AA132))=IFERROR(INDEX(Key!$C$2:$C$263,MATCH($D132*100+15,Key!$G$2:$G$263,0)),"#"),1,0))</f>
        <v/>
      </c>
      <c r="BG132">
        <f>IF(OR($D132="",AB132="",16&gt;$F132),0,IF(UPPER(TRIM(AB132))=IFERROR(INDEX(Key!$C$2:$C$263,MATCH($D132*100+16,Key!$G$2:$G$263,0)),"#"),1,0))</f>
        <v/>
      </c>
      <c r="BH132">
        <f>IF(OR($D132="",AC132="",17&gt;$F132),0,IF(UPPER(TRIM(AC132))=IFERROR(INDEX(Key!$C$2:$C$263,MATCH($D132*100+17,Key!$G$2:$G$263,0)),"#"),1,0))</f>
        <v/>
      </c>
      <c r="BI132">
        <f>IF(OR($D132="",AD132="",18&gt;$F132),0,IF(UPPER(TRIM(AD132))=IFERROR(INDEX(Key!$C$2:$C$263,MATCH($D132*100+18,Key!$G$2:$G$263,0)),"#"),1,0))</f>
        <v/>
      </c>
      <c r="BJ132">
        <f>IF(OR($D132="",AE132="",19&gt;$F132),0,IF(UPPER(TRIM(AE132))=IFERROR(INDEX(Key!$C$2:$C$263,MATCH($D132*100+19,Key!$G$2:$G$263,0)),"#"),1,0))</f>
        <v/>
      </c>
      <c r="BK132">
        <f>IF(OR($D132="",AF132="",20&gt;$F132),0,IF(UPPER(TRIM(AF132))=IFERROR(INDEX(Key!$C$2:$C$263,MATCH($D132*100+20,Key!$G$2:$G$263,0)),"#"),1,0))</f>
        <v/>
      </c>
      <c r="BL132">
        <f>IF(OR($D132="",AG132="",21&gt;$F132),0,IF(UPPER(TRIM(AG132))=IFERROR(INDEX(Key!$C$2:$C$263,MATCH($D132*100+21,Key!$G$2:$G$263,0)),"#"),1,0))</f>
        <v/>
      </c>
      <c r="BM132">
        <f>IF(OR($D132="",AH132="",22&gt;$F132),0,IF(UPPER(TRIM(AH132))=IFERROR(INDEX(Key!$C$2:$C$263,MATCH($D132*100+22,Key!$G$2:$G$263,0)),"#"),1,0))</f>
        <v/>
      </c>
      <c r="BN132">
        <f>IF(OR($D132="",AI132="",23&gt;$F132),0,IF(UPPER(TRIM(AI132))=IFERROR(INDEX(Key!$C$2:$C$263,MATCH($D132*100+23,Key!$G$2:$G$263,0)),"#"),1,0))</f>
        <v/>
      </c>
      <c r="BO132">
        <f>IF(OR($D132="",AJ132="",24&gt;$F132),0,IF(UPPER(TRIM(AJ132))=IFERROR(INDEX(Key!$C$2:$C$263,MATCH($D132*100+24,Key!$G$2:$G$263,0)),"#"),1,0))</f>
        <v/>
      </c>
      <c r="BP132">
        <f>IF(OR($D132="",AK132="",25&gt;$F132),0,IF(UPPER(TRIM(AK132))=IFERROR(INDEX(Key!$C$2:$C$263,MATCH($D132*100+25,Key!$G$2:$G$263,0)),"#"),1,0))</f>
        <v/>
      </c>
      <c r="BQ132">
        <f>IF(OR($D132="",AL132="",26&gt;$F132),0,IF(UPPER(TRIM(AL132))=IFERROR(INDEX(Key!$C$2:$C$263,MATCH($D132*100+26,Key!$G$2:$G$263,0)),"#"),1,0))</f>
        <v/>
      </c>
      <c r="BR132">
        <f>IF(OR($D132="",AM132="",27&gt;$F132),0,IF(UPPER(TRIM(AM132))=IFERROR(INDEX(Key!$C$2:$C$263,MATCH($D132*100+27,Key!$G$2:$G$263,0)),"#"),1,0))</f>
        <v/>
      </c>
      <c r="BS132">
        <f>IF(OR($D132="",AN132="",28&gt;$F132),0,IF(UPPER(TRIM(AN132))=IFERROR(INDEX(Key!$C$2:$C$263,MATCH($D132*100+28,Key!$G$2:$G$263,0)),"#"),1,0))</f>
        <v/>
      </c>
      <c r="BT132">
        <f>IF(OR($D132="",AO132="",29&gt;$F132),0,IF(UPPER(TRIM(AO132))=IFERROR(INDEX(Key!$C$2:$C$263,MATCH($D132*100+29,Key!$G$2:$G$263,0)),"#"),1,0))</f>
        <v/>
      </c>
      <c r="BU132">
        <f>IF(OR($D132="",AP132="",30&gt;$F132),0,IF(UPPER(TRIM(AP132))=IFERROR(INDEX(Key!$C$2:$C$263,MATCH($D132*100+30,Key!$G$2:$G$263,0)),"#"),1,0))</f>
        <v/>
      </c>
    </row>
    <row r="133">
      <c r="A133" s="6" t="n"/>
      <c r="B133" s="6" t="n"/>
      <c r="C133" s="6" t="n"/>
      <c r="D133" s="6" t="n"/>
      <c r="E133" s="7">
        <f>IF($D133="","",IFERROR(INDEX(Papers!$B$2:$B$12,MATCH($D133,Papers!$A$2:$A$12,0)),"?"))</f>
        <v/>
      </c>
      <c r="F133" s="7">
        <f>IF($D133="","",IFERROR(INDEX(Papers!$C$2:$C$12,MATCH($D133,Papers!$A$2:$A$12,0)),0))</f>
        <v/>
      </c>
      <c r="G133" s="7">
        <f>IF($D133="","",COUNTIF(M133:AP133,"?*"))</f>
        <v/>
      </c>
      <c r="H133" s="7">
        <f>IF($D133="","",SUM(AR133:BU133))</f>
        <v/>
      </c>
      <c r="I133" s="7">
        <f>IF($D133="","",G133-H133)</f>
        <v/>
      </c>
      <c r="J133" s="7">
        <f>IF($D133="","",F133-G133)</f>
        <v/>
      </c>
      <c r="K133" s="7">
        <f>IF($D133="","",H133)</f>
        <v/>
      </c>
      <c r="L133" s="7">
        <f>IF($D133="","",IF(F133=0,"",ROUND(H133/F133*100,1)))</f>
        <v/>
      </c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R133">
        <f>IF(OR($D133="",M133="",1&gt;$F133),0,IF(UPPER(TRIM(M133))=IFERROR(INDEX(Key!$C$2:$C$263,MATCH($D133*100+1,Key!$G$2:$G$263,0)),"#"),1,0))</f>
        <v/>
      </c>
      <c r="AS133">
        <f>IF(OR($D133="",N133="",2&gt;$F133),0,IF(UPPER(TRIM(N133))=IFERROR(INDEX(Key!$C$2:$C$263,MATCH($D133*100+2,Key!$G$2:$G$263,0)),"#"),1,0))</f>
        <v/>
      </c>
      <c r="AT133">
        <f>IF(OR($D133="",O133="",3&gt;$F133),0,IF(UPPER(TRIM(O133))=IFERROR(INDEX(Key!$C$2:$C$263,MATCH($D133*100+3,Key!$G$2:$G$263,0)),"#"),1,0))</f>
        <v/>
      </c>
      <c r="AU133">
        <f>IF(OR($D133="",P133="",4&gt;$F133),0,IF(UPPER(TRIM(P133))=IFERROR(INDEX(Key!$C$2:$C$263,MATCH($D133*100+4,Key!$G$2:$G$263,0)),"#"),1,0))</f>
        <v/>
      </c>
      <c r="AV133">
        <f>IF(OR($D133="",Q133="",5&gt;$F133),0,IF(UPPER(TRIM(Q133))=IFERROR(INDEX(Key!$C$2:$C$263,MATCH($D133*100+5,Key!$G$2:$G$263,0)),"#"),1,0))</f>
        <v/>
      </c>
      <c r="AW133">
        <f>IF(OR($D133="",R133="",6&gt;$F133),0,IF(UPPER(TRIM(R133))=IFERROR(INDEX(Key!$C$2:$C$263,MATCH($D133*100+6,Key!$G$2:$G$263,0)),"#"),1,0))</f>
        <v/>
      </c>
      <c r="AX133">
        <f>IF(OR($D133="",S133="",7&gt;$F133),0,IF(UPPER(TRIM(S133))=IFERROR(INDEX(Key!$C$2:$C$263,MATCH($D133*100+7,Key!$G$2:$G$263,0)),"#"),1,0))</f>
        <v/>
      </c>
      <c r="AY133">
        <f>IF(OR($D133="",T133="",8&gt;$F133),0,IF(UPPER(TRIM(T133))=IFERROR(INDEX(Key!$C$2:$C$263,MATCH($D133*100+8,Key!$G$2:$G$263,0)),"#"),1,0))</f>
        <v/>
      </c>
      <c r="AZ133">
        <f>IF(OR($D133="",U133="",9&gt;$F133),0,IF(UPPER(TRIM(U133))=IFERROR(INDEX(Key!$C$2:$C$263,MATCH($D133*100+9,Key!$G$2:$G$263,0)),"#"),1,0))</f>
        <v/>
      </c>
      <c r="BA133">
        <f>IF(OR($D133="",V133="",10&gt;$F133),0,IF(UPPER(TRIM(V133))=IFERROR(INDEX(Key!$C$2:$C$263,MATCH($D133*100+10,Key!$G$2:$G$263,0)),"#"),1,0))</f>
        <v/>
      </c>
      <c r="BB133">
        <f>IF(OR($D133="",W133="",11&gt;$F133),0,IF(UPPER(TRIM(W133))=IFERROR(INDEX(Key!$C$2:$C$263,MATCH($D133*100+11,Key!$G$2:$G$263,0)),"#"),1,0))</f>
        <v/>
      </c>
      <c r="BC133">
        <f>IF(OR($D133="",X133="",12&gt;$F133),0,IF(UPPER(TRIM(X133))=IFERROR(INDEX(Key!$C$2:$C$263,MATCH($D133*100+12,Key!$G$2:$G$263,0)),"#"),1,0))</f>
        <v/>
      </c>
      <c r="BD133">
        <f>IF(OR($D133="",Y133="",13&gt;$F133),0,IF(UPPER(TRIM(Y133))=IFERROR(INDEX(Key!$C$2:$C$263,MATCH($D133*100+13,Key!$G$2:$G$263,0)),"#"),1,0))</f>
        <v/>
      </c>
      <c r="BE133">
        <f>IF(OR($D133="",Z133="",14&gt;$F133),0,IF(UPPER(TRIM(Z133))=IFERROR(INDEX(Key!$C$2:$C$263,MATCH($D133*100+14,Key!$G$2:$G$263,0)),"#"),1,0))</f>
        <v/>
      </c>
      <c r="BF133">
        <f>IF(OR($D133="",AA133="",15&gt;$F133),0,IF(UPPER(TRIM(AA133))=IFERROR(INDEX(Key!$C$2:$C$263,MATCH($D133*100+15,Key!$G$2:$G$263,0)),"#"),1,0))</f>
        <v/>
      </c>
      <c r="BG133">
        <f>IF(OR($D133="",AB133="",16&gt;$F133),0,IF(UPPER(TRIM(AB133))=IFERROR(INDEX(Key!$C$2:$C$263,MATCH($D133*100+16,Key!$G$2:$G$263,0)),"#"),1,0))</f>
        <v/>
      </c>
      <c r="BH133">
        <f>IF(OR($D133="",AC133="",17&gt;$F133),0,IF(UPPER(TRIM(AC133))=IFERROR(INDEX(Key!$C$2:$C$263,MATCH($D133*100+17,Key!$G$2:$G$263,0)),"#"),1,0))</f>
        <v/>
      </c>
      <c r="BI133">
        <f>IF(OR($D133="",AD133="",18&gt;$F133),0,IF(UPPER(TRIM(AD133))=IFERROR(INDEX(Key!$C$2:$C$263,MATCH($D133*100+18,Key!$G$2:$G$263,0)),"#"),1,0))</f>
        <v/>
      </c>
      <c r="BJ133">
        <f>IF(OR($D133="",AE133="",19&gt;$F133),0,IF(UPPER(TRIM(AE133))=IFERROR(INDEX(Key!$C$2:$C$263,MATCH($D133*100+19,Key!$G$2:$G$263,0)),"#"),1,0))</f>
        <v/>
      </c>
      <c r="BK133">
        <f>IF(OR($D133="",AF133="",20&gt;$F133),0,IF(UPPER(TRIM(AF133))=IFERROR(INDEX(Key!$C$2:$C$263,MATCH($D133*100+20,Key!$G$2:$G$263,0)),"#"),1,0))</f>
        <v/>
      </c>
      <c r="BL133">
        <f>IF(OR($D133="",AG133="",21&gt;$F133),0,IF(UPPER(TRIM(AG133))=IFERROR(INDEX(Key!$C$2:$C$263,MATCH($D133*100+21,Key!$G$2:$G$263,0)),"#"),1,0))</f>
        <v/>
      </c>
      <c r="BM133">
        <f>IF(OR($D133="",AH133="",22&gt;$F133),0,IF(UPPER(TRIM(AH133))=IFERROR(INDEX(Key!$C$2:$C$263,MATCH($D133*100+22,Key!$G$2:$G$263,0)),"#"),1,0))</f>
        <v/>
      </c>
      <c r="BN133">
        <f>IF(OR($D133="",AI133="",23&gt;$F133),0,IF(UPPER(TRIM(AI133))=IFERROR(INDEX(Key!$C$2:$C$263,MATCH($D133*100+23,Key!$G$2:$G$263,0)),"#"),1,0))</f>
        <v/>
      </c>
      <c r="BO133">
        <f>IF(OR($D133="",AJ133="",24&gt;$F133),0,IF(UPPER(TRIM(AJ133))=IFERROR(INDEX(Key!$C$2:$C$263,MATCH($D133*100+24,Key!$G$2:$G$263,0)),"#"),1,0))</f>
        <v/>
      </c>
      <c r="BP133">
        <f>IF(OR($D133="",AK133="",25&gt;$F133),0,IF(UPPER(TRIM(AK133))=IFERROR(INDEX(Key!$C$2:$C$263,MATCH($D133*100+25,Key!$G$2:$G$263,0)),"#"),1,0))</f>
        <v/>
      </c>
      <c r="BQ133">
        <f>IF(OR($D133="",AL133="",26&gt;$F133),0,IF(UPPER(TRIM(AL133))=IFERROR(INDEX(Key!$C$2:$C$263,MATCH($D133*100+26,Key!$G$2:$G$263,0)),"#"),1,0))</f>
        <v/>
      </c>
      <c r="BR133">
        <f>IF(OR($D133="",AM133="",27&gt;$F133),0,IF(UPPER(TRIM(AM133))=IFERROR(INDEX(Key!$C$2:$C$263,MATCH($D133*100+27,Key!$G$2:$G$263,0)),"#"),1,0))</f>
        <v/>
      </c>
      <c r="BS133">
        <f>IF(OR($D133="",AN133="",28&gt;$F133),0,IF(UPPER(TRIM(AN133))=IFERROR(INDEX(Key!$C$2:$C$263,MATCH($D133*100+28,Key!$G$2:$G$263,0)),"#"),1,0))</f>
        <v/>
      </c>
      <c r="BT133">
        <f>IF(OR($D133="",AO133="",29&gt;$F133),0,IF(UPPER(TRIM(AO133))=IFERROR(INDEX(Key!$C$2:$C$263,MATCH($D133*100+29,Key!$G$2:$G$263,0)),"#"),1,0))</f>
        <v/>
      </c>
      <c r="BU133">
        <f>IF(OR($D133="",AP133="",30&gt;$F133),0,IF(UPPER(TRIM(AP133))=IFERROR(INDEX(Key!$C$2:$C$263,MATCH($D133*100+30,Key!$G$2:$G$263,0)),"#"),1,0))</f>
        <v/>
      </c>
    </row>
    <row r="134">
      <c r="A134" s="6" t="n"/>
      <c r="B134" s="6" t="n"/>
      <c r="C134" s="6" t="n"/>
      <c r="D134" s="6" t="n"/>
      <c r="E134" s="7">
        <f>IF($D134="","",IFERROR(INDEX(Papers!$B$2:$B$12,MATCH($D134,Papers!$A$2:$A$12,0)),"?"))</f>
        <v/>
      </c>
      <c r="F134" s="7">
        <f>IF($D134="","",IFERROR(INDEX(Papers!$C$2:$C$12,MATCH($D134,Papers!$A$2:$A$12,0)),0))</f>
        <v/>
      </c>
      <c r="G134" s="7">
        <f>IF($D134="","",COUNTIF(M134:AP134,"?*"))</f>
        <v/>
      </c>
      <c r="H134" s="7">
        <f>IF($D134="","",SUM(AR134:BU134))</f>
        <v/>
      </c>
      <c r="I134" s="7">
        <f>IF($D134="","",G134-H134)</f>
        <v/>
      </c>
      <c r="J134" s="7">
        <f>IF($D134="","",F134-G134)</f>
        <v/>
      </c>
      <c r="K134" s="7">
        <f>IF($D134="","",H134)</f>
        <v/>
      </c>
      <c r="L134" s="7">
        <f>IF($D134="","",IF(F134=0,"",ROUND(H134/F134*100,1)))</f>
        <v/>
      </c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R134">
        <f>IF(OR($D134="",M134="",1&gt;$F134),0,IF(UPPER(TRIM(M134))=IFERROR(INDEX(Key!$C$2:$C$263,MATCH($D134*100+1,Key!$G$2:$G$263,0)),"#"),1,0))</f>
        <v/>
      </c>
      <c r="AS134">
        <f>IF(OR($D134="",N134="",2&gt;$F134),0,IF(UPPER(TRIM(N134))=IFERROR(INDEX(Key!$C$2:$C$263,MATCH($D134*100+2,Key!$G$2:$G$263,0)),"#"),1,0))</f>
        <v/>
      </c>
      <c r="AT134">
        <f>IF(OR($D134="",O134="",3&gt;$F134),0,IF(UPPER(TRIM(O134))=IFERROR(INDEX(Key!$C$2:$C$263,MATCH($D134*100+3,Key!$G$2:$G$263,0)),"#"),1,0))</f>
        <v/>
      </c>
      <c r="AU134">
        <f>IF(OR($D134="",P134="",4&gt;$F134),0,IF(UPPER(TRIM(P134))=IFERROR(INDEX(Key!$C$2:$C$263,MATCH($D134*100+4,Key!$G$2:$G$263,0)),"#"),1,0))</f>
        <v/>
      </c>
      <c r="AV134">
        <f>IF(OR($D134="",Q134="",5&gt;$F134),0,IF(UPPER(TRIM(Q134))=IFERROR(INDEX(Key!$C$2:$C$263,MATCH($D134*100+5,Key!$G$2:$G$263,0)),"#"),1,0))</f>
        <v/>
      </c>
      <c r="AW134">
        <f>IF(OR($D134="",R134="",6&gt;$F134),0,IF(UPPER(TRIM(R134))=IFERROR(INDEX(Key!$C$2:$C$263,MATCH($D134*100+6,Key!$G$2:$G$263,0)),"#"),1,0))</f>
        <v/>
      </c>
      <c r="AX134">
        <f>IF(OR($D134="",S134="",7&gt;$F134),0,IF(UPPER(TRIM(S134))=IFERROR(INDEX(Key!$C$2:$C$263,MATCH($D134*100+7,Key!$G$2:$G$263,0)),"#"),1,0))</f>
        <v/>
      </c>
      <c r="AY134">
        <f>IF(OR($D134="",T134="",8&gt;$F134),0,IF(UPPER(TRIM(T134))=IFERROR(INDEX(Key!$C$2:$C$263,MATCH($D134*100+8,Key!$G$2:$G$263,0)),"#"),1,0))</f>
        <v/>
      </c>
      <c r="AZ134">
        <f>IF(OR($D134="",U134="",9&gt;$F134),0,IF(UPPER(TRIM(U134))=IFERROR(INDEX(Key!$C$2:$C$263,MATCH($D134*100+9,Key!$G$2:$G$263,0)),"#"),1,0))</f>
        <v/>
      </c>
      <c r="BA134">
        <f>IF(OR($D134="",V134="",10&gt;$F134),0,IF(UPPER(TRIM(V134))=IFERROR(INDEX(Key!$C$2:$C$263,MATCH($D134*100+10,Key!$G$2:$G$263,0)),"#"),1,0))</f>
        <v/>
      </c>
      <c r="BB134">
        <f>IF(OR($D134="",W134="",11&gt;$F134),0,IF(UPPER(TRIM(W134))=IFERROR(INDEX(Key!$C$2:$C$263,MATCH($D134*100+11,Key!$G$2:$G$263,0)),"#"),1,0))</f>
        <v/>
      </c>
      <c r="BC134">
        <f>IF(OR($D134="",X134="",12&gt;$F134),0,IF(UPPER(TRIM(X134))=IFERROR(INDEX(Key!$C$2:$C$263,MATCH($D134*100+12,Key!$G$2:$G$263,0)),"#"),1,0))</f>
        <v/>
      </c>
      <c r="BD134">
        <f>IF(OR($D134="",Y134="",13&gt;$F134),0,IF(UPPER(TRIM(Y134))=IFERROR(INDEX(Key!$C$2:$C$263,MATCH($D134*100+13,Key!$G$2:$G$263,0)),"#"),1,0))</f>
        <v/>
      </c>
      <c r="BE134">
        <f>IF(OR($D134="",Z134="",14&gt;$F134),0,IF(UPPER(TRIM(Z134))=IFERROR(INDEX(Key!$C$2:$C$263,MATCH($D134*100+14,Key!$G$2:$G$263,0)),"#"),1,0))</f>
        <v/>
      </c>
      <c r="BF134">
        <f>IF(OR($D134="",AA134="",15&gt;$F134),0,IF(UPPER(TRIM(AA134))=IFERROR(INDEX(Key!$C$2:$C$263,MATCH($D134*100+15,Key!$G$2:$G$263,0)),"#"),1,0))</f>
        <v/>
      </c>
      <c r="BG134">
        <f>IF(OR($D134="",AB134="",16&gt;$F134),0,IF(UPPER(TRIM(AB134))=IFERROR(INDEX(Key!$C$2:$C$263,MATCH($D134*100+16,Key!$G$2:$G$263,0)),"#"),1,0))</f>
        <v/>
      </c>
      <c r="BH134">
        <f>IF(OR($D134="",AC134="",17&gt;$F134),0,IF(UPPER(TRIM(AC134))=IFERROR(INDEX(Key!$C$2:$C$263,MATCH($D134*100+17,Key!$G$2:$G$263,0)),"#"),1,0))</f>
        <v/>
      </c>
      <c r="BI134">
        <f>IF(OR($D134="",AD134="",18&gt;$F134),0,IF(UPPER(TRIM(AD134))=IFERROR(INDEX(Key!$C$2:$C$263,MATCH($D134*100+18,Key!$G$2:$G$263,0)),"#"),1,0))</f>
        <v/>
      </c>
      <c r="BJ134">
        <f>IF(OR($D134="",AE134="",19&gt;$F134),0,IF(UPPER(TRIM(AE134))=IFERROR(INDEX(Key!$C$2:$C$263,MATCH($D134*100+19,Key!$G$2:$G$263,0)),"#"),1,0))</f>
        <v/>
      </c>
      <c r="BK134">
        <f>IF(OR($D134="",AF134="",20&gt;$F134),0,IF(UPPER(TRIM(AF134))=IFERROR(INDEX(Key!$C$2:$C$263,MATCH($D134*100+20,Key!$G$2:$G$263,0)),"#"),1,0))</f>
        <v/>
      </c>
      <c r="BL134">
        <f>IF(OR($D134="",AG134="",21&gt;$F134),0,IF(UPPER(TRIM(AG134))=IFERROR(INDEX(Key!$C$2:$C$263,MATCH($D134*100+21,Key!$G$2:$G$263,0)),"#"),1,0))</f>
        <v/>
      </c>
      <c r="BM134">
        <f>IF(OR($D134="",AH134="",22&gt;$F134),0,IF(UPPER(TRIM(AH134))=IFERROR(INDEX(Key!$C$2:$C$263,MATCH($D134*100+22,Key!$G$2:$G$263,0)),"#"),1,0))</f>
        <v/>
      </c>
      <c r="BN134">
        <f>IF(OR($D134="",AI134="",23&gt;$F134),0,IF(UPPER(TRIM(AI134))=IFERROR(INDEX(Key!$C$2:$C$263,MATCH($D134*100+23,Key!$G$2:$G$263,0)),"#"),1,0))</f>
        <v/>
      </c>
      <c r="BO134">
        <f>IF(OR($D134="",AJ134="",24&gt;$F134),0,IF(UPPER(TRIM(AJ134))=IFERROR(INDEX(Key!$C$2:$C$263,MATCH($D134*100+24,Key!$G$2:$G$263,0)),"#"),1,0))</f>
        <v/>
      </c>
      <c r="BP134">
        <f>IF(OR($D134="",AK134="",25&gt;$F134),0,IF(UPPER(TRIM(AK134))=IFERROR(INDEX(Key!$C$2:$C$263,MATCH($D134*100+25,Key!$G$2:$G$263,0)),"#"),1,0))</f>
        <v/>
      </c>
      <c r="BQ134">
        <f>IF(OR($D134="",AL134="",26&gt;$F134),0,IF(UPPER(TRIM(AL134))=IFERROR(INDEX(Key!$C$2:$C$263,MATCH($D134*100+26,Key!$G$2:$G$263,0)),"#"),1,0))</f>
        <v/>
      </c>
      <c r="BR134">
        <f>IF(OR($D134="",AM134="",27&gt;$F134),0,IF(UPPER(TRIM(AM134))=IFERROR(INDEX(Key!$C$2:$C$263,MATCH($D134*100+27,Key!$G$2:$G$263,0)),"#"),1,0))</f>
        <v/>
      </c>
      <c r="BS134">
        <f>IF(OR($D134="",AN134="",28&gt;$F134),0,IF(UPPER(TRIM(AN134))=IFERROR(INDEX(Key!$C$2:$C$263,MATCH($D134*100+28,Key!$G$2:$G$263,0)),"#"),1,0))</f>
        <v/>
      </c>
      <c r="BT134">
        <f>IF(OR($D134="",AO134="",29&gt;$F134),0,IF(UPPER(TRIM(AO134))=IFERROR(INDEX(Key!$C$2:$C$263,MATCH($D134*100+29,Key!$G$2:$G$263,0)),"#"),1,0))</f>
        <v/>
      </c>
      <c r="BU134">
        <f>IF(OR($D134="",AP134="",30&gt;$F134),0,IF(UPPER(TRIM(AP134))=IFERROR(INDEX(Key!$C$2:$C$263,MATCH($D134*100+30,Key!$G$2:$G$263,0)),"#"),1,0))</f>
        <v/>
      </c>
    </row>
    <row r="135">
      <c r="A135" s="6" t="n"/>
      <c r="B135" s="6" t="n"/>
      <c r="C135" s="6" t="n"/>
      <c r="D135" s="6" t="n"/>
      <c r="E135" s="7">
        <f>IF($D135="","",IFERROR(INDEX(Papers!$B$2:$B$12,MATCH($D135,Papers!$A$2:$A$12,0)),"?"))</f>
        <v/>
      </c>
      <c r="F135" s="7">
        <f>IF($D135="","",IFERROR(INDEX(Papers!$C$2:$C$12,MATCH($D135,Papers!$A$2:$A$12,0)),0))</f>
        <v/>
      </c>
      <c r="G135" s="7">
        <f>IF($D135="","",COUNTIF(M135:AP135,"?*"))</f>
        <v/>
      </c>
      <c r="H135" s="7">
        <f>IF($D135="","",SUM(AR135:BU135))</f>
        <v/>
      </c>
      <c r="I135" s="7">
        <f>IF($D135="","",G135-H135)</f>
        <v/>
      </c>
      <c r="J135" s="7">
        <f>IF($D135="","",F135-G135)</f>
        <v/>
      </c>
      <c r="K135" s="7">
        <f>IF($D135="","",H135)</f>
        <v/>
      </c>
      <c r="L135" s="7">
        <f>IF($D135="","",IF(F135=0,"",ROUND(H135/F135*100,1)))</f>
        <v/>
      </c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R135">
        <f>IF(OR($D135="",M135="",1&gt;$F135),0,IF(UPPER(TRIM(M135))=IFERROR(INDEX(Key!$C$2:$C$263,MATCH($D135*100+1,Key!$G$2:$G$263,0)),"#"),1,0))</f>
        <v/>
      </c>
      <c r="AS135">
        <f>IF(OR($D135="",N135="",2&gt;$F135),0,IF(UPPER(TRIM(N135))=IFERROR(INDEX(Key!$C$2:$C$263,MATCH($D135*100+2,Key!$G$2:$G$263,0)),"#"),1,0))</f>
        <v/>
      </c>
      <c r="AT135">
        <f>IF(OR($D135="",O135="",3&gt;$F135),0,IF(UPPER(TRIM(O135))=IFERROR(INDEX(Key!$C$2:$C$263,MATCH($D135*100+3,Key!$G$2:$G$263,0)),"#"),1,0))</f>
        <v/>
      </c>
      <c r="AU135">
        <f>IF(OR($D135="",P135="",4&gt;$F135),0,IF(UPPER(TRIM(P135))=IFERROR(INDEX(Key!$C$2:$C$263,MATCH($D135*100+4,Key!$G$2:$G$263,0)),"#"),1,0))</f>
        <v/>
      </c>
      <c r="AV135">
        <f>IF(OR($D135="",Q135="",5&gt;$F135),0,IF(UPPER(TRIM(Q135))=IFERROR(INDEX(Key!$C$2:$C$263,MATCH($D135*100+5,Key!$G$2:$G$263,0)),"#"),1,0))</f>
        <v/>
      </c>
      <c r="AW135">
        <f>IF(OR($D135="",R135="",6&gt;$F135),0,IF(UPPER(TRIM(R135))=IFERROR(INDEX(Key!$C$2:$C$263,MATCH($D135*100+6,Key!$G$2:$G$263,0)),"#"),1,0))</f>
        <v/>
      </c>
      <c r="AX135">
        <f>IF(OR($D135="",S135="",7&gt;$F135),0,IF(UPPER(TRIM(S135))=IFERROR(INDEX(Key!$C$2:$C$263,MATCH($D135*100+7,Key!$G$2:$G$263,0)),"#"),1,0))</f>
        <v/>
      </c>
      <c r="AY135">
        <f>IF(OR($D135="",T135="",8&gt;$F135),0,IF(UPPER(TRIM(T135))=IFERROR(INDEX(Key!$C$2:$C$263,MATCH($D135*100+8,Key!$G$2:$G$263,0)),"#"),1,0))</f>
        <v/>
      </c>
      <c r="AZ135">
        <f>IF(OR($D135="",U135="",9&gt;$F135),0,IF(UPPER(TRIM(U135))=IFERROR(INDEX(Key!$C$2:$C$263,MATCH($D135*100+9,Key!$G$2:$G$263,0)),"#"),1,0))</f>
        <v/>
      </c>
      <c r="BA135">
        <f>IF(OR($D135="",V135="",10&gt;$F135),0,IF(UPPER(TRIM(V135))=IFERROR(INDEX(Key!$C$2:$C$263,MATCH($D135*100+10,Key!$G$2:$G$263,0)),"#"),1,0))</f>
        <v/>
      </c>
      <c r="BB135">
        <f>IF(OR($D135="",W135="",11&gt;$F135),0,IF(UPPER(TRIM(W135))=IFERROR(INDEX(Key!$C$2:$C$263,MATCH($D135*100+11,Key!$G$2:$G$263,0)),"#"),1,0))</f>
        <v/>
      </c>
      <c r="BC135">
        <f>IF(OR($D135="",X135="",12&gt;$F135),0,IF(UPPER(TRIM(X135))=IFERROR(INDEX(Key!$C$2:$C$263,MATCH($D135*100+12,Key!$G$2:$G$263,0)),"#"),1,0))</f>
        <v/>
      </c>
      <c r="BD135">
        <f>IF(OR($D135="",Y135="",13&gt;$F135),0,IF(UPPER(TRIM(Y135))=IFERROR(INDEX(Key!$C$2:$C$263,MATCH($D135*100+13,Key!$G$2:$G$263,0)),"#"),1,0))</f>
        <v/>
      </c>
      <c r="BE135">
        <f>IF(OR($D135="",Z135="",14&gt;$F135),0,IF(UPPER(TRIM(Z135))=IFERROR(INDEX(Key!$C$2:$C$263,MATCH($D135*100+14,Key!$G$2:$G$263,0)),"#"),1,0))</f>
        <v/>
      </c>
      <c r="BF135">
        <f>IF(OR($D135="",AA135="",15&gt;$F135),0,IF(UPPER(TRIM(AA135))=IFERROR(INDEX(Key!$C$2:$C$263,MATCH($D135*100+15,Key!$G$2:$G$263,0)),"#"),1,0))</f>
        <v/>
      </c>
      <c r="BG135">
        <f>IF(OR($D135="",AB135="",16&gt;$F135),0,IF(UPPER(TRIM(AB135))=IFERROR(INDEX(Key!$C$2:$C$263,MATCH($D135*100+16,Key!$G$2:$G$263,0)),"#"),1,0))</f>
        <v/>
      </c>
      <c r="BH135">
        <f>IF(OR($D135="",AC135="",17&gt;$F135),0,IF(UPPER(TRIM(AC135))=IFERROR(INDEX(Key!$C$2:$C$263,MATCH($D135*100+17,Key!$G$2:$G$263,0)),"#"),1,0))</f>
        <v/>
      </c>
      <c r="BI135">
        <f>IF(OR($D135="",AD135="",18&gt;$F135),0,IF(UPPER(TRIM(AD135))=IFERROR(INDEX(Key!$C$2:$C$263,MATCH($D135*100+18,Key!$G$2:$G$263,0)),"#"),1,0))</f>
        <v/>
      </c>
      <c r="BJ135">
        <f>IF(OR($D135="",AE135="",19&gt;$F135),0,IF(UPPER(TRIM(AE135))=IFERROR(INDEX(Key!$C$2:$C$263,MATCH($D135*100+19,Key!$G$2:$G$263,0)),"#"),1,0))</f>
        <v/>
      </c>
      <c r="BK135">
        <f>IF(OR($D135="",AF135="",20&gt;$F135),0,IF(UPPER(TRIM(AF135))=IFERROR(INDEX(Key!$C$2:$C$263,MATCH($D135*100+20,Key!$G$2:$G$263,0)),"#"),1,0))</f>
        <v/>
      </c>
      <c r="BL135">
        <f>IF(OR($D135="",AG135="",21&gt;$F135),0,IF(UPPER(TRIM(AG135))=IFERROR(INDEX(Key!$C$2:$C$263,MATCH($D135*100+21,Key!$G$2:$G$263,0)),"#"),1,0))</f>
        <v/>
      </c>
      <c r="BM135">
        <f>IF(OR($D135="",AH135="",22&gt;$F135),0,IF(UPPER(TRIM(AH135))=IFERROR(INDEX(Key!$C$2:$C$263,MATCH($D135*100+22,Key!$G$2:$G$263,0)),"#"),1,0))</f>
        <v/>
      </c>
      <c r="BN135">
        <f>IF(OR($D135="",AI135="",23&gt;$F135),0,IF(UPPER(TRIM(AI135))=IFERROR(INDEX(Key!$C$2:$C$263,MATCH($D135*100+23,Key!$G$2:$G$263,0)),"#"),1,0))</f>
        <v/>
      </c>
      <c r="BO135">
        <f>IF(OR($D135="",AJ135="",24&gt;$F135),0,IF(UPPER(TRIM(AJ135))=IFERROR(INDEX(Key!$C$2:$C$263,MATCH($D135*100+24,Key!$G$2:$G$263,0)),"#"),1,0))</f>
        <v/>
      </c>
      <c r="BP135">
        <f>IF(OR($D135="",AK135="",25&gt;$F135),0,IF(UPPER(TRIM(AK135))=IFERROR(INDEX(Key!$C$2:$C$263,MATCH($D135*100+25,Key!$G$2:$G$263,0)),"#"),1,0))</f>
        <v/>
      </c>
      <c r="BQ135">
        <f>IF(OR($D135="",AL135="",26&gt;$F135),0,IF(UPPER(TRIM(AL135))=IFERROR(INDEX(Key!$C$2:$C$263,MATCH($D135*100+26,Key!$G$2:$G$263,0)),"#"),1,0))</f>
        <v/>
      </c>
      <c r="BR135">
        <f>IF(OR($D135="",AM135="",27&gt;$F135),0,IF(UPPER(TRIM(AM135))=IFERROR(INDEX(Key!$C$2:$C$263,MATCH($D135*100+27,Key!$G$2:$G$263,0)),"#"),1,0))</f>
        <v/>
      </c>
      <c r="BS135">
        <f>IF(OR($D135="",AN135="",28&gt;$F135),0,IF(UPPER(TRIM(AN135))=IFERROR(INDEX(Key!$C$2:$C$263,MATCH($D135*100+28,Key!$G$2:$G$263,0)),"#"),1,0))</f>
        <v/>
      </c>
      <c r="BT135">
        <f>IF(OR($D135="",AO135="",29&gt;$F135),0,IF(UPPER(TRIM(AO135))=IFERROR(INDEX(Key!$C$2:$C$263,MATCH($D135*100+29,Key!$G$2:$G$263,0)),"#"),1,0))</f>
        <v/>
      </c>
      <c r="BU135">
        <f>IF(OR($D135="",AP135="",30&gt;$F135),0,IF(UPPER(TRIM(AP135))=IFERROR(INDEX(Key!$C$2:$C$263,MATCH($D135*100+30,Key!$G$2:$G$263,0)),"#"),1,0))</f>
        <v/>
      </c>
    </row>
    <row r="136">
      <c r="A136" s="6" t="n"/>
      <c r="B136" s="6" t="n"/>
      <c r="C136" s="6" t="n"/>
      <c r="D136" s="6" t="n"/>
      <c r="E136" s="7">
        <f>IF($D136="","",IFERROR(INDEX(Papers!$B$2:$B$12,MATCH($D136,Papers!$A$2:$A$12,0)),"?"))</f>
        <v/>
      </c>
      <c r="F136" s="7">
        <f>IF($D136="","",IFERROR(INDEX(Papers!$C$2:$C$12,MATCH($D136,Papers!$A$2:$A$12,0)),0))</f>
        <v/>
      </c>
      <c r="G136" s="7">
        <f>IF($D136="","",COUNTIF(M136:AP136,"?*"))</f>
        <v/>
      </c>
      <c r="H136" s="7">
        <f>IF($D136="","",SUM(AR136:BU136))</f>
        <v/>
      </c>
      <c r="I136" s="7">
        <f>IF($D136="","",G136-H136)</f>
        <v/>
      </c>
      <c r="J136" s="7">
        <f>IF($D136="","",F136-G136)</f>
        <v/>
      </c>
      <c r="K136" s="7">
        <f>IF($D136="","",H136)</f>
        <v/>
      </c>
      <c r="L136" s="7">
        <f>IF($D136="","",IF(F136=0,"",ROUND(H136/F136*100,1)))</f>
        <v/>
      </c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R136">
        <f>IF(OR($D136="",M136="",1&gt;$F136),0,IF(UPPER(TRIM(M136))=IFERROR(INDEX(Key!$C$2:$C$263,MATCH($D136*100+1,Key!$G$2:$G$263,0)),"#"),1,0))</f>
        <v/>
      </c>
      <c r="AS136">
        <f>IF(OR($D136="",N136="",2&gt;$F136),0,IF(UPPER(TRIM(N136))=IFERROR(INDEX(Key!$C$2:$C$263,MATCH($D136*100+2,Key!$G$2:$G$263,0)),"#"),1,0))</f>
        <v/>
      </c>
      <c r="AT136">
        <f>IF(OR($D136="",O136="",3&gt;$F136),0,IF(UPPER(TRIM(O136))=IFERROR(INDEX(Key!$C$2:$C$263,MATCH($D136*100+3,Key!$G$2:$G$263,0)),"#"),1,0))</f>
        <v/>
      </c>
      <c r="AU136">
        <f>IF(OR($D136="",P136="",4&gt;$F136),0,IF(UPPER(TRIM(P136))=IFERROR(INDEX(Key!$C$2:$C$263,MATCH($D136*100+4,Key!$G$2:$G$263,0)),"#"),1,0))</f>
        <v/>
      </c>
      <c r="AV136">
        <f>IF(OR($D136="",Q136="",5&gt;$F136),0,IF(UPPER(TRIM(Q136))=IFERROR(INDEX(Key!$C$2:$C$263,MATCH($D136*100+5,Key!$G$2:$G$263,0)),"#"),1,0))</f>
        <v/>
      </c>
      <c r="AW136">
        <f>IF(OR($D136="",R136="",6&gt;$F136),0,IF(UPPER(TRIM(R136))=IFERROR(INDEX(Key!$C$2:$C$263,MATCH($D136*100+6,Key!$G$2:$G$263,0)),"#"),1,0))</f>
        <v/>
      </c>
      <c r="AX136">
        <f>IF(OR($D136="",S136="",7&gt;$F136),0,IF(UPPER(TRIM(S136))=IFERROR(INDEX(Key!$C$2:$C$263,MATCH($D136*100+7,Key!$G$2:$G$263,0)),"#"),1,0))</f>
        <v/>
      </c>
      <c r="AY136">
        <f>IF(OR($D136="",T136="",8&gt;$F136),0,IF(UPPER(TRIM(T136))=IFERROR(INDEX(Key!$C$2:$C$263,MATCH($D136*100+8,Key!$G$2:$G$263,0)),"#"),1,0))</f>
        <v/>
      </c>
      <c r="AZ136">
        <f>IF(OR($D136="",U136="",9&gt;$F136),0,IF(UPPER(TRIM(U136))=IFERROR(INDEX(Key!$C$2:$C$263,MATCH($D136*100+9,Key!$G$2:$G$263,0)),"#"),1,0))</f>
        <v/>
      </c>
      <c r="BA136">
        <f>IF(OR($D136="",V136="",10&gt;$F136),0,IF(UPPER(TRIM(V136))=IFERROR(INDEX(Key!$C$2:$C$263,MATCH($D136*100+10,Key!$G$2:$G$263,0)),"#"),1,0))</f>
        <v/>
      </c>
      <c r="BB136">
        <f>IF(OR($D136="",W136="",11&gt;$F136),0,IF(UPPER(TRIM(W136))=IFERROR(INDEX(Key!$C$2:$C$263,MATCH($D136*100+11,Key!$G$2:$G$263,0)),"#"),1,0))</f>
        <v/>
      </c>
      <c r="BC136">
        <f>IF(OR($D136="",X136="",12&gt;$F136),0,IF(UPPER(TRIM(X136))=IFERROR(INDEX(Key!$C$2:$C$263,MATCH($D136*100+12,Key!$G$2:$G$263,0)),"#"),1,0))</f>
        <v/>
      </c>
      <c r="BD136">
        <f>IF(OR($D136="",Y136="",13&gt;$F136),0,IF(UPPER(TRIM(Y136))=IFERROR(INDEX(Key!$C$2:$C$263,MATCH($D136*100+13,Key!$G$2:$G$263,0)),"#"),1,0))</f>
        <v/>
      </c>
      <c r="BE136">
        <f>IF(OR($D136="",Z136="",14&gt;$F136),0,IF(UPPER(TRIM(Z136))=IFERROR(INDEX(Key!$C$2:$C$263,MATCH($D136*100+14,Key!$G$2:$G$263,0)),"#"),1,0))</f>
        <v/>
      </c>
      <c r="BF136">
        <f>IF(OR($D136="",AA136="",15&gt;$F136),0,IF(UPPER(TRIM(AA136))=IFERROR(INDEX(Key!$C$2:$C$263,MATCH($D136*100+15,Key!$G$2:$G$263,0)),"#"),1,0))</f>
        <v/>
      </c>
      <c r="BG136">
        <f>IF(OR($D136="",AB136="",16&gt;$F136),0,IF(UPPER(TRIM(AB136))=IFERROR(INDEX(Key!$C$2:$C$263,MATCH($D136*100+16,Key!$G$2:$G$263,0)),"#"),1,0))</f>
        <v/>
      </c>
      <c r="BH136">
        <f>IF(OR($D136="",AC136="",17&gt;$F136),0,IF(UPPER(TRIM(AC136))=IFERROR(INDEX(Key!$C$2:$C$263,MATCH($D136*100+17,Key!$G$2:$G$263,0)),"#"),1,0))</f>
        <v/>
      </c>
      <c r="BI136">
        <f>IF(OR($D136="",AD136="",18&gt;$F136),0,IF(UPPER(TRIM(AD136))=IFERROR(INDEX(Key!$C$2:$C$263,MATCH($D136*100+18,Key!$G$2:$G$263,0)),"#"),1,0))</f>
        <v/>
      </c>
      <c r="BJ136">
        <f>IF(OR($D136="",AE136="",19&gt;$F136),0,IF(UPPER(TRIM(AE136))=IFERROR(INDEX(Key!$C$2:$C$263,MATCH($D136*100+19,Key!$G$2:$G$263,0)),"#"),1,0))</f>
        <v/>
      </c>
      <c r="BK136">
        <f>IF(OR($D136="",AF136="",20&gt;$F136),0,IF(UPPER(TRIM(AF136))=IFERROR(INDEX(Key!$C$2:$C$263,MATCH($D136*100+20,Key!$G$2:$G$263,0)),"#"),1,0))</f>
        <v/>
      </c>
      <c r="BL136">
        <f>IF(OR($D136="",AG136="",21&gt;$F136),0,IF(UPPER(TRIM(AG136))=IFERROR(INDEX(Key!$C$2:$C$263,MATCH($D136*100+21,Key!$G$2:$G$263,0)),"#"),1,0))</f>
        <v/>
      </c>
      <c r="BM136">
        <f>IF(OR($D136="",AH136="",22&gt;$F136),0,IF(UPPER(TRIM(AH136))=IFERROR(INDEX(Key!$C$2:$C$263,MATCH($D136*100+22,Key!$G$2:$G$263,0)),"#"),1,0))</f>
        <v/>
      </c>
      <c r="BN136">
        <f>IF(OR($D136="",AI136="",23&gt;$F136),0,IF(UPPER(TRIM(AI136))=IFERROR(INDEX(Key!$C$2:$C$263,MATCH($D136*100+23,Key!$G$2:$G$263,0)),"#"),1,0))</f>
        <v/>
      </c>
      <c r="BO136">
        <f>IF(OR($D136="",AJ136="",24&gt;$F136),0,IF(UPPER(TRIM(AJ136))=IFERROR(INDEX(Key!$C$2:$C$263,MATCH($D136*100+24,Key!$G$2:$G$263,0)),"#"),1,0))</f>
        <v/>
      </c>
      <c r="BP136">
        <f>IF(OR($D136="",AK136="",25&gt;$F136),0,IF(UPPER(TRIM(AK136))=IFERROR(INDEX(Key!$C$2:$C$263,MATCH($D136*100+25,Key!$G$2:$G$263,0)),"#"),1,0))</f>
        <v/>
      </c>
      <c r="BQ136">
        <f>IF(OR($D136="",AL136="",26&gt;$F136),0,IF(UPPER(TRIM(AL136))=IFERROR(INDEX(Key!$C$2:$C$263,MATCH($D136*100+26,Key!$G$2:$G$263,0)),"#"),1,0))</f>
        <v/>
      </c>
      <c r="BR136">
        <f>IF(OR($D136="",AM136="",27&gt;$F136),0,IF(UPPER(TRIM(AM136))=IFERROR(INDEX(Key!$C$2:$C$263,MATCH($D136*100+27,Key!$G$2:$G$263,0)),"#"),1,0))</f>
        <v/>
      </c>
      <c r="BS136">
        <f>IF(OR($D136="",AN136="",28&gt;$F136),0,IF(UPPER(TRIM(AN136))=IFERROR(INDEX(Key!$C$2:$C$263,MATCH($D136*100+28,Key!$G$2:$G$263,0)),"#"),1,0))</f>
        <v/>
      </c>
      <c r="BT136">
        <f>IF(OR($D136="",AO136="",29&gt;$F136),0,IF(UPPER(TRIM(AO136))=IFERROR(INDEX(Key!$C$2:$C$263,MATCH($D136*100+29,Key!$G$2:$G$263,0)),"#"),1,0))</f>
        <v/>
      </c>
      <c r="BU136">
        <f>IF(OR($D136="",AP136="",30&gt;$F136),0,IF(UPPER(TRIM(AP136))=IFERROR(INDEX(Key!$C$2:$C$263,MATCH($D136*100+30,Key!$G$2:$G$263,0)),"#"),1,0))</f>
        <v/>
      </c>
    </row>
    <row r="137">
      <c r="A137" s="6" t="n"/>
      <c r="B137" s="6" t="n"/>
      <c r="C137" s="6" t="n"/>
      <c r="D137" s="6" t="n"/>
      <c r="E137" s="7">
        <f>IF($D137="","",IFERROR(INDEX(Papers!$B$2:$B$12,MATCH($D137,Papers!$A$2:$A$12,0)),"?"))</f>
        <v/>
      </c>
      <c r="F137" s="7">
        <f>IF($D137="","",IFERROR(INDEX(Papers!$C$2:$C$12,MATCH($D137,Papers!$A$2:$A$12,0)),0))</f>
        <v/>
      </c>
      <c r="G137" s="7">
        <f>IF($D137="","",COUNTIF(M137:AP137,"?*"))</f>
        <v/>
      </c>
      <c r="H137" s="7">
        <f>IF($D137="","",SUM(AR137:BU137))</f>
        <v/>
      </c>
      <c r="I137" s="7">
        <f>IF($D137="","",G137-H137)</f>
        <v/>
      </c>
      <c r="J137" s="7">
        <f>IF($D137="","",F137-G137)</f>
        <v/>
      </c>
      <c r="K137" s="7">
        <f>IF($D137="","",H137)</f>
        <v/>
      </c>
      <c r="L137" s="7">
        <f>IF($D137="","",IF(F137=0,"",ROUND(H137/F137*100,1)))</f>
        <v/>
      </c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R137">
        <f>IF(OR($D137="",M137="",1&gt;$F137),0,IF(UPPER(TRIM(M137))=IFERROR(INDEX(Key!$C$2:$C$263,MATCH($D137*100+1,Key!$G$2:$G$263,0)),"#"),1,0))</f>
        <v/>
      </c>
      <c r="AS137">
        <f>IF(OR($D137="",N137="",2&gt;$F137),0,IF(UPPER(TRIM(N137))=IFERROR(INDEX(Key!$C$2:$C$263,MATCH($D137*100+2,Key!$G$2:$G$263,0)),"#"),1,0))</f>
        <v/>
      </c>
      <c r="AT137">
        <f>IF(OR($D137="",O137="",3&gt;$F137),0,IF(UPPER(TRIM(O137))=IFERROR(INDEX(Key!$C$2:$C$263,MATCH($D137*100+3,Key!$G$2:$G$263,0)),"#"),1,0))</f>
        <v/>
      </c>
      <c r="AU137">
        <f>IF(OR($D137="",P137="",4&gt;$F137),0,IF(UPPER(TRIM(P137))=IFERROR(INDEX(Key!$C$2:$C$263,MATCH($D137*100+4,Key!$G$2:$G$263,0)),"#"),1,0))</f>
        <v/>
      </c>
      <c r="AV137">
        <f>IF(OR($D137="",Q137="",5&gt;$F137),0,IF(UPPER(TRIM(Q137))=IFERROR(INDEX(Key!$C$2:$C$263,MATCH($D137*100+5,Key!$G$2:$G$263,0)),"#"),1,0))</f>
        <v/>
      </c>
      <c r="AW137">
        <f>IF(OR($D137="",R137="",6&gt;$F137),0,IF(UPPER(TRIM(R137))=IFERROR(INDEX(Key!$C$2:$C$263,MATCH($D137*100+6,Key!$G$2:$G$263,0)),"#"),1,0))</f>
        <v/>
      </c>
      <c r="AX137">
        <f>IF(OR($D137="",S137="",7&gt;$F137),0,IF(UPPER(TRIM(S137))=IFERROR(INDEX(Key!$C$2:$C$263,MATCH($D137*100+7,Key!$G$2:$G$263,0)),"#"),1,0))</f>
        <v/>
      </c>
      <c r="AY137">
        <f>IF(OR($D137="",T137="",8&gt;$F137),0,IF(UPPER(TRIM(T137))=IFERROR(INDEX(Key!$C$2:$C$263,MATCH($D137*100+8,Key!$G$2:$G$263,0)),"#"),1,0))</f>
        <v/>
      </c>
      <c r="AZ137">
        <f>IF(OR($D137="",U137="",9&gt;$F137),0,IF(UPPER(TRIM(U137))=IFERROR(INDEX(Key!$C$2:$C$263,MATCH($D137*100+9,Key!$G$2:$G$263,0)),"#"),1,0))</f>
        <v/>
      </c>
      <c r="BA137">
        <f>IF(OR($D137="",V137="",10&gt;$F137),0,IF(UPPER(TRIM(V137))=IFERROR(INDEX(Key!$C$2:$C$263,MATCH($D137*100+10,Key!$G$2:$G$263,0)),"#"),1,0))</f>
        <v/>
      </c>
      <c r="BB137">
        <f>IF(OR($D137="",W137="",11&gt;$F137),0,IF(UPPER(TRIM(W137))=IFERROR(INDEX(Key!$C$2:$C$263,MATCH($D137*100+11,Key!$G$2:$G$263,0)),"#"),1,0))</f>
        <v/>
      </c>
      <c r="BC137">
        <f>IF(OR($D137="",X137="",12&gt;$F137),0,IF(UPPER(TRIM(X137))=IFERROR(INDEX(Key!$C$2:$C$263,MATCH($D137*100+12,Key!$G$2:$G$263,0)),"#"),1,0))</f>
        <v/>
      </c>
      <c r="BD137">
        <f>IF(OR($D137="",Y137="",13&gt;$F137),0,IF(UPPER(TRIM(Y137))=IFERROR(INDEX(Key!$C$2:$C$263,MATCH($D137*100+13,Key!$G$2:$G$263,0)),"#"),1,0))</f>
        <v/>
      </c>
      <c r="BE137">
        <f>IF(OR($D137="",Z137="",14&gt;$F137),0,IF(UPPER(TRIM(Z137))=IFERROR(INDEX(Key!$C$2:$C$263,MATCH($D137*100+14,Key!$G$2:$G$263,0)),"#"),1,0))</f>
        <v/>
      </c>
      <c r="BF137">
        <f>IF(OR($D137="",AA137="",15&gt;$F137),0,IF(UPPER(TRIM(AA137))=IFERROR(INDEX(Key!$C$2:$C$263,MATCH($D137*100+15,Key!$G$2:$G$263,0)),"#"),1,0))</f>
        <v/>
      </c>
      <c r="BG137">
        <f>IF(OR($D137="",AB137="",16&gt;$F137),0,IF(UPPER(TRIM(AB137))=IFERROR(INDEX(Key!$C$2:$C$263,MATCH($D137*100+16,Key!$G$2:$G$263,0)),"#"),1,0))</f>
        <v/>
      </c>
      <c r="BH137">
        <f>IF(OR($D137="",AC137="",17&gt;$F137),0,IF(UPPER(TRIM(AC137))=IFERROR(INDEX(Key!$C$2:$C$263,MATCH($D137*100+17,Key!$G$2:$G$263,0)),"#"),1,0))</f>
        <v/>
      </c>
      <c r="BI137">
        <f>IF(OR($D137="",AD137="",18&gt;$F137),0,IF(UPPER(TRIM(AD137))=IFERROR(INDEX(Key!$C$2:$C$263,MATCH($D137*100+18,Key!$G$2:$G$263,0)),"#"),1,0))</f>
        <v/>
      </c>
      <c r="BJ137">
        <f>IF(OR($D137="",AE137="",19&gt;$F137),0,IF(UPPER(TRIM(AE137))=IFERROR(INDEX(Key!$C$2:$C$263,MATCH($D137*100+19,Key!$G$2:$G$263,0)),"#"),1,0))</f>
        <v/>
      </c>
      <c r="BK137">
        <f>IF(OR($D137="",AF137="",20&gt;$F137),0,IF(UPPER(TRIM(AF137))=IFERROR(INDEX(Key!$C$2:$C$263,MATCH($D137*100+20,Key!$G$2:$G$263,0)),"#"),1,0))</f>
        <v/>
      </c>
      <c r="BL137">
        <f>IF(OR($D137="",AG137="",21&gt;$F137),0,IF(UPPER(TRIM(AG137))=IFERROR(INDEX(Key!$C$2:$C$263,MATCH($D137*100+21,Key!$G$2:$G$263,0)),"#"),1,0))</f>
        <v/>
      </c>
      <c r="BM137">
        <f>IF(OR($D137="",AH137="",22&gt;$F137),0,IF(UPPER(TRIM(AH137))=IFERROR(INDEX(Key!$C$2:$C$263,MATCH($D137*100+22,Key!$G$2:$G$263,0)),"#"),1,0))</f>
        <v/>
      </c>
      <c r="BN137">
        <f>IF(OR($D137="",AI137="",23&gt;$F137),0,IF(UPPER(TRIM(AI137))=IFERROR(INDEX(Key!$C$2:$C$263,MATCH($D137*100+23,Key!$G$2:$G$263,0)),"#"),1,0))</f>
        <v/>
      </c>
      <c r="BO137">
        <f>IF(OR($D137="",AJ137="",24&gt;$F137),0,IF(UPPER(TRIM(AJ137))=IFERROR(INDEX(Key!$C$2:$C$263,MATCH($D137*100+24,Key!$G$2:$G$263,0)),"#"),1,0))</f>
        <v/>
      </c>
      <c r="BP137">
        <f>IF(OR($D137="",AK137="",25&gt;$F137),0,IF(UPPER(TRIM(AK137))=IFERROR(INDEX(Key!$C$2:$C$263,MATCH($D137*100+25,Key!$G$2:$G$263,0)),"#"),1,0))</f>
        <v/>
      </c>
      <c r="BQ137">
        <f>IF(OR($D137="",AL137="",26&gt;$F137),0,IF(UPPER(TRIM(AL137))=IFERROR(INDEX(Key!$C$2:$C$263,MATCH($D137*100+26,Key!$G$2:$G$263,0)),"#"),1,0))</f>
        <v/>
      </c>
      <c r="BR137">
        <f>IF(OR($D137="",AM137="",27&gt;$F137),0,IF(UPPER(TRIM(AM137))=IFERROR(INDEX(Key!$C$2:$C$263,MATCH($D137*100+27,Key!$G$2:$G$263,0)),"#"),1,0))</f>
        <v/>
      </c>
      <c r="BS137">
        <f>IF(OR($D137="",AN137="",28&gt;$F137),0,IF(UPPER(TRIM(AN137))=IFERROR(INDEX(Key!$C$2:$C$263,MATCH($D137*100+28,Key!$G$2:$G$263,0)),"#"),1,0))</f>
        <v/>
      </c>
      <c r="BT137">
        <f>IF(OR($D137="",AO137="",29&gt;$F137),0,IF(UPPER(TRIM(AO137))=IFERROR(INDEX(Key!$C$2:$C$263,MATCH($D137*100+29,Key!$G$2:$G$263,0)),"#"),1,0))</f>
        <v/>
      </c>
      <c r="BU137">
        <f>IF(OR($D137="",AP137="",30&gt;$F137),0,IF(UPPER(TRIM(AP137))=IFERROR(INDEX(Key!$C$2:$C$263,MATCH($D137*100+30,Key!$G$2:$G$263,0)),"#"),1,0))</f>
        <v/>
      </c>
    </row>
    <row r="138">
      <c r="A138" s="6" t="n"/>
      <c r="B138" s="6" t="n"/>
      <c r="C138" s="6" t="n"/>
      <c r="D138" s="6" t="n"/>
      <c r="E138" s="7">
        <f>IF($D138="","",IFERROR(INDEX(Papers!$B$2:$B$12,MATCH($D138,Papers!$A$2:$A$12,0)),"?"))</f>
        <v/>
      </c>
      <c r="F138" s="7">
        <f>IF($D138="","",IFERROR(INDEX(Papers!$C$2:$C$12,MATCH($D138,Papers!$A$2:$A$12,0)),0))</f>
        <v/>
      </c>
      <c r="G138" s="7">
        <f>IF($D138="","",COUNTIF(M138:AP138,"?*"))</f>
        <v/>
      </c>
      <c r="H138" s="7">
        <f>IF($D138="","",SUM(AR138:BU138))</f>
        <v/>
      </c>
      <c r="I138" s="7">
        <f>IF($D138="","",G138-H138)</f>
        <v/>
      </c>
      <c r="J138" s="7">
        <f>IF($D138="","",F138-G138)</f>
        <v/>
      </c>
      <c r="K138" s="7">
        <f>IF($D138="","",H138)</f>
        <v/>
      </c>
      <c r="L138" s="7">
        <f>IF($D138="","",IF(F138=0,"",ROUND(H138/F138*100,1)))</f>
        <v/>
      </c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R138">
        <f>IF(OR($D138="",M138="",1&gt;$F138),0,IF(UPPER(TRIM(M138))=IFERROR(INDEX(Key!$C$2:$C$263,MATCH($D138*100+1,Key!$G$2:$G$263,0)),"#"),1,0))</f>
        <v/>
      </c>
      <c r="AS138">
        <f>IF(OR($D138="",N138="",2&gt;$F138),0,IF(UPPER(TRIM(N138))=IFERROR(INDEX(Key!$C$2:$C$263,MATCH($D138*100+2,Key!$G$2:$G$263,0)),"#"),1,0))</f>
        <v/>
      </c>
      <c r="AT138">
        <f>IF(OR($D138="",O138="",3&gt;$F138),0,IF(UPPER(TRIM(O138))=IFERROR(INDEX(Key!$C$2:$C$263,MATCH($D138*100+3,Key!$G$2:$G$263,0)),"#"),1,0))</f>
        <v/>
      </c>
      <c r="AU138">
        <f>IF(OR($D138="",P138="",4&gt;$F138),0,IF(UPPER(TRIM(P138))=IFERROR(INDEX(Key!$C$2:$C$263,MATCH($D138*100+4,Key!$G$2:$G$263,0)),"#"),1,0))</f>
        <v/>
      </c>
      <c r="AV138">
        <f>IF(OR($D138="",Q138="",5&gt;$F138),0,IF(UPPER(TRIM(Q138))=IFERROR(INDEX(Key!$C$2:$C$263,MATCH($D138*100+5,Key!$G$2:$G$263,0)),"#"),1,0))</f>
        <v/>
      </c>
      <c r="AW138">
        <f>IF(OR($D138="",R138="",6&gt;$F138),0,IF(UPPER(TRIM(R138))=IFERROR(INDEX(Key!$C$2:$C$263,MATCH($D138*100+6,Key!$G$2:$G$263,0)),"#"),1,0))</f>
        <v/>
      </c>
      <c r="AX138">
        <f>IF(OR($D138="",S138="",7&gt;$F138),0,IF(UPPER(TRIM(S138))=IFERROR(INDEX(Key!$C$2:$C$263,MATCH($D138*100+7,Key!$G$2:$G$263,0)),"#"),1,0))</f>
        <v/>
      </c>
      <c r="AY138">
        <f>IF(OR($D138="",T138="",8&gt;$F138),0,IF(UPPER(TRIM(T138))=IFERROR(INDEX(Key!$C$2:$C$263,MATCH($D138*100+8,Key!$G$2:$G$263,0)),"#"),1,0))</f>
        <v/>
      </c>
      <c r="AZ138">
        <f>IF(OR($D138="",U138="",9&gt;$F138),0,IF(UPPER(TRIM(U138))=IFERROR(INDEX(Key!$C$2:$C$263,MATCH($D138*100+9,Key!$G$2:$G$263,0)),"#"),1,0))</f>
        <v/>
      </c>
      <c r="BA138">
        <f>IF(OR($D138="",V138="",10&gt;$F138),0,IF(UPPER(TRIM(V138))=IFERROR(INDEX(Key!$C$2:$C$263,MATCH($D138*100+10,Key!$G$2:$G$263,0)),"#"),1,0))</f>
        <v/>
      </c>
      <c r="BB138">
        <f>IF(OR($D138="",W138="",11&gt;$F138),0,IF(UPPER(TRIM(W138))=IFERROR(INDEX(Key!$C$2:$C$263,MATCH($D138*100+11,Key!$G$2:$G$263,0)),"#"),1,0))</f>
        <v/>
      </c>
      <c r="BC138">
        <f>IF(OR($D138="",X138="",12&gt;$F138),0,IF(UPPER(TRIM(X138))=IFERROR(INDEX(Key!$C$2:$C$263,MATCH($D138*100+12,Key!$G$2:$G$263,0)),"#"),1,0))</f>
        <v/>
      </c>
      <c r="BD138">
        <f>IF(OR($D138="",Y138="",13&gt;$F138),0,IF(UPPER(TRIM(Y138))=IFERROR(INDEX(Key!$C$2:$C$263,MATCH($D138*100+13,Key!$G$2:$G$263,0)),"#"),1,0))</f>
        <v/>
      </c>
      <c r="BE138">
        <f>IF(OR($D138="",Z138="",14&gt;$F138),0,IF(UPPER(TRIM(Z138))=IFERROR(INDEX(Key!$C$2:$C$263,MATCH($D138*100+14,Key!$G$2:$G$263,0)),"#"),1,0))</f>
        <v/>
      </c>
      <c r="BF138">
        <f>IF(OR($D138="",AA138="",15&gt;$F138),0,IF(UPPER(TRIM(AA138))=IFERROR(INDEX(Key!$C$2:$C$263,MATCH($D138*100+15,Key!$G$2:$G$263,0)),"#"),1,0))</f>
        <v/>
      </c>
      <c r="BG138">
        <f>IF(OR($D138="",AB138="",16&gt;$F138),0,IF(UPPER(TRIM(AB138))=IFERROR(INDEX(Key!$C$2:$C$263,MATCH($D138*100+16,Key!$G$2:$G$263,0)),"#"),1,0))</f>
        <v/>
      </c>
      <c r="BH138">
        <f>IF(OR($D138="",AC138="",17&gt;$F138),0,IF(UPPER(TRIM(AC138))=IFERROR(INDEX(Key!$C$2:$C$263,MATCH($D138*100+17,Key!$G$2:$G$263,0)),"#"),1,0))</f>
        <v/>
      </c>
      <c r="BI138">
        <f>IF(OR($D138="",AD138="",18&gt;$F138),0,IF(UPPER(TRIM(AD138))=IFERROR(INDEX(Key!$C$2:$C$263,MATCH($D138*100+18,Key!$G$2:$G$263,0)),"#"),1,0))</f>
        <v/>
      </c>
      <c r="BJ138">
        <f>IF(OR($D138="",AE138="",19&gt;$F138),0,IF(UPPER(TRIM(AE138))=IFERROR(INDEX(Key!$C$2:$C$263,MATCH($D138*100+19,Key!$G$2:$G$263,0)),"#"),1,0))</f>
        <v/>
      </c>
      <c r="BK138">
        <f>IF(OR($D138="",AF138="",20&gt;$F138),0,IF(UPPER(TRIM(AF138))=IFERROR(INDEX(Key!$C$2:$C$263,MATCH($D138*100+20,Key!$G$2:$G$263,0)),"#"),1,0))</f>
        <v/>
      </c>
      <c r="BL138">
        <f>IF(OR($D138="",AG138="",21&gt;$F138),0,IF(UPPER(TRIM(AG138))=IFERROR(INDEX(Key!$C$2:$C$263,MATCH($D138*100+21,Key!$G$2:$G$263,0)),"#"),1,0))</f>
        <v/>
      </c>
      <c r="BM138">
        <f>IF(OR($D138="",AH138="",22&gt;$F138),0,IF(UPPER(TRIM(AH138))=IFERROR(INDEX(Key!$C$2:$C$263,MATCH($D138*100+22,Key!$G$2:$G$263,0)),"#"),1,0))</f>
        <v/>
      </c>
      <c r="BN138">
        <f>IF(OR($D138="",AI138="",23&gt;$F138),0,IF(UPPER(TRIM(AI138))=IFERROR(INDEX(Key!$C$2:$C$263,MATCH($D138*100+23,Key!$G$2:$G$263,0)),"#"),1,0))</f>
        <v/>
      </c>
      <c r="BO138">
        <f>IF(OR($D138="",AJ138="",24&gt;$F138),0,IF(UPPER(TRIM(AJ138))=IFERROR(INDEX(Key!$C$2:$C$263,MATCH($D138*100+24,Key!$G$2:$G$263,0)),"#"),1,0))</f>
        <v/>
      </c>
      <c r="BP138">
        <f>IF(OR($D138="",AK138="",25&gt;$F138),0,IF(UPPER(TRIM(AK138))=IFERROR(INDEX(Key!$C$2:$C$263,MATCH($D138*100+25,Key!$G$2:$G$263,0)),"#"),1,0))</f>
        <v/>
      </c>
      <c r="BQ138">
        <f>IF(OR($D138="",AL138="",26&gt;$F138),0,IF(UPPER(TRIM(AL138))=IFERROR(INDEX(Key!$C$2:$C$263,MATCH($D138*100+26,Key!$G$2:$G$263,0)),"#"),1,0))</f>
        <v/>
      </c>
      <c r="BR138">
        <f>IF(OR($D138="",AM138="",27&gt;$F138),0,IF(UPPER(TRIM(AM138))=IFERROR(INDEX(Key!$C$2:$C$263,MATCH($D138*100+27,Key!$G$2:$G$263,0)),"#"),1,0))</f>
        <v/>
      </c>
      <c r="BS138">
        <f>IF(OR($D138="",AN138="",28&gt;$F138),0,IF(UPPER(TRIM(AN138))=IFERROR(INDEX(Key!$C$2:$C$263,MATCH($D138*100+28,Key!$G$2:$G$263,0)),"#"),1,0))</f>
        <v/>
      </c>
      <c r="BT138">
        <f>IF(OR($D138="",AO138="",29&gt;$F138),0,IF(UPPER(TRIM(AO138))=IFERROR(INDEX(Key!$C$2:$C$263,MATCH($D138*100+29,Key!$G$2:$G$263,0)),"#"),1,0))</f>
        <v/>
      </c>
      <c r="BU138">
        <f>IF(OR($D138="",AP138="",30&gt;$F138),0,IF(UPPER(TRIM(AP138))=IFERROR(INDEX(Key!$C$2:$C$263,MATCH($D138*100+30,Key!$G$2:$G$263,0)),"#"),1,0))</f>
        <v/>
      </c>
    </row>
    <row r="139">
      <c r="A139" s="6" t="n"/>
      <c r="B139" s="6" t="n"/>
      <c r="C139" s="6" t="n"/>
      <c r="D139" s="6" t="n"/>
      <c r="E139" s="7">
        <f>IF($D139="","",IFERROR(INDEX(Papers!$B$2:$B$12,MATCH($D139,Papers!$A$2:$A$12,0)),"?"))</f>
        <v/>
      </c>
      <c r="F139" s="7">
        <f>IF($D139="","",IFERROR(INDEX(Papers!$C$2:$C$12,MATCH($D139,Papers!$A$2:$A$12,0)),0))</f>
        <v/>
      </c>
      <c r="G139" s="7">
        <f>IF($D139="","",COUNTIF(M139:AP139,"?*"))</f>
        <v/>
      </c>
      <c r="H139" s="7">
        <f>IF($D139="","",SUM(AR139:BU139))</f>
        <v/>
      </c>
      <c r="I139" s="7">
        <f>IF($D139="","",G139-H139)</f>
        <v/>
      </c>
      <c r="J139" s="7">
        <f>IF($D139="","",F139-G139)</f>
        <v/>
      </c>
      <c r="K139" s="7">
        <f>IF($D139="","",H139)</f>
        <v/>
      </c>
      <c r="L139" s="7">
        <f>IF($D139="","",IF(F139=0,"",ROUND(H139/F139*100,1)))</f>
        <v/>
      </c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R139">
        <f>IF(OR($D139="",M139="",1&gt;$F139),0,IF(UPPER(TRIM(M139))=IFERROR(INDEX(Key!$C$2:$C$263,MATCH($D139*100+1,Key!$G$2:$G$263,0)),"#"),1,0))</f>
        <v/>
      </c>
      <c r="AS139">
        <f>IF(OR($D139="",N139="",2&gt;$F139),0,IF(UPPER(TRIM(N139))=IFERROR(INDEX(Key!$C$2:$C$263,MATCH($D139*100+2,Key!$G$2:$G$263,0)),"#"),1,0))</f>
        <v/>
      </c>
      <c r="AT139">
        <f>IF(OR($D139="",O139="",3&gt;$F139),0,IF(UPPER(TRIM(O139))=IFERROR(INDEX(Key!$C$2:$C$263,MATCH($D139*100+3,Key!$G$2:$G$263,0)),"#"),1,0))</f>
        <v/>
      </c>
      <c r="AU139">
        <f>IF(OR($D139="",P139="",4&gt;$F139),0,IF(UPPER(TRIM(P139))=IFERROR(INDEX(Key!$C$2:$C$263,MATCH($D139*100+4,Key!$G$2:$G$263,0)),"#"),1,0))</f>
        <v/>
      </c>
      <c r="AV139">
        <f>IF(OR($D139="",Q139="",5&gt;$F139),0,IF(UPPER(TRIM(Q139))=IFERROR(INDEX(Key!$C$2:$C$263,MATCH($D139*100+5,Key!$G$2:$G$263,0)),"#"),1,0))</f>
        <v/>
      </c>
      <c r="AW139">
        <f>IF(OR($D139="",R139="",6&gt;$F139),0,IF(UPPER(TRIM(R139))=IFERROR(INDEX(Key!$C$2:$C$263,MATCH($D139*100+6,Key!$G$2:$G$263,0)),"#"),1,0))</f>
        <v/>
      </c>
      <c r="AX139">
        <f>IF(OR($D139="",S139="",7&gt;$F139),0,IF(UPPER(TRIM(S139))=IFERROR(INDEX(Key!$C$2:$C$263,MATCH($D139*100+7,Key!$G$2:$G$263,0)),"#"),1,0))</f>
        <v/>
      </c>
      <c r="AY139">
        <f>IF(OR($D139="",T139="",8&gt;$F139),0,IF(UPPER(TRIM(T139))=IFERROR(INDEX(Key!$C$2:$C$263,MATCH($D139*100+8,Key!$G$2:$G$263,0)),"#"),1,0))</f>
        <v/>
      </c>
      <c r="AZ139">
        <f>IF(OR($D139="",U139="",9&gt;$F139),0,IF(UPPER(TRIM(U139))=IFERROR(INDEX(Key!$C$2:$C$263,MATCH($D139*100+9,Key!$G$2:$G$263,0)),"#"),1,0))</f>
        <v/>
      </c>
      <c r="BA139">
        <f>IF(OR($D139="",V139="",10&gt;$F139),0,IF(UPPER(TRIM(V139))=IFERROR(INDEX(Key!$C$2:$C$263,MATCH($D139*100+10,Key!$G$2:$G$263,0)),"#"),1,0))</f>
        <v/>
      </c>
      <c r="BB139">
        <f>IF(OR($D139="",W139="",11&gt;$F139),0,IF(UPPER(TRIM(W139))=IFERROR(INDEX(Key!$C$2:$C$263,MATCH($D139*100+11,Key!$G$2:$G$263,0)),"#"),1,0))</f>
        <v/>
      </c>
      <c r="BC139">
        <f>IF(OR($D139="",X139="",12&gt;$F139),0,IF(UPPER(TRIM(X139))=IFERROR(INDEX(Key!$C$2:$C$263,MATCH($D139*100+12,Key!$G$2:$G$263,0)),"#"),1,0))</f>
        <v/>
      </c>
      <c r="BD139">
        <f>IF(OR($D139="",Y139="",13&gt;$F139),0,IF(UPPER(TRIM(Y139))=IFERROR(INDEX(Key!$C$2:$C$263,MATCH($D139*100+13,Key!$G$2:$G$263,0)),"#"),1,0))</f>
        <v/>
      </c>
      <c r="BE139">
        <f>IF(OR($D139="",Z139="",14&gt;$F139),0,IF(UPPER(TRIM(Z139))=IFERROR(INDEX(Key!$C$2:$C$263,MATCH($D139*100+14,Key!$G$2:$G$263,0)),"#"),1,0))</f>
        <v/>
      </c>
      <c r="BF139">
        <f>IF(OR($D139="",AA139="",15&gt;$F139),0,IF(UPPER(TRIM(AA139))=IFERROR(INDEX(Key!$C$2:$C$263,MATCH($D139*100+15,Key!$G$2:$G$263,0)),"#"),1,0))</f>
        <v/>
      </c>
      <c r="BG139">
        <f>IF(OR($D139="",AB139="",16&gt;$F139),0,IF(UPPER(TRIM(AB139))=IFERROR(INDEX(Key!$C$2:$C$263,MATCH($D139*100+16,Key!$G$2:$G$263,0)),"#"),1,0))</f>
        <v/>
      </c>
      <c r="BH139">
        <f>IF(OR($D139="",AC139="",17&gt;$F139),0,IF(UPPER(TRIM(AC139))=IFERROR(INDEX(Key!$C$2:$C$263,MATCH($D139*100+17,Key!$G$2:$G$263,0)),"#"),1,0))</f>
        <v/>
      </c>
      <c r="BI139">
        <f>IF(OR($D139="",AD139="",18&gt;$F139),0,IF(UPPER(TRIM(AD139))=IFERROR(INDEX(Key!$C$2:$C$263,MATCH($D139*100+18,Key!$G$2:$G$263,0)),"#"),1,0))</f>
        <v/>
      </c>
      <c r="BJ139">
        <f>IF(OR($D139="",AE139="",19&gt;$F139),0,IF(UPPER(TRIM(AE139))=IFERROR(INDEX(Key!$C$2:$C$263,MATCH($D139*100+19,Key!$G$2:$G$263,0)),"#"),1,0))</f>
        <v/>
      </c>
      <c r="BK139">
        <f>IF(OR($D139="",AF139="",20&gt;$F139),0,IF(UPPER(TRIM(AF139))=IFERROR(INDEX(Key!$C$2:$C$263,MATCH($D139*100+20,Key!$G$2:$G$263,0)),"#"),1,0))</f>
        <v/>
      </c>
      <c r="BL139">
        <f>IF(OR($D139="",AG139="",21&gt;$F139),0,IF(UPPER(TRIM(AG139))=IFERROR(INDEX(Key!$C$2:$C$263,MATCH($D139*100+21,Key!$G$2:$G$263,0)),"#"),1,0))</f>
        <v/>
      </c>
      <c r="BM139">
        <f>IF(OR($D139="",AH139="",22&gt;$F139),0,IF(UPPER(TRIM(AH139))=IFERROR(INDEX(Key!$C$2:$C$263,MATCH($D139*100+22,Key!$G$2:$G$263,0)),"#"),1,0))</f>
        <v/>
      </c>
      <c r="BN139">
        <f>IF(OR($D139="",AI139="",23&gt;$F139),0,IF(UPPER(TRIM(AI139))=IFERROR(INDEX(Key!$C$2:$C$263,MATCH($D139*100+23,Key!$G$2:$G$263,0)),"#"),1,0))</f>
        <v/>
      </c>
      <c r="BO139">
        <f>IF(OR($D139="",AJ139="",24&gt;$F139),0,IF(UPPER(TRIM(AJ139))=IFERROR(INDEX(Key!$C$2:$C$263,MATCH($D139*100+24,Key!$G$2:$G$263,0)),"#"),1,0))</f>
        <v/>
      </c>
      <c r="BP139">
        <f>IF(OR($D139="",AK139="",25&gt;$F139),0,IF(UPPER(TRIM(AK139))=IFERROR(INDEX(Key!$C$2:$C$263,MATCH($D139*100+25,Key!$G$2:$G$263,0)),"#"),1,0))</f>
        <v/>
      </c>
      <c r="BQ139">
        <f>IF(OR($D139="",AL139="",26&gt;$F139),0,IF(UPPER(TRIM(AL139))=IFERROR(INDEX(Key!$C$2:$C$263,MATCH($D139*100+26,Key!$G$2:$G$263,0)),"#"),1,0))</f>
        <v/>
      </c>
      <c r="BR139">
        <f>IF(OR($D139="",AM139="",27&gt;$F139),0,IF(UPPER(TRIM(AM139))=IFERROR(INDEX(Key!$C$2:$C$263,MATCH($D139*100+27,Key!$G$2:$G$263,0)),"#"),1,0))</f>
        <v/>
      </c>
      <c r="BS139">
        <f>IF(OR($D139="",AN139="",28&gt;$F139),0,IF(UPPER(TRIM(AN139))=IFERROR(INDEX(Key!$C$2:$C$263,MATCH($D139*100+28,Key!$G$2:$G$263,0)),"#"),1,0))</f>
        <v/>
      </c>
      <c r="BT139">
        <f>IF(OR($D139="",AO139="",29&gt;$F139),0,IF(UPPER(TRIM(AO139))=IFERROR(INDEX(Key!$C$2:$C$263,MATCH($D139*100+29,Key!$G$2:$G$263,0)),"#"),1,0))</f>
        <v/>
      </c>
      <c r="BU139">
        <f>IF(OR($D139="",AP139="",30&gt;$F139),0,IF(UPPER(TRIM(AP139))=IFERROR(INDEX(Key!$C$2:$C$263,MATCH($D139*100+30,Key!$G$2:$G$263,0)),"#"),1,0))</f>
        <v/>
      </c>
    </row>
    <row r="140">
      <c r="A140" s="6" t="n"/>
      <c r="B140" s="6" t="n"/>
      <c r="C140" s="6" t="n"/>
      <c r="D140" s="6" t="n"/>
      <c r="E140" s="7">
        <f>IF($D140="","",IFERROR(INDEX(Papers!$B$2:$B$12,MATCH($D140,Papers!$A$2:$A$12,0)),"?"))</f>
        <v/>
      </c>
      <c r="F140" s="7">
        <f>IF($D140="","",IFERROR(INDEX(Papers!$C$2:$C$12,MATCH($D140,Papers!$A$2:$A$12,0)),0))</f>
        <v/>
      </c>
      <c r="G140" s="7">
        <f>IF($D140="","",COUNTIF(M140:AP140,"?*"))</f>
        <v/>
      </c>
      <c r="H140" s="7">
        <f>IF($D140="","",SUM(AR140:BU140))</f>
        <v/>
      </c>
      <c r="I140" s="7">
        <f>IF($D140="","",G140-H140)</f>
        <v/>
      </c>
      <c r="J140" s="7">
        <f>IF($D140="","",F140-G140)</f>
        <v/>
      </c>
      <c r="K140" s="7">
        <f>IF($D140="","",H140)</f>
        <v/>
      </c>
      <c r="L140" s="7">
        <f>IF($D140="","",IF(F140=0,"",ROUND(H140/F140*100,1)))</f>
        <v/>
      </c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R140">
        <f>IF(OR($D140="",M140="",1&gt;$F140),0,IF(UPPER(TRIM(M140))=IFERROR(INDEX(Key!$C$2:$C$263,MATCH($D140*100+1,Key!$G$2:$G$263,0)),"#"),1,0))</f>
        <v/>
      </c>
      <c r="AS140">
        <f>IF(OR($D140="",N140="",2&gt;$F140),0,IF(UPPER(TRIM(N140))=IFERROR(INDEX(Key!$C$2:$C$263,MATCH($D140*100+2,Key!$G$2:$G$263,0)),"#"),1,0))</f>
        <v/>
      </c>
      <c r="AT140">
        <f>IF(OR($D140="",O140="",3&gt;$F140),0,IF(UPPER(TRIM(O140))=IFERROR(INDEX(Key!$C$2:$C$263,MATCH($D140*100+3,Key!$G$2:$G$263,0)),"#"),1,0))</f>
        <v/>
      </c>
      <c r="AU140">
        <f>IF(OR($D140="",P140="",4&gt;$F140),0,IF(UPPER(TRIM(P140))=IFERROR(INDEX(Key!$C$2:$C$263,MATCH($D140*100+4,Key!$G$2:$G$263,0)),"#"),1,0))</f>
        <v/>
      </c>
      <c r="AV140">
        <f>IF(OR($D140="",Q140="",5&gt;$F140),0,IF(UPPER(TRIM(Q140))=IFERROR(INDEX(Key!$C$2:$C$263,MATCH($D140*100+5,Key!$G$2:$G$263,0)),"#"),1,0))</f>
        <v/>
      </c>
      <c r="AW140">
        <f>IF(OR($D140="",R140="",6&gt;$F140),0,IF(UPPER(TRIM(R140))=IFERROR(INDEX(Key!$C$2:$C$263,MATCH($D140*100+6,Key!$G$2:$G$263,0)),"#"),1,0))</f>
        <v/>
      </c>
      <c r="AX140">
        <f>IF(OR($D140="",S140="",7&gt;$F140),0,IF(UPPER(TRIM(S140))=IFERROR(INDEX(Key!$C$2:$C$263,MATCH($D140*100+7,Key!$G$2:$G$263,0)),"#"),1,0))</f>
        <v/>
      </c>
      <c r="AY140">
        <f>IF(OR($D140="",T140="",8&gt;$F140),0,IF(UPPER(TRIM(T140))=IFERROR(INDEX(Key!$C$2:$C$263,MATCH($D140*100+8,Key!$G$2:$G$263,0)),"#"),1,0))</f>
        <v/>
      </c>
      <c r="AZ140">
        <f>IF(OR($D140="",U140="",9&gt;$F140),0,IF(UPPER(TRIM(U140))=IFERROR(INDEX(Key!$C$2:$C$263,MATCH($D140*100+9,Key!$G$2:$G$263,0)),"#"),1,0))</f>
        <v/>
      </c>
      <c r="BA140">
        <f>IF(OR($D140="",V140="",10&gt;$F140),0,IF(UPPER(TRIM(V140))=IFERROR(INDEX(Key!$C$2:$C$263,MATCH($D140*100+10,Key!$G$2:$G$263,0)),"#"),1,0))</f>
        <v/>
      </c>
      <c r="BB140">
        <f>IF(OR($D140="",W140="",11&gt;$F140),0,IF(UPPER(TRIM(W140))=IFERROR(INDEX(Key!$C$2:$C$263,MATCH($D140*100+11,Key!$G$2:$G$263,0)),"#"),1,0))</f>
        <v/>
      </c>
      <c r="BC140">
        <f>IF(OR($D140="",X140="",12&gt;$F140),0,IF(UPPER(TRIM(X140))=IFERROR(INDEX(Key!$C$2:$C$263,MATCH($D140*100+12,Key!$G$2:$G$263,0)),"#"),1,0))</f>
        <v/>
      </c>
      <c r="BD140">
        <f>IF(OR($D140="",Y140="",13&gt;$F140),0,IF(UPPER(TRIM(Y140))=IFERROR(INDEX(Key!$C$2:$C$263,MATCH($D140*100+13,Key!$G$2:$G$263,0)),"#"),1,0))</f>
        <v/>
      </c>
      <c r="BE140">
        <f>IF(OR($D140="",Z140="",14&gt;$F140),0,IF(UPPER(TRIM(Z140))=IFERROR(INDEX(Key!$C$2:$C$263,MATCH($D140*100+14,Key!$G$2:$G$263,0)),"#"),1,0))</f>
        <v/>
      </c>
      <c r="BF140">
        <f>IF(OR($D140="",AA140="",15&gt;$F140),0,IF(UPPER(TRIM(AA140))=IFERROR(INDEX(Key!$C$2:$C$263,MATCH($D140*100+15,Key!$G$2:$G$263,0)),"#"),1,0))</f>
        <v/>
      </c>
      <c r="BG140">
        <f>IF(OR($D140="",AB140="",16&gt;$F140),0,IF(UPPER(TRIM(AB140))=IFERROR(INDEX(Key!$C$2:$C$263,MATCH($D140*100+16,Key!$G$2:$G$263,0)),"#"),1,0))</f>
        <v/>
      </c>
      <c r="BH140">
        <f>IF(OR($D140="",AC140="",17&gt;$F140),0,IF(UPPER(TRIM(AC140))=IFERROR(INDEX(Key!$C$2:$C$263,MATCH($D140*100+17,Key!$G$2:$G$263,0)),"#"),1,0))</f>
        <v/>
      </c>
      <c r="BI140">
        <f>IF(OR($D140="",AD140="",18&gt;$F140),0,IF(UPPER(TRIM(AD140))=IFERROR(INDEX(Key!$C$2:$C$263,MATCH($D140*100+18,Key!$G$2:$G$263,0)),"#"),1,0))</f>
        <v/>
      </c>
      <c r="BJ140">
        <f>IF(OR($D140="",AE140="",19&gt;$F140),0,IF(UPPER(TRIM(AE140))=IFERROR(INDEX(Key!$C$2:$C$263,MATCH($D140*100+19,Key!$G$2:$G$263,0)),"#"),1,0))</f>
        <v/>
      </c>
      <c r="BK140">
        <f>IF(OR($D140="",AF140="",20&gt;$F140),0,IF(UPPER(TRIM(AF140))=IFERROR(INDEX(Key!$C$2:$C$263,MATCH($D140*100+20,Key!$G$2:$G$263,0)),"#"),1,0))</f>
        <v/>
      </c>
      <c r="BL140">
        <f>IF(OR($D140="",AG140="",21&gt;$F140),0,IF(UPPER(TRIM(AG140))=IFERROR(INDEX(Key!$C$2:$C$263,MATCH($D140*100+21,Key!$G$2:$G$263,0)),"#"),1,0))</f>
        <v/>
      </c>
      <c r="BM140">
        <f>IF(OR($D140="",AH140="",22&gt;$F140),0,IF(UPPER(TRIM(AH140))=IFERROR(INDEX(Key!$C$2:$C$263,MATCH($D140*100+22,Key!$G$2:$G$263,0)),"#"),1,0))</f>
        <v/>
      </c>
      <c r="BN140">
        <f>IF(OR($D140="",AI140="",23&gt;$F140),0,IF(UPPER(TRIM(AI140))=IFERROR(INDEX(Key!$C$2:$C$263,MATCH($D140*100+23,Key!$G$2:$G$263,0)),"#"),1,0))</f>
        <v/>
      </c>
      <c r="BO140">
        <f>IF(OR($D140="",AJ140="",24&gt;$F140),0,IF(UPPER(TRIM(AJ140))=IFERROR(INDEX(Key!$C$2:$C$263,MATCH($D140*100+24,Key!$G$2:$G$263,0)),"#"),1,0))</f>
        <v/>
      </c>
      <c r="BP140">
        <f>IF(OR($D140="",AK140="",25&gt;$F140),0,IF(UPPER(TRIM(AK140))=IFERROR(INDEX(Key!$C$2:$C$263,MATCH($D140*100+25,Key!$G$2:$G$263,0)),"#"),1,0))</f>
        <v/>
      </c>
      <c r="BQ140">
        <f>IF(OR($D140="",AL140="",26&gt;$F140),0,IF(UPPER(TRIM(AL140))=IFERROR(INDEX(Key!$C$2:$C$263,MATCH($D140*100+26,Key!$G$2:$G$263,0)),"#"),1,0))</f>
        <v/>
      </c>
      <c r="BR140">
        <f>IF(OR($D140="",AM140="",27&gt;$F140),0,IF(UPPER(TRIM(AM140))=IFERROR(INDEX(Key!$C$2:$C$263,MATCH($D140*100+27,Key!$G$2:$G$263,0)),"#"),1,0))</f>
        <v/>
      </c>
      <c r="BS140">
        <f>IF(OR($D140="",AN140="",28&gt;$F140),0,IF(UPPER(TRIM(AN140))=IFERROR(INDEX(Key!$C$2:$C$263,MATCH($D140*100+28,Key!$G$2:$G$263,0)),"#"),1,0))</f>
        <v/>
      </c>
      <c r="BT140">
        <f>IF(OR($D140="",AO140="",29&gt;$F140),0,IF(UPPER(TRIM(AO140))=IFERROR(INDEX(Key!$C$2:$C$263,MATCH($D140*100+29,Key!$G$2:$G$263,0)),"#"),1,0))</f>
        <v/>
      </c>
      <c r="BU140">
        <f>IF(OR($D140="",AP140="",30&gt;$F140),0,IF(UPPER(TRIM(AP140))=IFERROR(INDEX(Key!$C$2:$C$263,MATCH($D140*100+30,Key!$G$2:$G$263,0)),"#"),1,0))</f>
        <v/>
      </c>
    </row>
    <row r="141">
      <c r="A141" s="6" t="n"/>
      <c r="B141" s="6" t="n"/>
      <c r="C141" s="6" t="n"/>
      <c r="D141" s="6" t="n"/>
      <c r="E141" s="7">
        <f>IF($D141="","",IFERROR(INDEX(Papers!$B$2:$B$12,MATCH($D141,Papers!$A$2:$A$12,0)),"?"))</f>
        <v/>
      </c>
      <c r="F141" s="7">
        <f>IF($D141="","",IFERROR(INDEX(Papers!$C$2:$C$12,MATCH($D141,Papers!$A$2:$A$12,0)),0))</f>
        <v/>
      </c>
      <c r="G141" s="7">
        <f>IF($D141="","",COUNTIF(M141:AP141,"?*"))</f>
        <v/>
      </c>
      <c r="H141" s="7">
        <f>IF($D141="","",SUM(AR141:BU141))</f>
        <v/>
      </c>
      <c r="I141" s="7">
        <f>IF($D141="","",G141-H141)</f>
        <v/>
      </c>
      <c r="J141" s="7">
        <f>IF($D141="","",F141-G141)</f>
        <v/>
      </c>
      <c r="K141" s="7">
        <f>IF($D141="","",H141)</f>
        <v/>
      </c>
      <c r="L141" s="7">
        <f>IF($D141="","",IF(F141=0,"",ROUND(H141/F141*100,1)))</f>
        <v/>
      </c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R141">
        <f>IF(OR($D141="",M141="",1&gt;$F141),0,IF(UPPER(TRIM(M141))=IFERROR(INDEX(Key!$C$2:$C$263,MATCH($D141*100+1,Key!$G$2:$G$263,0)),"#"),1,0))</f>
        <v/>
      </c>
      <c r="AS141">
        <f>IF(OR($D141="",N141="",2&gt;$F141),0,IF(UPPER(TRIM(N141))=IFERROR(INDEX(Key!$C$2:$C$263,MATCH($D141*100+2,Key!$G$2:$G$263,0)),"#"),1,0))</f>
        <v/>
      </c>
      <c r="AT141">
        <f>IF(OR($D141="",O141="",3&gt;$F141),0,IF(UPPER(TRIM(O141))=IFERROR(INDEX(Key!$C$2:$C$263,MATCH($D141*100+3,Key!$G$2:$G$263,0)),"#"),1,0))</f>
        <v/>
      </c>
      <c r="AU141">
        <f>IF(OR($D141="",P141="",4&gt;$F141),0,IF(UPPER(TRIM(P141))=IFERROR(INDEX(Key!$C$2:$C$263,MATCH($D141*100+4,Key!$G$2:$G$263,0)),"#"),1,0))</f>
        <v/>
      </c>
      <c r="AV141">
        <f>IF(OR($D141="",Q141="",5&gt;$F141),0,IF(UPPER(TRIM(Q141))=IFERROR(INDEX(Key!$C$2:$C$263,MATCH($D141*100+5,Key!$G$2:$G$263,0)),"#"),1,0))</f>
        <v/>
      </c>
      <c r="AW141">
        <f>IF(OR($D141="",R141="",6&gt;$F141),0,IF(UPPER(TRIM(R141))=IFERROR(INDEX(Key!$C$2:$C$263,MATCH($D141*100+6,Key!$G$2:$G$263,0)),"#"),1,0))</f>
        <v/>
      </c>
      <c r="AX141">
        <f>IF(OR($D141="",S141="",7&gt;$F141),0,IF(UPPER(TRIM(S141))=IFERROR(INDEX(Key!$C$2:$C$263,MATCH($D141*100+7,Key!$G$2:$G$263,0)),"#"),1,0))</f>
        <v/>
      </c>
      <c r="AY141">
        <f>IF(OR($D141="",T141="",8&gt;$F141),0,IF(UPPER(TRIM(T141))=IFERROR(INDEX(Key!$C$2:$C$263,MATCH($D141*100+8,Key!$G$2:$G$263,0)),"#"),1,0))</f>
        <v/>
      </c>
      <c r="AZ141">
        <f>IF(OR($D141="",U141="",9&gt;$F141),0,IF(UPPER(TRIM(U141))=IFERROR(INDEX(Key!$C$2:$C$263,MATCH($D141*100+9,Key!$G$2:$G$263,0)),"#"),1,0))</f>
        <v/>
      </c>
      <c r="BA141">
        <f>IF(OR($D141="",V141="",10&gt;$F141),0,IF(UPPER(TRIM(V141))=IFERROR(INDEX(Key!$C$2:$C$263,MATCH($D141*100+10,Key!$G$2:$G$263,0)),"#"),1,0))</f>
        <v/>
      </c>
      <c r="BB141">
        <f>IF(OR($D141="",W141="",11&gt;$F141),0,IF(UPPER(TRIM(W141))=IFERROR(INDEX(Key!$C$2:$C$263,MATCH($D141*100+11,Key!$G$2:$G$263,0)),"#"),1,0))</f>
        <v/>
      </c>
      <c r="BC141">
        <f>IF(OR($D141="",X141="",12&gt;$F141),0,IF(UPPER(TRIM(X141))=IFERROR(INDEX(Key!$C$2:$C$263,MATCH($D141*100+12,Key!$G$2:$G$263,0)),"#"),1,0))</f>
        <v/>
      </c>
      <c r="BD141">
        <f>IF(OR($D141="",Y141="",13&gt;$F141),0,IF(UPPER(TRIM(Y141))=IFERROR(INDEX(Key!$C$2:$C$263,MATCH($D141*100+13,Key!$G$2:$G$263,0)),"#"),1,0))</f>
        <v/>
      </c>
      <c r="BE141">
        <f>IF(OR($D141="",Z141="",14&gt;$F141),0,IF(UPPER(TRIM(Z141))=IFERROR(INDEX(Key!$C$2:$C$263,MATCH($D141*100+14,Key!$G$2:$G$263,0)),"#"),1,0))</f>
        <v/>
      </c>
      <c r="BF141">
        <f>IF(OR($D141="",AA141="",15&gt;$F141),0,IF(UPPER(TRIM(AA141))=IFERROR(INDEX(Key!$C$2:$C$263,MATCH($D141*100+15,Key!$G$2:$G$263,0)),"#"),1,0))</f>
        <v/>
      </c>
      <c r="BG141">
        <f>IF(OR($D141="",AB141="",16&gt;$F141),0,IF(UPPER(TRIM(AB141))=IFERROR(INDEX(Key!$C$2:$C$263,MATCH($D141*100+16,Key!$G$2:$G$263,0)),"#"),1,0))</f>
        <v/>
      </c>
      <c r="BH141">
        <f>IF(OR($D141="",AC141="",17&gt;$F141),0,IF(UPPER(TRIM(AC141))=IFERROR(INDEX(Key!$C$2:$C$263,MATCH($D141*100+17,Key!$G$2:$G$263,0)),"#"),1,0))</f>
        <v/>
      </c>
      <c r="BI141">
        <f>IF(OR($D141="",AD141="",18&gt;$F141),0,IF(UPPER(TRIM(AD141))=IFERROR(INDEX(Key!$C$2:$C$263,MATCH($D141*100+18,Key!$G$2:$G$263,0)),"#"),1,0))</f>
        <v/>
      </c>
      <c r="BJ141">
        <f>IF(OR($D141="",AE141="",19&gt;$F141),0,IF(UPPER(TRIM(AE141))=IFERROR(INDEX(Key!$C$2:$C$263,MATCH($D141*100+19,Key!$G$2:$G$263,0)),"#"),1,0))</f>
        <v/>
      </c>
      <c r="BK141">
        <f>IF(OR($D141="",AF141="",20&gt;$F141),0,IF(UPPER(TRIM(AF141))=IFERROR(INDEX(Key!$C$2:$C$263,MATCH($D141*100+20,Key!$G$2:$G$263,0)),"#"),1,0))</f>
        <v/>
      </c>
      <c r="BL141">
        <f>IF(OR($D141="",AG141="",21&gt;$F141),0,IF(UPPER(TRIM(AG141))=IFERROR(INDEX(Key!$C$2:$C$263,MATCH($D141*100+21,Key!$G$2:$G$263,0)),"#"),1,0))</f>
        <v/>
      </c>
      <c r="BM141">
        <f>IF(OR($D141="",AH141="",22&gt;$F141),0,IF(UPPER(TRIM(AH141))=IFERROR(INDEX(Key!$C$2:$C$263,MATCH($D141*100+22,Key!$G$2:$G$263,0)),"#"),1,0))</f>
        <v/>
      </c>
      <c r="BN141">
        <f>IF(OR($D141="",AI141="",23&gt;$F141),0,IF(UPPER(TRIM(AI141))=IFERROR(INDEX(Key!$C$2:$C$263,MATCH($D141*100+23,Key!$G$2:$G$263,0)),"#"),1,0))</f>
        <v/>
      </c>
      <c r="BO141">
        <f>IF(OR($D141="",AJ141="",24&gt;$F141),0,IF(UPPER(TRIM(AJ141))=IFERROR(INDEX(Key!$C$2:$C$263,MATCH($D141*100+24,Key!$G$2:$G$263,0)),"#"),1,0))</f>
        <v/>
      </c>
      <c r="BP141">
        <f>IF(OR($D141="",AK141="",25&gt;$F141),0,IF(UPPER(TRIM(AK141))=IFERROR(INDEX(Key!$C$2:$C$263,MATCH($D141*100+25,Key!$G$2:$G$263,0)),"#"),1,0))</f>
        <v/>
      </c>
      <c r="BQ141">
        <f>IF(OR($D141="",AL141="",26&gt;$F141),0,IF(UPPER(TRIM(AL141))=IFERROR(INDEX(Key!$C$2:$C$263,MATCH($D141*100+26,Key!$G$2:$G$263,0)),"#"),1,0))</f>
        <v/>
      </c>
      <c r="BR141">
        <f>IF(OR($D141="",AM141="",27&gt;$F141),0,IF(UPPER(TRIM(AM141))=IFERROR(INDEX(Key!$C$2:$C$263,MATCH($D141*100+27,Key!$G$2:$G$263,0)),"#"),1,0))</f>
        <v/>
      </c>
      <c r="BS141">
        <f>IF(OR($D141="",AN141="",28&gt;$F141),0,IF(UPPER(TRIM(AN141))=IFERROR(INDEX(Key!$C$2:$C$263,MATCH($D141*100+28,Key!$G$2:$G$263,0)),"#"),1,0))</f>
        <v/>
      </c>
      <c r="BT141">
        <f>IF(OR($D141="",AO141="",29&gt;$F141),0,IF(UPPER(TRIM(AO141))=IFERROR(INDEX(Key!$C$2:$C$263,MATCH($D141*100+29,Key!$G$2:$G$263,0)),"#"),1,0))</f>
        <v/>
      </c>
      <c r="BU141">
        <f>IF(OR($D141="",AP141="",30&gt;$F141),0,IF(UPPER(TRIM(AP141))=IFERROR(INDEX(Key!$C$2:$C$263,MATCH($D141*100+30,Key!$G$2:$G$263,0)),"#"),1,0))</f>
        <v/>
      </c>
    </row>
    <row r="142">
      <c r="A142" s="6" t="n"/>
      <c r="B142" s="6" t="n"/>
      <c r="C142" s="6" t="n"/>
      <c r="D142" s="6" t="n"/>
      <c r="E142" s="7">
        <f>IF($D142="","",IFERROR(INDEX(Papers!$B$2:$B$12,MATCH($D142,Papers!$A$2:$A$12,0)),"?"))</f>
        <v/>
      </c>
      <c r="F142" s="7">
        <f>IF($D142="","",IFERROR(INDEX(Papers!$C$2:$C$12,MATCH($D142,Papers!$A$2:$A$12,0)),0))</f>
        <v/>
      </c>
      <c r="G142" s="7">
        <f>IF($D142="","",COUNTIF(M142:AP142,"?*"))</f>
        <v/>
      </c>
      <c r="H142" s="7">
        <f>IF($D142="","",SUM(AR142:BU142))</f>
        <v/>
      </c>
      <c r="I142" s="7">
        <f>IF($D142="","",G142-H142)</f>
        <v/>
      </c>
      <c r="J142" s="7">
        <f>IF($D142="","",F142-G142)</f>
        <v/>
      </c>
      <c r="K142" s="7">
        <f>IF($D142="","",H142)</f>
        <v/>
      </c>
      <c r="L142" s="7">
        <f>IF($D142="","",IF(F142=0,"",ROUND(H142/F142*100,1)))</f>
        <v/>
      </c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R142">
        <f>IF(OR($D142="",M142="",1&gt;$F142),0,IF(UPPER(TRIM(M142))=IFERROR(INDEX(Key!$C$2:$C$263,MATCH($D142*100+1,Key!$G$2:$G$263,0)),"#"),1,0))</f>
        <v/>
      </c>
      <c r="AS142">
        <f>IF(OR($D142="",N142="",2&gt;$F142),0,IF(UPPER(TRIM(N142))=IFERROR(INDEX(Key!$C$2:$C$263,MATCH($D142*100+2,Key!$G$2:$G$263,0)),"#"),1,0))</f>
        <v/>
      </c>
      <c r="AT142">
        <f>IF(OR($D142="",O142="",3&gt;$F142),0,IF(UPPER(TRIM(O142))=IFERROR(INDEX(Key!$C$2:$C$263,MATCH($D142*100+3,Key!$G$2:$G$263,0)),"#"),1,0))</f>
        <v/>
      </c>
      <c r="AU142">
        <f>IF(OR($D142="",P142="",4&gt;$F142),0,IF(UPPER(TRIM(P142))=IFERROR(INDEX(Key!$C$2:$C$263,MATCH($D142*100+4,Key!$G$2:$G$263,0)),"#"),1,0))</f>
        <v/>
      </c>
      <c r="AV142">
        <f>IF(OR($D142="",Q142="",5&gt;$F142),0,IF(UPPER(TRIM(Q142))=IFERROR(INDEX(Key!$C$2:$C$263,MATCH($D142*100+5,Key!$G$2:$G$263,0)),"#"),1,0))</f>
        <v/>
      </c>
      <c r="AW142">
        <f>IF(OR($D142="",R142="",6&gt;$F142),0,IF(UPPER(TRIM(R142))=IFERROR(INDEX(Key!$C$2:$C$263,MATCH($D142*100+6,Key!$G$2:$G$263,0)),"#"),1,0))</f>
        <v/>
      </c>
      <c r="AX142">
        <f>IF(OR($D142="",S142="",7&gt;$F142),0,IF(UPPER(TRIM(S142))=IFERROR(INDEX(Key!$C$2:$C$263,MATCH($D142*100+7,Key!$G$2:$G$263,0)),"#"),1,0))</f>
        <v/>
      </c>
      <c r="AY142">
        <f>IF(OR($D142="",T142="",8&gt;$F142),0,IF(UPPER(TRIM(T142))=IFERROR(INDEX(Key!$C$2:$C$263,MATCH($D142*100+8,Key!$G$2:$G$263,0)),"#"),1,0))</f>
        <v/>
      </c>
      <c r="AZ142">
        <f>IF(OR($D142="",U142="",9&gt;$F142),0,IF(UPPER(TRIM(U142))=IFERROR(INDEX(Key!$C$2:$C$263,MATCH($D142*100+9,Key!$G$2:$G$263,0)),"#"),1,0))</f>
        <v/>
      </c>
      <c r="BA142">
        <f>IF(OR($D142="",V142="",10&gt;$F142),0,IF(UPPER(TRIM(V142))=IFERROR(INDEX(Key!$C$2:$C$263,MATCH($D142*100+10,Key!$G$2:$G$263,0)),"#"),1,0))</f>
        <v/>
      </c>
      <c r="BB142">
        <f>IF(OR($D142="",W142="",11&gt;$F142),0,IF(UPPER(TRIM(W142))=IFERROR(INDEX(Key!$C$2:$C$263,MATCH($D142*100+11,Key!$G$2:$G$263,0)),"#"),1,0))</f>
        <v/>
      </c>
      <c r="BC142">
        <f>IF(OR($D142="",X142="",12&gt;$F142),0,IF(UPPER(TRIM(X142))=IFERROR(INDEX(Key!$C$2:$C$263,MATCH($D142*100+12,Key!$G$2:$G$263,0)),"#"),1,0))</f>
        <v/>
      </c>
      <c r="BD142">
        <f>IF(OR($D142="",Y142="",13&gt;$F142),0,IF(UPPER(TRIM(Y142))=IFERROR(INDEX(Key!$C$2:$C$263,MATCH($D142*100+13,Key!$G$2:$G$263,0)),"#"),1,0))</f>
        <v/>
      </c>
      <c r="BE142">
        <f>IF(OR($D142="",Z142="",14&gt;$F142),0,IF(UPPER(TRIM(Z142))=IFERROR(INDEX(Key!$C$2:$C$263,MATCH($D142*100+14,Key!$G$2:$G$263,0)),"#"),1,0))</f>
        <v/>
      </c>
      <c r="BF142">
        <f>IF(OR($D142="",AA142="",15&gt;$F142),0,IF(UPPER(TRIM(AA142))=IFERROR(INDEX(Key!$C$2:$C$263,MATCH($D142*100+15,Key!$G$2:$G$263,0)),"#"),1,0))</f>
        <v/>
      </c>
      <c r="BG142">
        <f>IF(OR($D142="",AB142="",16&gt;$F142),0,IF(UPPER(TRIM(AB142))=IFERROR(INDEX(Key!$C$2:$C$263,MATCH($D142*100+16,Key!$G$2:$G$263,0)),"#"),1,0))</f>
        <v/>
      </c>
      <c r="BH142">
        <f>IF(OR($D142="",AC142="",17&gt;$F142),0,IF(UPPER(TRIM(AC142))=IFERROR(INDEX(Key!$C$2:$C$263,MATCH($D142*100+17,Key!$G$2:$G$263,0)),"#"),1,0))</f>
        <v/>
      </c>
      <c r="BI142">
        <f>IF(OR($D142="",AD142="",18&gt;$F142),0,IF(UPPER(TRIM(AD142))=IFERROR(INDEX(Key!$C$2:$C$263,MATCH($D142*100+18,Key!$G$2:$G$263,0)),"#"),1,0))</f>
        <v/>
      </c>
      <c r="BJ142">
        <f>IF(OR($D142="",AE142="",19&gt;$F142),0,IF(UPPER(TRIM(AE142))=IFERROR(INDEX(Key!$C$2:$C$263,MATCH($D142*100+19,Key!$G$2:$G$263,0)),"#"),1,0))</f>
        <v/>
      </c>
      <c r="BK142">
        <f>IF(OR($D142="",AF142="",20&gt;$F142),0,IF(UPPER(TRIM(AF142))=IFERROR(INDEX(Key!$C$2:$C$263,MATCH($D142*100+20,Key!$G$2:$G$263,0)),"#"),1,0))</f>
        <v/>
      </c>
      <c r="BL142">
        <f>IF(OR($D142="",AG142="",21&gt;$F142),0,IF(UPPER(TRIM(AG142))=IFERROR(INDEX(Key!$C$2:$C$263,MATCH($D142*100+21,Key!$G$2:$G$263,0)),"#"),1,0))</f>
        <v/>
      </c>
      <c r="BM142">
        <f>IF(OR($D142="",AH142="",22&gt;$F142),0,IF(UPPER(TRIM(AH142))=IFERROR(INDEX(Key!$C$2:$C$263,MATCH($D142*100+22,Key!$G$2:$G$263,0)),"#"),1,0))</f>
        <v/>
      </c>
      <c r="BN142">
        <f>IF(OR($D142="",AI142="",23&gt;$F142),0,IF(UPPER(TRIM(AI142))=IFERROR(INDEX(Key!$C$2:$C$263,MATCH($D142*100+23,Key!$G$2:$G$263,0)),"#"),1,0))</f>
        <v/>
      </c>
      <c r="BO142">
        <f>IF(OR($D142="",AJ142="",24&gt;$F142),0,IF(UPPER(TRIM(AJ142))=IFERROR(INDEX(Key!$C$2:$C$263,MATCH($D142*100+24,Key!$G$2:$G$263,0)),"#"),1,0))</f>
        <v/>
      </c>
      <c r="BP142">
        <f>IF(OR($D142="",AK142="",25&gt;$F142),0,IF(UPPER(TRIM(AK142))=IFERROR(INDEX(Key!$C$2:$C$263,MATCH($D142*100+25,Key!$G$2:$G$263,0)),"#"),1,0))</f>
        <v/>
      </c>
      <c r="BQ142">
        <f>IF(OR($D142="",AL142="",26&gt;$F142),0,IF(UPPER(TRIM(AL142))=IFERROR(INDEX(Key!$C$2:$C$263,MATCH($D142*100+26,Key!$G$2:$G$263,0)),"#"),1,0))</f>
        <v/>
      </c>
      <c r="BR142">
        <f>IF(OR($D142="",AM142="",27&gt;$F142),0,IF(UPPER(TRIM(AM142))=IFERROR(INDEX(Key!$C$2:$C$263,MATCH($D142*100+27,Key!$G$2:$G$263,0)),"#"),1,0))</f>
        <v/>
      </c>
      <c r="BS142">
        <f>IF(OR($D142="",AN142="",28&gt;$F142),0,IF(UPPER(TRIM(AN142))=IFERROR(INDEX(Key!$C$2:$C$263,MATCH($D142*100+28,Key!$G$2:$G$263,0)),"#"),1,0))</f>
        <v/>
      </c>
      <c r="BT142">
        <f>IF(OR($D142="",AO142="",29&gt;$F142),0,IF(UPPER(TRIM(AO142))=IFERROR(INDEX(Key!$C$2:$C$263,MATCH($D142*100+29,Key!$G$2:$G$263,0)),"#"),1,0))</f>
        <v/>
      </c>
      <c r="BU142">
        <f>IF(OR($D142="",AP142="",30&gt;$F142),0,IF(UPPER(TRIM(AP142))=IFERROR(INDEX(Key!$C$2:$C$263,MATCH($D142*100+30,Key!$G$2:$G$263,0)),"#"),1,0))</f>
        <v/>
      </c>
    </row>
    <row r="143">
      <c r="A143" s="6" t="n"/>
      <c r="B143" s="6" t="n"/>
      <c r="C143" s="6" t="n"/>
      <c r="D143" s="6" t="n"/>
      <c r="E143" s="7">
        <f>IF($D143="","",IFERROR(INDEX(Papers!$B$2:$B$12,MATCH($D143,Papers!$A$2:$A$12,0)),"?"))</f>
        <v/>
      </c>
      <c r="F143" s="7">
        <f>IF($D143="","",IFERROR(INDEX(Papers!$C$2:$C$12,MATCH($D143,Papers!$A$2:$A$12,0)),0))</f>
        <v/>
      </c>
      <c r="G143" s="7">
        <f>IF($D143="","",COUNTIF(M143:AP143,"?*"))</f>
        <v/>
      </c>
      <c r="H143" s="7">
        <f>IF($D143="","",SUM(AR143:BU143))</f>
        <v/>
      </c>
      <c r="I143" s="7">
        <f>IF($D143="","",G143-H143)</f>
        <v/>
      </c>
      <c r="J143" s="7">
        <f>IF($D143="","",F143-G143)</f>
        <v/>
      </c>
      <c r="K143" s="7">
        <f>IF($D143="","",H143)</f>
        <v/>
      </c>
      <c r="L143" s="7">
        <f>IF($D143="","",IF(F143=0,"",ROUND(H143/F143*100,1)))</f>
        <v/>
      </c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R143">
        <f>IF(OR($D143="",M143="",1&gt;$F143),0,IF(UPPER(TRIM(M143))=IFERROR(INDEX(Key!$C$2:$C$263,MATCH($D143*100+1,Key!$G$2:$G$263,0)),"#"),1,0))</f>
        <v/>
      </c>
      <c r="AS143">
        <f>IF(OR($D143="",N143="",2&gt;$F143),0,IF(UPPER(TRIM(N143))=IFERROR(INDEX(Key!$C$2:$C$263,MATCH($D143*100+2,Key!$G$2:$G$263,0)),"#"),1,0))</f>
        <v/>
      </c>
      <c r="AT143">
        <f>IF(OR($D143="",O143="",3&gt;$F143),0,IF(UPPER(TRIM(O143))=IFERROR(INDEX(Key!$C$2:$C$263,MATCH($D143*100+3,Key!$G$2:$G$263,0)),"#"),1,0))</f>
        <v/>
      </c>
      <c r="AU143">
        <f>IF(OR($D143="",P143="",4&gt;$F143),0,IF(UPPER(TRIM(P143))=IFERROR(INDEX(Key!$C$2:$C$263,MATCH($D143*100+4,Key!$G$2:$G$263,0)),"#"),1,0))</f>
        <v/>
      </c>
      <c r="AV143">
        <f>IF(OR($D143="",Q143="",5&gt;$F143),0,IF(UPPER(TRIM(Q143))=IFERROR(INDEX(Key!$C$2:$C$263,MATCH($D143*100+5,Key!$G$2:$G$263,0)),"#"),1,0))</f>
        <v/>
      </c>
      <c r="AW143">
        <f>IF(OR($D143="",R143="",6&gt;$F143),0,IF(UPPER(TRIM(R143))=IFERROR(INDEX(Key!$C$2:$C$263,MATCH($D143*100+6,Key!$G$2:$G$263,0)),"#"),1,0))</f>
        <v/>
      </c>
      <c r="AX143">
        <f>IF(OR($D143="",S143="",7&gt;$F143),0,IF(UPPER(TRIM(S143))=IFERROR(INDEX(Key!$C$2:$C$263,MATCH($D143*100+7,Key!$G$2:$G$263,0)),"#"),1,0))</f>
        <v/>
      </c>
      <c r="AY143">
        <f>IF(OR($D143="",T143="",8&gt;$F143),0,IF(UPPER(TRIM(T143))=IFERROR(INDEX(Key!$C$2:$C$263,MATCH($D143*100+8,Key!$G$2:$G$263,0)),"#"),1,0))</f>
        <v/>
      </c>
      <c r="AZ143">
        <f>IF(OR($D143="",U143="",9&gt;$F143),0,IF(UPPER(TRIM(U143))=IFERROR(INDEX(Key!$C$2:$C$263,MATCH($D143*100+9,Key!$G$2:$G$263,0)),"#"),1,0))</f>
        <v/>
      </c>
      <c r="BA143">
        <f>IF(OR($D143="",V143="",10&gt;$F143),0,IF(UPPER(TRIM(V143))=IFERROR(INDEX(Key!$C$2:$C$263,MATCH($D143*100+10,Key!$G$2:$G$263,0)),"#"),1,0))</f>
        <v/>
      </c>
      <c r="BB143">
        <f>IF(OR($D143="",W143="",11&gt;$F143),0,IF(UPPER(TRIM(W143))=IFERROR(INDEX(Key!$C$2:$C$263,MATCH($D143*100+11,Key!$G$2:$G$263,0)),"#"),1,0))</f>
        <v/>
      </c>
      <c r="BC143">
        <f>IF(OR($D143="",X143="",12&gt;$F143),0,IF(UPPER(TRIM(X143))=IFERROR(INDEX(Key!$C$2:$C$263,MATCH($D143*100+12,Key!$G$2:$G$263,0)),"#"),1,0))</f>
        <v/>
      </c>
      <c r="BD143">
        <f>IF(OR($D143="",Y143="",13&gt;$F143),0,IF(UPPER(TRIM(Y143))=IFERROR(INDEX(Key!$C$2:$C$263,MATCH($D143*100+13,Key!$G$2:$G$263,0)),"#"),1,0))</f>
        <v/>
      </c>
      <c r="BE143">
        <f>IF(OR($D143="",Z143="",14&gt;$F143),0,IF(UPPER(TRIM(Z143))=IFERROR(INDEX(Key!$C$2:$C$263,MATCH($D143*100+14,Key!$G$2:$G$263,0)),"#"),1,0))</f>
        <v/>
      </c>
      <c r="BF143">
        <f>IF(OR($D143="",AA143="",15&gt;$F143),0,IF(UPPER(TRIM(AA143))=IFERROR(INDEX(Key!$C$2:$C$263,MATCH($D143*100+15,Key!$G$2:$G$263,0)),"#"),1,0))</f>
        <v/>
      </c>
      <c r="BG143">
        <f>IF(OR($D143="",AB143="",16&gt;$F143),0,IF(UPPER(TRIM(AB143))=IFERROR(INDEX(Key!$C$2:$C$263,MATCH($D143*100+16,Key!$G$2:$G$263,0)),"#"),1,0))</f>
        <v/>
      </c>
      <c r="BH143">
        <f>IF(OR($D143="",AC143="",17&gt;$F143),0,IF(UPPER(TRIM(AC143))=IFERROR(INDEX(Key!$C$2:$C$263,MATCH($D143*100+17,Key!$G$2:$G$263,0)),"#"),1,0))</f>
        <v/>
      </c>
      <c r="BI143">
        <f>IF(OR($D143="",AD143="",18&gt;$F143),0,IF(UPPER(TRIM(AD143))=IFERROR(INDEX(Key!$C$2:$C$263,MATCH($D143*100+18,Key!$G$2:$G$263,0)),"#"),1,0))</f>
        <v/>
      </c>
      <c r="BJ143">
        <f>IF(OR($D143="",AE143="",19&gt;$F143),0,IF(UPPER(TRIM(AE143))=IFERROR(INDEX(Key!$C$2:$C$263,MATCH($D143*100+19,Key!$G$2:$G$263,0)),"#"),1,0))</f>
        <v/>
      </c>
      <c r="BK143">
        <f>IF(OR($D143="",AF143="",20&gt;$F143),0,IF(UPPER(TRIM(AF143))=IFERROR(INDEX(Key!$C$2:$C$263,MATCH($D143*100+20,Key!$G$2:$G$263,0)),"#"),1,0))</f>
        <v/>
      </c>
      <c r="BL143">
        <f>IF(OR($D143="",AG143="",21&gt;$F143),0,IF(UPPER(TRIM(AG143))=IFERROR(INDEX(Key!$C$2:$C$263,MATCH($D143*100+21,Key!$G$2:$G$263,0)),"#"),1,0))</f>
        <v/>
      </c>
      <c r="BM143">
        <f>IF(OR($D143="",AH143="",22&gt;$F143),0,IF(UPPER(TRIM(AH143))=IFERROR(INDEX(Key!$C$2:$C$263,MATCH($D143*100+22,Key!$G$2:$G$263,0)),"#"),1,0))</f>
        <v/>
      </c>
      <c r="BN143">
        <f>IF(OR($D143="",AI143="",23&gt;$F143),0,IF(UPPER(TRIM(AI143))=IFERROR(INDEX(Key!$C$2:$C$263,MATCH($D143*100+23,Key!$G$2:$G$263,0)),"#"),1,0))</f>
        <v/>
      </c>
      <c r="BO143">
        <f>IF(OR($D143="",AJ143="",24&gt;$F143),0,IF(UPPER(TRIM(AJ143))=IFERROR(INDEX(Key!$C$2:$C$263,MATCH($D143*100+24,Key!$G$2:$G$263,0)),"#"),1,0))</f>
        <v/>
      </c>
      <c r="BP143">
        <f>IF(OR($D143="",AK143="",25&gt;$F143),0,IF(UPPER(TRIM(AK143))=IFERROR(INDEX(Key!$C$2:$C$263,MATCH($D143*100+25,Key!$G$2:$G$263,0)),"#"),1,0))</f>
        <v/>
      </c>
      <c r="BQ143">
        <f>IF(OR($D143="",AL143="",26&gt;$F143),0,IF(UPPER(TRIM(AL143))=IFERROR(INDEX(Key!$C$2:$C$263,MATCH($D143*100+26,Key!$G$2:$G$263,0)),"#"),1,0))</f>
        <v/>
      </c>
      <c r="BR143">
        <f>IF(OR($D143="",AM143="",27&gt;$F143),0,IF(UPPER(TRIM(AM143))=IFERROR(INDEX(Key!$C$2:$C$263,MATCH($D143*100+27,Key!$G$2:$G$263,0)),"#"),1,0))</f>
        <v/>
      </c>
      <c r="BS143">
        <f>IF(OR($D143="",AN143="",28&gt;$F143),0,IF(UPPER(TRIM(AN143))=IFERROR(INDEX(Key!$C$2:$C$263,MATCH($D143*100+28,Key!$G$2:$G$263,0)),"#"),1,0))</f>
        <v/>
      </c>
      <c r="BT143">
        <f>IF(OR($D143="",AO143="",29&gt;$F143),0,IF(UPPER(TRIM(AO143))=IFERROR(INDEX(Key!$C$2:$C$263,MATCH($D143*100+29,Key!$G$2:$G$263,0)),"#"),1,0))</f>
        <v/>
      </c>
      <c r="BU143">
        <f>IF(OR($D143="",AP143="",30&gt;$F143),0,IF(UPPER(TRIM(AP143))=IFERROR(INDEX(Key!$C$2:$C$263,MATCH($D143*100+30,Key!$G$2:$G$263,0)),"#"),1,0))</f>
        <v/>
      </c>
    </row>
    <row r="144">
      <c r="A144" s="6" t="n"/>
      <c r="B144" s="6" t="n"/>
      <c r="C144" s="6" t="n"/>
      <c r="D144" s="6" t="n"/>
      <c r="E144" s="7">
        <f>IF($D144="","",IFERROR(INDEX(Papers!$B$2:$B$12,MATCH($D144,Papers!$A$2:$A$12,0)),"?"))</f>
        <v/>
      </c>
      <c r="F144" s="7">
        <f>IF($D144="","",IFERROR(INDEX(Papers!$C$2:$C$12,MATCH($D144,Papers!$A$2:$A$12,0)),0))</f>
        <v/>
      </c>
      <c r="G144" s="7">
        <f>IF($D144="","",COUNTIF(M144:AP144,"?*"))</f>
        <v/>
      </c>
      <c r="H144" s="7">
        <f>IF($D144="","",SUM(AR144:BU144))</f>
        <v/>
      </c>
      <c r="I144" s="7">
        <f>IF($D144="","",G144-H144)</f>
        <v/>
      </c>
      <c r="J144" s="7">
        <f>IF($D144="","",F144-G144)</f>
        <v/>
      </c>
      <c r="K144" s="7">
        <f>IF($D144="","",H144)</f>
        <v/>
      </c>
      <c r="L144" s="7">
        <f>IF($D144="","",IF(F144=0,"",ROUND(H144/F144*100,1)))</f>
        <v/>
      </c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R144">
        <f>IF(OR($D144="",M144="",1&gt;$F144),0,IF(UPPER(TRIM(M144))=IFERROR(INDEX(Key!$C$2:$C$263,MATCH($D144*100+1,Key!$G$2:$G$263,0)),"#"),1,0))</f>
        <v/>
      </c>
      <c r="AS144">
        <f>IF(OR($D144="",N144="",2&gt;$F144),0,IF(UPPER(TRIM(N144))=IFERROR(INDEX(Key!$C$2:$C$263,MATCH($D144*100+2,Key!$G$2:$G$263,0)),"#"),1,0))</f>
        <v/>
      </c>
      <c r="AT144">
        <f>IF(OR($D144="",O144="",3&gt;$F144),0,IF(UPPER(TRIM(O144))=IFERROR(INDEX(Key!$C$2:$C$263,MATCH($D144*100+3,Key!$G$2:$G$263,0)),"#"),1,0))</f>
        <v/>
      </c>
      <c r="AU144">
        <f>IF(OR($D144="",P144="",4&gt;$F144),0,IF(UPPER(TRIM(P144))=IFERROR(INDEX(Key!$C$2:$C$263,MATCH($D144*100+4,Key!$G$2:$G$263,0)),"#"),1,0))</f>
        <v/>
      </c>
      <c r="AV144">
        <f>IF(OR($D144="",Q144="",5&gt;$F144),0,IF(UPPER(TRIM(Q144))=IFERROR(INDEX(Key!$C$2:$C$263,MATCH($D144*100+5,Key!$G$2:$G$263,0)),"#"),1,0))</f>
        <v/>
      </c>
      <c r="AW144">
        <f>IF(OR($D144="",R144="",6&gt;$F144),0,IF(UPPER(TRIM(R144))=IFERROR(INDEX(Key!$C$2:$C$263,MATCH($D144*100+6,Key!$G$2:$G$263,0)),"#"),1,0))</f>
        <v/>
      </c>
      <c r="AX144">
        <f>IF(OR($D144="",S144="",7&gt;$F144),0,IF(UPPER(TRIM(S144))=IFERROR(INDEX(Key!$C$2:$C$263,MATCH($D144*100+7,Key!$G$2:$G$263,0)),"#"),1,0))</f>
        <v/>
      </c>
      <c r="AY144">
        <f>IF(OR($D144="",T144="",8&gt;$F144),0,IF(UPPER(TRIM(T144))=IFERROR(INDEX(Key!$C$2:$C$263,MATCH($D144*100+8,Key!$G$2:$G$263,0)),"#"),1,0))</f>
        <v/>
      </c>
      <c r="AZ144">
        <f>IF(OR($D144="",U144="",9&gt;$F144),0,IF(UPPER(TRIM(U144))=IFERROR(INDEX(Key!$C$2:$C$263,MATCH($D144*100+9,Key!$G$2:$G$263,0)),"#"),1,0))</f>
        <v/>
      </c>
      <c r="BA144">
        <f>IF(OR($D144="",V144="",10&gt;$F144),0,IF(UPPER(TRIM(V144))=IFERROR(INDEX(Key!$C$2:$C$263,MATCH($D144*100+10,Key!$G$2:$G$263,0)),"#"),1,0))</f>
        <v/>
      </c>
      <c r="BB144">
        <f>IF(OR($D144="",W144="",11&gt;$F144),0,IF(UPPER(TRIM(W144))=IFERROR(INDEX(Key!$C$2:$C$263,MATCH($D144*100+11,Key!$G$2:$G$263,0)),"#"),1,0))</f>
        <v/>
      </c>
      <c r="BC144">
        <f>IF(OR($D144="",X144="",12&gt;$F144),0,IF(UPPER(TRIM(X144))=IFERROR(INDEX(Key!$C$2:$C$263,MATCH($D144*100+12,Key!$G$2:$G$263,0)),"#"),1,0))</f>
        <v/>
      </c>
      <c r="BD144">
        <f>IF(OR($D144="",Y144="",13&gt;$F144),0,IF(UPPER(TRIM(Y144))=IFERROR(INDEX(Key!$C$2:$C$263,MATCH($D144*100+13,Key!$G$2:$G$263,0)),"#"),1,0))</f>
        <v/>
      </c>
      <c r="BE144">
        <f>IF(OR($D144="",Z144="",14&gt;$F144),0,IF(UPPER(TRIM(Z144))=IFERROR(INDEX(Key!$C$2:$C$263,MATCH($D144*100+14,Key!$G$2:$G$263,0)),"#"),1,0))</f>
        <v/>
      </c>
      <c r="BF144">
        <f>IF(OR($D144="",AA144="",15&gt;$F144),0,IF(UPPER(TRIM(AA144))=IFERROR(INDEX(Key!$C$2:$C$263,MATCH($D144*100+15,Key!$G$2:$G$263,0)),"#"),1,0))</f>
        <v/>
      </c>
      <c r="BG144">
        <f>IF(OR($D144="",AB144="",16&gt;$F144),0,IF(UPPER(TRIM(AB144))=IFERROR(INDEX(Key!$C$2:$C$263,MATCH($D144*100+16,Key!$G$2:$G$263,0)),"#"),1,0))</f>
        <v/>
      </c>
      <c r="BH144">
        <f>IF(OR($D144="",AC144="",17&gt;$F144),0,IF(UPPER(TRIM(AC144))=IFERROR(INDEX(Key!$C$2:$C$263,MATCH($D144*100+17,Key!$G$2:$G$263,0)),"#"),1,0))</f>
        <v/>
      </c>
      <c r="BI144">
        <f>IF(OR($D144="",AD144="",18&gt;$F144),0,IF(UPPER(TRIM(AD144))=IFERROR(INDEX(Key!$C$2:$C$263,MATCH($D144*100+18,Key!$G$2:$G$263,0)),"#"),1,0))</f>
        <v/>
      </c>
      <c r="BJ144">
        <f>IF(OR($D144="",AE144="",19&gt;$F144),0,IF(UPPER(TRIM(AE144))=IFERROR(INDEX(Key!$C$2:$C$263,MATCH($D144*100+19,Key!$G$2:$G$263,0)),"#"),1,0))</f>
        <v/>
      </c>
      <c r="BK144">
        <f>IF(OR($D144="",AF144="",20&gt;$F144),0,IF(UPPER(TRIM(AF144))=IFERROR(INDEX(Key!$C$2:$C$263,MATCH($D144*100+20,Key!$G$2:$G$263,0)),"#"),1,0))</f>
        <v/>
      </c>
      <c r="BL144">
        <f>IF(OR($D144="",AG144="",21&gt;$F144),0,IF(UPPER(TRIM(AG144))=IFERROR(INDEX(Key!$C$2:$C$263,MATCH($D144*100+21,Key!$G$2:$G$263,0)),"#"),1,0))</f>
        <v/>
      </c>
      <c r="BM144">
        <f>IF(OR($D144="",AH144="",22&gt;$F144),0,IF(UPPER(TRIM(AH144))=IFERROR(INDEX(Key!$C$2:$C$263,MATCH($D144*100+22,Key!$G$2:$G$263,0)),"#"),1,0))</f>
        <v/>
      </c>
      <c r="BN144">
        <f>IF(OR($D144="",AI144="",23&gt;$F144),0,IF(UPPER(TRIM(AI144))=IFERROR(INDEX(Key!$C$2:$C$263,MATCH($D144*100+23,Key!$G$2:$G$263,0)),"#"),1,0))</f>
        <v/>
      </c>
      <c r="BO144">
        <f>IF(OR($D144="",AJ144="",24&gt;$F144),0,IF(UPPER(TRIM(AJ144))=IFERROR(INDEX(Key!$C$2:$C$263,MATCH($D144*100+24,Key!$G$2:$G$263,0)),"#"),1,0))</f>
        <v/>
      </c>
      <c r="BP144">
        <f>IF(OR($D144="",AK144="",25&gt;$F144),0,IF(UPPER(TRIM(AK144))=IFERROR(INDEX(Key!$C$2:$C$263,MATCH($D144*100+25,Key!$G$2:$G$263,0)),"#"),1,0))</f>
        <v/>
      </c>
      <c r="BQ144">
        <f>IF(OR($D144="",AL144="",26&gt;$F144),0,IF(UPPER(TRIM(AL144))=IFERROR(INDEX(Key!$C$2:$C$263,MATCH($D144*100+26,Key!$G$2:$G$263,0)),"#"),1,0))</f>
        <v/>
      </c>
      <c r="BR144">
        <f>IF(OR($D144="",AM144="",27&gt;$F144),0,IF(UPPER(TRIM(AM144))=IFERROR(INDEX(Key!$C$2:$C$263,MATCH($D144*100+27,Key!$G$2:$G$263,0)),"#"),1,0))</f>
        <v/>
      </c>
      <c r="BS144">
        <f>IF(OR($D144="",AN144="",28&gt;$F144),0,IF(UPPER(TRIM(AN144))=IFERROR(INDEX(Key!$C$2:$C$263,MATCH($D144*100+28,Key!$G$2:$G$263,0)),"#"),1,0))</f>
        <v/>
      </c>
      <c r="BT144">
        <f>IF(OR($D144="",AO144="",29&gt;$F144),0,IF(UPPER(TRIM(AO144))=IFERROR(INDEX(Key!$C$2:$C$263,MATCH($D144*100+29,Key!$G$2:$G$263,0)),"#"),1,0))</f>
        <v/>
      </c>
      <c r="BU144">
        <f>IF(OR($D144="",AP144="",30&gt;$F144),0,IF(UPPER(TRIM(AP144))=IFERROR(INDEX(Key!$C$2:$C$263,MATCH($D144*100+30,Key!$G$2:$G$263,0)),"#"),1,0))</f>
        <v/>
      </c>
    </row>
    <row r="145">
      <c r="A145" s="6" t="n"/>
      <c r="B145" s="6" t="n"/>
      <c r="C145" s="6" t="n"/>
      <c r="D145" s="6" t="n"/>
      <c r="E145" s="7">
        <f>IF($D145="","",IFERROR(INDEX(Papers!$B$2:$B$12,MATCH($D145,Papers!$A$2:$A$12,0)),"?"))</f>
        <v/>
      </c>
      <c r="F145" s="7">
        <f>IF($D145="","",IFERROR(INDEX(Papers!$C$2:$C$12,MATCH($D145,Papers!$A$2:$A$12,0)),0))</f>
        <v/>
      </c>
      <c r="G145" s="7">
        <f>IF($D145="","",COUNTIF(M145:AP145,"?*"))</f>
        <v/>
      </c>
      <c r="H145" s="7">
        <f>IF($D145="","",SUM(AR145:BU145))</f>
        <v/>
      </c>
      <c r="I145" s="7">
        <f>IF($D145="","",G145-H145)</f>
        <v/>
      </c>
      <c r="J145" s="7">
        <f>IF($D145="","",F145-G145)</f>
        <v/>
      </c>
      <c r="K145" s="7">
        <f>IF($D145="","",H145)</f>
        <v/>
      </c>
      <c r="L145" s="7">
        <f>IF($D145="","",IF(F145=0,"",ROUND(H145/F145*100,1)))</f>
        <v/>
      </c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R145">
        <f>IF(OR($D145="",M145="",1&gt;$F145),0,IF(UPPER(TRIM(M145))=IFERROR(INDEX(Key!$C$2:$C$263,MATCH($D145*100+1,Key!$G$2:$G$263,0)),"#"),1,0))</f>
        <v/>
      </c>
      <c r="AS145">
        <f>IF(OR($D145="",N145="",2&gt;$F145),0,IF(UPPER(TRIM(N145))=IFERROR(INDEX(Key!$C$2:$C$263,MATCH($D145*100+2,Key!$G$2:$G$263,0)),"#"),1,0))</f>
        <v/>
      </c>
      <c r="AT145">
        <f>IF(OR($D145="",O145="",3&gt;$F145),0,IF(UPPER(TRIM(O145))=IFERROR(INDEX(Key!$C$2:$C$263,MATCH($D145*100+3,Key!$G$2:$G$263,0)),"#"),1,0))</f>
        <v/>
      </c>
      <c r="AU145">
        <f>IF(OR($D145="",P145="",4&gt;$F145),0,IF(UPPER(TRIM(P145))=IFERROR(INDEX(Key!$C$2:$C$263,MATCH($D145*100+4,Key!$G$2:$G$263,0)),"#"),1,0))</f>
        <v/>
      </c>
      <c r="AV145">
        <f>IF(OR($D145="",Q145="",5&gt;$F145),0,IF(UPPER(TRIM(Q145))=IFERROR(INDEX(Key!$C$2:$C$263,MATCH($D145*100+5,Key!$G$2:$G$263,0)),"#"),1,0))</f>
        <v/>
      </c>
      <c r="AW145">
        <f>IF(OR($D145="",R145="",6&gt;$F145),0,IF(UPPER(TRIM(R145))=IFERROR(INDEX(Key!$C$2:$C$263,MATCH($D145*100+6,Key!$G$2:$G$263,0)),"#"),1,0))</f>
        <v/>
      </c>
      <c r="AX145">
        <f>IF(OR($D145="",S145="",7&gt;$F145),0,IF(UPPER(TRIM(S145))=IFERROR(INDEX(Key!$C$2:$C$263,MATCH($D145*100+7,Key!$G$2:$G$263,0)),"#"),1,0))</f>
        <v/>
      </c>
      <c r="AY145">
        <f>IF(OR($D145="",T145="",8&gt;$F145),0,IF(UPPER(TRIM(T145))=IFERROR(INDEX(Key!$C$2:$C$263,MATCH($D145*100+8,Key!$G$2:$G$263,0)),"#"),1,0))</f>
        <v/>
      </c>
      <c r="AZ145">
        <f>IF(OR($D145="",U145="",9&gt;$F145),0,IF(UPPER(TRIM(U145))=IFERROR(INDEX(Key!$C$2:$C$263,MATCH($D145*100+9,Key!$G$2:$G$263,0)),"#"),1,0))</f>
        <v/>
      </c>
      <c r="BA145">
        <f>IF(OR($D145="",V145="",10&gt;$F145),0,IF(UPPER(TRIM(V145))=IFERROR(INDEX(Key!$C$2:$C$263,MATCH($D145*100+10,Key!$G$2:$G$263,0)),"#"),1,0))</f>
        <v/>
      </c>
      <c r="BB145">
        <f>IF(OR($D145="",W145="",11&gt;$F145),0,IF(UPPER(TRIM(W145))=IFERROR(INDEX(Key!$C$2:$C$263,MATCH($D145*100+11,Key!$G$2:$G$263,0)),"#"),1,0))</f>
        <v/>
      </c>
      <c r="BC145">
        <f>IF(OR($D145="",X145="",12&gt;$F145),0,IF(UPPER(TRIM(X145))=IFERROR(INDEX(Key!$C$2:$C$263,MATCH($D145*100+12,Key!$G$2:$G$263,0)),"#"),1,0))</f>
        <v/>
      </c>
      <c r="BD145">
        <f>IF(OR($D145="",Y145="",13&gt;$F145),0,IF(UPPER(TRIM(Y145))=IFERROR(INDEX(Key!$C$2:$C$263,MATCH($D145*100+13,Key!$G$2:$G$263,0)),"#"),1,0))</f>
        <v/>
      </c>
      <c r="BE145">
        <f>IF(OR($D145="",Z145="",14&gt;$F145),0,IF(UPPER(TRIM(Z145))=IFERROR(INDEX(Key!$C$2:$C$263,MATCH($D145*100+14,Key!$G$2:$G$263,0)),"#"),1,0))</f>
        <v/>
      </c>
      <c r="BF145">
        <f>IF(OR($D145="",AA145="",15&gt;$F145),0,IF(UPPER(TRIM(AA145))=IFERROR(INDEX(Key!$C$2:$C$263,MATCH($D145*100+15,Key!$G$2:$G$263,0)),"#"),1,0))</f>
        <v/>
      </c>
      <c r="BG145">
        <f>IF(OR($D145="",AB145="",16&gt;$F145),0,IF(UPPER(TRIM(AB145))=IFERROR(INDEX(Key!$C$2:$C$263,MATCH($D145*100+16,Key!$G$2:$G$263,0)),"#"),1,0))</f>
        <v/>
      </c>
      <c r="BH145">
        <f>IF(OR($D145="",AC145="",17&gt;$F145),0,IF(UPPER(TRIM(AC145))=IFERROR(INDEX(Key!$C$2:$C$263,MATCH($D145*100+17,Key!$G$2:$G$263,0)),"#"),1,0))</f>
        <v/>
      </c>
      <c r="BI145">
        <f>IF(OR($D145="",AD145="",18&gt;$F145),0,IF(UPPER(TRIM(AD145))=IFERROR(INDEX(Key!$C$2:$C$263,MATCH($D145*100+18,Key!$G$2:$G$263,0)),"#"),1,0))</f>
        <v/>
      </c>
      <c r="BJ145">
        <f>IF(OR($D145="",AE145="",19&gt;$F145),0,IF(UPPER(TRIM(AE145))=IFERROR(INDEX(Key!$C$2:$C$263,MATCH($D145*100+19,Key!$G$2:$G$263,0)),"#"),1,0))</f>
        <v/>
      </c>
      <c r="BK145">
        <f>IF(OR($D145="",AF145="",20&gt;$F145),0,IF(UPPER(TRIM(AF145))=IFERROR(INDEX(Key!$C$2:$C$263,MATCH($D145*100+20,Key!$G$2:$G$263,0)),"#"),1,0))</f>
        <v/>
      </c>
      <c r="BL145">
        <f>IF(OR($D145="",AG145="",21&gt;$F145),0,IF(UPPER(TRIM(AG145))=IFERROR(INDEX(Key!$C$2:$C$263,MATCH($D145*100+21,Key!$G$2:$G$263,0)),"#"),1,0))</f>
        <v/>
      </c>
      <c r="BM145">
        <f>IF(OR($D145="",AH145="",22&gt;$F145),0,IF(UPPER(TRIM(AH145))=IFERROR(INDEX(Key!$C$2:$C$263,MATCH($D145*100+22,Key!$G$2:$G$263,0)),"#"),1,0))</f>
        <v/>
      </c>
      <c r="BN145">
        <f>IF(OR($D145="",AI145="",23&gt;$F145),0,IF(UPPER(TRIM(AI145))=IFERROR(INDEX(Key!$C$2:$C$263,MATCH($D145*100+23,Key!$G$2:$G$263,0)),"#"),1,0))</f>
        <v/>
      </c>
      <c r="BO145">
        <f>IF(OR($D145="",AJ145="",24&gt;$F145),0,IF(UPPER(TRIM(AJ145))=IFERROR(INDEX(Key!$C$2:$C$263,MATCH($D145*100+24,Key!$G$2:$G$263,0)),"#"),1,0))</f>
        <v/>
      </c>
      <c r="BP145">
        <f>IF(OR($D145="",AK145="",25&gt;$F145),0,IF(UPPER(TRIM(AK145))=IFERROR(INDEX(Key!$C$2:$C$263,MATCH($D145*100+25,Key!$G$2:$G$263,0)),"#"),1,0))</f>
        <v/>
      </c>
      <c r="BQ145">
        <f>IF(OR($D145="",AL145="",26&gt;$F145),0,IF(UPPER(TRIM(AL145))=IFERROR(INDEX(Key!$C$2:$C$263,MATCH($D145*100+26,Key!$G$2:$G$263,0)),"#"),1,0))</f>
        <v/>
      </c>
      <c r="BR145">
        <f>IF(OR($D145="",AM145="",27&gt;$F145),0,IF(UPPER(TRIM(AM145))=IFERROR(INDEX(Key!$C$2:$C$263,MATCH($D145*100+27,Key!$G$2:$G$263,0)),"#"),1,0))</f>
        <v/>
      </c>
      <c r="BS145">
        <f>IF(OR($D145="",AN145="",28&gt;$F145),0,IF(UPPER(TRIM(AN145))=IFERROR(INDEX(Key!$C$2:$C$263,MATCH($D145*100+28,Key!$G$2:$G$263,0)),"#"),1,0))</f>
        <v/>
      </c>
      <c r="BT145">
        <f>IF(OR($D145="",AO145="",29&gt;$F145),0,IF(UPPER(TRIM(AO145))=IFERROR(INDEX(Key!$C$2:$C$263,MATCH($D145*100+29,Key!$G$2:$G$263,0)),"#"),1,0))</f>
        <v/>
      </c>
      <c r="BU145">
        <f>IF(OR($D145="",AP145="",30&gt;$F145),0,IF(UPPER(TRIM(AP145))=IFERROR(INDEX(Key!$C$2:$C$263,MATCH($D145*100+30,Key!$G$2:$G$263,0)),"#"),1,0))</f>
        <v/>
      </c>
    </row>
    <row r="146">
      <c r="A146" s="6" t="n"/>
      <c r="B146" s="6" t="n"/>
      <c r="C146" s="6" t="n"/>
      <c r="D146" s="6" t="n"/>
      <c r="E146" s="7">
        <f>IF($D146="","",IFERROR(INDEX(Papers!$B$2:$B$12,MATCH($D146,Papers!$A$2:$A$12,0)),"?"))</f>
        <v/>
      </c>
      <c r="F146" s="7">
        <f>IF($D146="","",IFERROR(INDEX(Papers!$C$2:$C$12,MATCH($D146,Papers!$A$2:$A$12,0)),0))</f>
        <v/>
      </c>
      <c r="G146" s="7">
        <f>IF($D146="","",COUNTIF(M146:AP146,"?*"))</f>
        <v/>
      </c>
      <c r="H146" s="7">
        <f>IF($D146="","",SUM(AR146:BU146))</f>
        <v/>
      </c>
      <c r="I146" s="7">
        <f>IF($D146="","",G146-H146)</f>
        <v/>
      </c>
      <c r="J146" s="7">
        <f>IF($D146="","",F146-G146)</f>
        <v/>
      </c>
      <c r="K146" s="7">
        <f>IF($D146="","",H146)</f>
        <v/>
      </c>
      <c r="L146" s="7">
        <f>IF($D146="","",IF(F146=0,"",ROUND(H146/F146*100,1)))</f>
        <v/>
      </c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R146">
        <f>IF(OR($D146="",M146="",1&gt;$F146),0,IF(UPPER(TRIM(M146))=IFERROR(INDEX(Key!$C$2:$C$263,MATCH($D146*100+1,Key!$G$2:$G$263,0)),"#"),1,0))</f>
        <v/>
      </c>
      <c r="AS146">
        <f>IF(OR($D146="",N146="",2&gt;$F146),0,IF(UPPER(TRIM(N146))=IFERROR(INDEX(Key!$C$2:$C$263,MATCH($D146*100+2,Key!$G$2:$G$263,0)),"#"),1,0))</f>
        <v/>
      </c>
      <c r="AT146">
        <f>IF(OR($D146="",O146="",3&gt;$F146),0,IF(UPPER(TRIM(O146))=IFERROR(INDEX(Key!$C$2:$C$263,MATCH($D146*100+3,Key!$G$2:$G$263,0)),"#"),1,0))</f>
        <v/>
      </c>
      <c r="AU146">
        <f>IF(OR($D146="",P146="",4&gt;$F146),0,IF(UPPER(TRIM(P146))=IFERROR(INDEX(Key!$C$2:$C$263,MATCH($D146*100+4,Key!$G$2:$G$263,0)),"#"),1,0))</f>
        <v/>
      </c>
      <c r="AV146">
        <f>IF(OR($D146="",Q146="",5&gt;$F146),0,IF(UPPER(TRIM(Q146))=IFERROR(INDEX(Key!$C$2:$C$263,MATCH($D146*100+5,Key!$G$2:$G$263,0)),"#"),1,0))</f>
        <v/>
      </c>
      <c r="AW146">
        <f>IF(OR($D146="",R146="",6&gt;$F146),0,IF(UPPER(TRIM(R146))=IFERROR(INDEX(Key!$C$2:$C$263,MATCH($D146*100+6,Key!$G$2:$G$263,0)),"#"),1,0))</f>
        <v/>
      </c>
      <c r="AX146">
        <f>IF(OR($D146="",S146="",7&gt;$F146),0,IF(UPPER(TRIM(S146))=IFERROR(INDEX(Key!$C$2:$C$263,MATCH($D146*100+7,Key!$G$2:$G$263,0)),"#"),1,0))</f>
        <v/>
      </c>
      <c r="AY146">
        <f>IF(OR($D146="",T146="",8&gt;$F146),0,IF(UPPER(TRIM(T146))=IFERROR(INDEX(Key!$C$2:$C$263,MATCH($D146*100+8,Key!$G$2:$G$263,0)),"#"),1,0))</f>
        <v/>
      </c>
      <c r="AZ146">
        <f>IF(OR($D146="",U146="",9&gt;$F146),0,IF(UPPER(TRIM(U146))=IFERROR(INDEX(Key!$C$2:$C$263,MATCH($D146*100+9,Key!$G$2:$G$263,0)),"#"),1,0))</f>
        <v/>
      </c>
      <c r="BA146">
        <f>IF(OR($D146="",V146="",10&gt;$F146),0,IF(UPPER(TRIM(V146))=IFERROR(INDEX(Key!$C$2:$C$263,MATCH($D146*100+10,Key!$G$2:$G$263,0)),"#"),1,0))</f>
        <v/>
      </c>
      <c r="BB146">
        <f>IF(OR($D146="",W146="",11&gt;$F146),0,IF(UPPER(TRIM(W146))=IFERROR(INDEX(Key!$C$2:$C$263,MATCH($D146*100+11,Key!$G$2:$G$263,0)),"#"),1,0))</f>
        <v/>
      </c>
      <c r="BC146">
        <f>IF(OR($D146="",X146="",12&gt;$F146),0,IF(UPPER(TRIM(X146))=IFERROR(INDEX(Key!$C$2:$C$263,MATCH($D146*100+12,Key!$G$2:$G$263,0)),"#"),1,0))</f>
        <v/>
      </c>
      <c r="BD146">
        <f>IF(OR($D146="",Y146="",13&gt;$F146),0,IF(UPPER(TRIM(Y146))=IFERROR(INDEX(Key!$C$2:$C$263,MATCH($D146*100+13,Key!$G$2:$G$263,0)),"#"),1,0))</f>
        <v/>
      </c>
      <c r="BE146">
        <f>IF(OR($D146="",Z146="",14&gt;$F146),0,IF(UPPER(TRIM(Z146))=IFERROR(INDEX(Key!$C$2:$C$263,MATCH($D146*100+14,Key!$G$2:$G$263,0)),"#"),1,0))</f>
        <v/>
      </c>
      <c r="BF146">
        <f>IF(OR($D146="",AA146="",15&gt;$F146),0,IF(UPPER(TRIM(AA146))=IFERROR(INDEX(Key!$C$2:$C$263,MATCH($D146*100+15,Key!$G$2:$G$263,0)),"#"),1,0))</f>
        <v/>
      </c>
      <c r="BG146">
        <f>IF(OR($D146="",AB146="",16&gt;$F146),0,IF(UPPER(TRIM(AB146))=IFERROR(INDEX(Key!$C$2:$C$263,MATCH($D146*100+16,Key!$G$2:$G$263,0)),"#"),1,0))</f>
        <v/>
      </c>
      <c r="BH146">
        <f>IF(OR($D146="",AC146="",17&gt;$F146),0,IF(UPPER(TRIM(AC146))=IFERROR(INDEX(Key!$C$2:$C$263,MATCH($D146*100+17,Key!$G$2:$G$263,0)),"#"),1,0))</f>
        <v/>
      </c>
      <c r="BI146">
        <f>IF(OR($D146="",AD146="",18&gt;$F146),0,IF(UPPER(TRIM(AD146))=IFERROR(INDEX(Key!$C$2:$C$263,MATCH($D146*100+18,Key!$G$2:$G$263,0)),"#"),1,0))</f>
        <v/>
      </c>
      <c r="BJ146">
        <f>IF(OR($D146="",AE146="",19&gt;$F146),0,IF(UPPER(TRIM(AE146))=IFERROR(INDEX(Key!$C$2:$C$263,MATCH($D146*100+19,Key!$G$2:$G$263,0)),"#"),1,0))</f>
        <v/>
      </c>
      <c r="BK146">
        <f>IF(OR($D146="",AF146="",20&gt;$F146),0,IF(UPPER(TRIM(AF146))=IFERROR(INDEX(Key!$C$2:$C$263,MATCH($D146*100+20,Key!$G$2:$G$263,0)),"#"),1,0))</f>
        <v/>
      </c>
      <c r="BL146">
        <f>IF(OR($D146="",AG146="",21&gt;$F146),0,IF(UPPER(TRIM(AG146))=IFERROR(INDEX(Key!$C$2:$C$263,MATCH($D146*100+21,Key!$G$2:$G$263,0)),"#"),1,0))</f>
        <v/>
      </c>
      <c r="BM146">
        <f>IF(OR($D146="",AH146="",22&gt;$F146),0,IF(UPPER(TRIM(AH146))=IFERROR(INDEX(Key!$C$2:$C$263,MATCH($D146*100+22,Key!$G$2:$G$263,0)),"#"),1,0))</f>
        <v/>
      </c>
      <c r="BN146">
        <f>IF(OR($D146="",AI146="",23&gt;$F146),0,IF(UPPER(TRIM(AI146))=IFERROR(INDEX(Key!$C$2:$C$263,MATCH($D146*100+23,Key!$G$2:$G$263,0)),"#"),1,0))</f>
        <v/>
      </c>
      <c r="BO146">
        <f>IF(OR($D146="",AJ146="",24&gt;$F146),0,IF(UPPER(TRIM(AJ146))=IFERROR(INDEX(Key!$C$2:$C$263,MATCH($D146*100+24,Key!$G$2:$G$263,0)),"#"),1,0))</f>
        <v/>
      </c>
      <c r="BP146">
        <f>IF(OR($D146="",AK146="",25&gt;$F146),0,IF(UPPER(TRIM(AK146))=IFERROR(INDEX(Key!$C$2:$C$263,MATCH($D146*100+25,Key!$G$2:$G$263,0)),"#"),1,0))</f>
        <v/>
      </c>
      <c r="BQ146">
        <f>IF(OR($D146="",AL146="",26&gt;$F146),0,IF(UPPER(TRIM(AL146))=IFERROR(INDEX(Key!$C$2:$C$263,MATCH($D146*100+26,Key!$G$2:$G$263,0)),"#"),1,0))</f>
        <v/>
      </c>
      <c r="BR146">
        <f>IF(OR($D146="",AM146="",27&gt;$F146),0,IF(UPPER(TRIM(AM146))=IFERROR(INDEX(Key!$C$2:$C$263,MATCH($D146*100+27,Key!$G$2:$G$263,0)),"#"),1,0))</f>
        <v/>
      </c>
      <c r="BS146">
        <f>IF(OR($D146="",AN146="",28&gt;$F146),0,IF(UPPER(TRIM(AN146))=IFERROR(INDEX(Key!$C$2:$C$263,MATCH($D146*100+28,Key!$G$2:$G$263,0)),"#"),1,0))</f>
        <v/>
      </c>
      <c r="BT146">
        <f>IF(OR($D146="",AO146="",29&gt;$F146),0,IF(UPPER(TRIM(AO146))=IFERROR(INDEX(Key!$C$2:$C$263,MATCH($D146*100+29,Key!$G$2:$G$263,0)),"#"),1,0))</f>
        <v/>
      </c>
      <c r="BU146">
        <f>IF(OR($D146="",AP146="",30&gt;$F146),0,IF(UPPER(TRIM(AP146))=IFERROR(INDEX(Key!$C$2:$C$263,MATCH($D146*100+30,Key!$G$2:$G$263,0)),"#"),1,0))</f>
        <v/>
      </c>
    </row>
    <row r="147">
      <c r="A147" s="6" t="n"/>
      <c r="B147" s="6" t="n"/>
      <c r="C147" s="6" t="n"/>
      <c r="D147" s="6" t="n"/>
      <c r="E147" s="7">
        <f>IF($D147="","",IFERROR(INDEX(Papers!$B$2:$B$12,MATCH($D147,Papers!$A$2:$A$12,0)),"?"))</f>
        <v/>
      </c>
      <c r="F147" s="7">
        <f>IF($D147="","",IFERROR(INDEX(Papers!$C$2:$C$12,MATCH($D147,Papers!$A$2:$A$12,0)),0))</f>
        <v/>
      </c>
      <c r="G147" s="7">
        <f>IF($D147="","",COUNTIF(M147:AP147,"?*"))</f>
        <v/>
      </c>
      <c r="H147" s="7">
        <f>IF($D147="","",SUM(AR147:BU147))</f>
        <v/>
      </c>
      <c r="I147" s="7">
        <f>IF($D147="","",G147-H147)</f>
        <v/>
      </c>
      <c r="J147" s="7">
        <f>IF($D147="","",F147-G147)</f>
        <v/>
      </c>
      <c r="K147" s="7">
        <f>IF($D147="","",H147)</f>
        <v/>
      </c>
      <c r="L147" s="7">
        <f>IF($D147="","",IF(F147=0,"",ROUND(H147/F147*100,1)))</f>
        <v/>
      </c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R147">
        <f>IF(OR($D147="",M147="",1&gt;$F147),0,IF(UPPER(TRIM(M147))=IFERROR(INDEX(Key!$C$2:$C$263,MATCH($D147*100+1,Key!$G$2:$G$263,0)),"#"),1,0))</f>
        <v/>
      </c>
      <c r="AS147">
        <f>IF(OR($D147="",N147="",2&gt;$F147),0,IF(UPPER(TRIM(N147))=IFERROR(INDEX(Key!$C$2:$C$263,MATCH($D147*100+2,Key!$G$2:$G$263,0)),"#"),1,0))</f>
        <v/>
      </c>
      <c r="AT147">
        <f>IF(OR($D147="",O147="",3&gt;$F147),0,IF(UPPER(TRIM(O147))=IFERROR(INDEX(Key!$C$2:$C$263,MATCH($D147*100+3,Key!$G$2:$G$263,0)),"#"),1,0))</f>
        <v/>
      </c>
      <c r="AU147">
        <f>IF(OR($D147="",P147="",4&gt;$F147),0,IF(UPPER(TRIM(P147))=IFERROR(INDEX(Key!$C$2:$C$263,MATCH($D147*100+4,Key!$G$2:$G$263,0)),"#"),1,0))</f>
        <v/>
      </c>
      <c r="AV147">
        <f>IF(OR($D147="",Q147="",5&gt;$F147),0,IF(UPPER(TRIM(Q147))=IFERROR(INDEX(Key!$C$2:$C$263,MATCH($D147*100+5,Key!$G$2:$G$263,0)),"#"),1,0))</f>
        <v/>
      </c>
      <c r="AW147">
        <f>IF(OR($D147="",R147="",6&gt;$F147),0,IF(UPPER(TRIM(R147))=IFERROR(INDEX(Key!$C$2:$C$263,MATCH($D147*100+6,Key!$G$2:$G$263,0)),"#"),1,0))</f>
        <v/>
      </c>
      <c r="AX147">
        <f>IF(OR($D147="",S147="",7&gt;$F147),0,IF(UPPER(TRIM(S147))=IFERROR(INDEX(Key!$C$2:$C$263,MATCH($D147*100+7,Key!$G$2:$G$263,0)),"#"),1,0))</f>
        <v/>
      </c>
      <c r="AY147">
        <f>IF(OR($D147="",T147="",8&gt;$F147),0,IF(UPPER(TRIM(T147))=IFERROR(INDEX(Key!$C$2:$C$263,MATCH($D147*100+8,Key!$G$2:$G$263,0)),"#"),1,0))</f>
        <v/>
      </c>
      <c r="AZ147">
        <f>IF(OR($D147="",U147="",9&gt;$F147),0,IF(UPPER(TRIM(U147))=IFERROR(INDEX(Key!$C$2:$C$263,MATCH($D147*100+9,Key!$G$2:$G$263,0)),"#"),1,0))</f>
        <v/>
      </c>
      <c r="BA147">
        <f>IF(OR($D147="",V147="",10&gt;$F147),0,IF(UPPER(TRIM(V147))=IFERROR(INDEX(Key!$C$2:$C$263,MATCH($D147*100+10,Key!$G$2:$G$263,0)),"#"),1,0))</f>
        <v/>
      </c>
      <c r="BB147">
        <f>IF(OR($D147="",W147="",11&gt;$F147),0,IF(UPPER(TRIM(W147))=IFERROR(INDEX(Key!$C$2:$C$263,MATCH($D147*100+11,Key!$G$2:$G$263,0)),"#"),1,0))</f>
        <v/>
      </c>
      <c r="BC147">
        <f>IF(OR($D147="",X147="",12&gt;$F147),0,IF(UPPER(TRIM(X147))=IFERROR(INDEX(Key!$C$2:$C$263,MATCH($D147*100+12,Key!$G$2:$G$263,0)),"#"),1,0))</f>
        <v/>
      </c>
      <c r="BD147">
        <f>IF(OR($D147="",Y147="",13&gt;$F147),0,IF(UPPER(TRIM(Y147))=IFERROR(INDEX(Key!$C$2:$C$263,MATCH($D147*100+13,Key!$G$2:$G$263,0)),"#"),1,0))</f>
        <v/>
      </c>
      <c r="BE147">
        <f>IF(OR($D147="",Z147="",14&gt;$F147),0,IF(UPPER(TRIM(Z147))=IFERROR(INDEX(Key!$C$2:$C$263,MATCH($D147*100+14,Key!$G$2:$G$263,0)),"#"),1,0))</f>
        <v/>
      </c>
      <c r="BF147">
        <f>IF(OR($D147="",AA147="",15&gt;$F147),0,IF(UPPER(TRIM(AA147))=IFERROR(INDEX(Key!$C$2:$C$263,MATCH($D147*100+15,Key!$G$2:$G$263,0)),"#"),1,0))</f>
        <v/>
      </c>
      <c r="BG147">
        <f>IF(OR($D147="",AB147="",16&gt;$F147),0,IF(UPPER(TRIM(AB147))=IFERROR(INDEX(Key!$C$2:$C$263,MATCH($D147*100+16,Key!$G$2:$G$263,0)),"#"),1,0))</f>
        <v/>
      </c>
      <c r="BH147">
        <f>IF(OR($D147="",AC147="",17&gt;$F147),0,IF(UPPER(TRIM(AC147))=IFERROR(INDEX(Key!$C$2:$C$263,MATCH($D147*100+17,Key!$G$2:$G$263,0)),"#"),1,0))</f>
        <v/>
      </c>
      <c r="BI147">
        <f>IF(OR($D147="",AD147="",18&gt;$F147),0,IF(UPPER(TRIM(AD147))=IFERROR(INDEX(Key!$C$2:$C$263,MATCH($D147*100+18,Key!$G$2:$G$263,0)),"#"),1,0))</f>
        <v/>
      </c>
      <c r="BJ147">
        <f>IF(OR($D147="",AE147="",19&gt;$F147),0,IF(UPPER(TRIM(AE147))=IFERROR(INDEX(Key!$C$2:$C$263,MATCH($D147*100+19,Key!$G$2:$G$263,0)),"#"),1,0))</f>
        <v/>
      </c>
      <c r="BK147">
        <f>IF(OR($D147="",AF147="",20&gt;$F147),0,IF(UPPER(TRIM(AF147))=IFERROR(INDEX(Key!$C$2:$C$263,MATCH($D147*100+20,Key!$G$2:$G$263,0)),"#"),1,0))</f>
        <v/>
      </c>
      <c r="BL147">
        <f>IF(OR($D147="",AG147="",21&gt;$F147),0,IF(UPPER(TRIM(AG147))=IFERROR(INDEX(Key!$C$2:$C$263,MATCH($D147*100+21,Key!$G$2:$G$263,0)),"#"),1,0))</f>
        <v/>
      </c>
      <c r="BM147">
        <f>IF(OR($D147="",AH147="",22&gt;$F147),0,IF(UPPER(TRIM(AH147))=IFERROR(INDEX(Key!$C$2:$C$263,MATCH($D147*100+22,Key!$G$2:$G$263,0)),"#"),1,0))</f>
        <v/>
      </c>
      <c r="BN147">
        <f>IF(OR($D147="",AI147="",23&gt;$F147),0,IF(UPPER(TRIM(AI147))=IFERROR(INDEX(Key!$C$2:$C$263,MATCH($D147*100+23,Key!$G$2:$G$263,0)),"#"),1,0))</f>
        <v/>
      </c>
      <c r="BO147">
        <f>IF(OR($D147="",AJ147="",24&gt;$F147),0,IF(UPPER(TRIM(AJ147))=IFERROR(INDEX(Key!$C$2:$C$263,MATCH($D147*100+24,Key!$G$2:$G$263,0)),"#"),1,0))</f>
        <v/>
      </c>
      <c r="BP147">
        <f>IF(OR($D147="",AK147="",25&gt;$F147),0,IF(UPPER(TRIM(AK147))=IFERROR(INDEX(Key!$C$2:$C$263,MATCH($D147*100+25,Key!$G$2:$G$263,0)),"#"),1,0))</f>
        <v/>
      </c>
      <c r="BQ147">
        <f>IF(OR($D147="",AL147="",26&gt;$F147),0,IF(UPPER(TRIM(AL147))=IFERROR(INDEX(Key!$C$2:$C$263,MATCH($D147*100+26,Key!$G$2:$G$263,0)),"#"),1,0))</f>
        <v/>
      </c>
      <c r="BR147">
        <f>IF(OR($D147="",AM147="",27&gt;$F147),0,IF(UPPER(TRIM(AM147))=IFERROR(INDEX(Key!$C$2:$C$263,MATCH($D147*100+27,Key!$G$2:$G$263,0)),"#"),1,0))</f>
        <v/>
      </c>
      <c r="BS147">
        <f>IF(OR($D147="",AN147="",28&gt;$F147),0,IF(UPPER(TRIM(AN147))=IFERROR(INDEX(Key!$C$2:$C$263,MATCH($D147*100+28,Key!$G$2:$G$263,0)),"#"),1,0))</f>
        <v/>
      </c>
      <c r="BT147">
        <f>IF(OR($D147="",AO147="",29&gt;$F147),0,IF(UPPER(TRIM(AO147))=IFERROR(INDEX(Key!$C$2:$C$263,MATCH($D147*100+29,Key!$G$2:$G$263,0)),"#"),1,0))</f>
        <v/>
      </c>
      <c r="BU147">
        <f>IF(OR($D147="",AP147="",30&gt;$F147),0,IF(UPPER(TRIM(AP147))=IFERROR(INDEX(Key!$C$2:$C$263,MATCH($D147*100+30,Key!$G$2:$G$263,0)),"#"),1,0))</f>
        <v/>
      </c>
    </row>
    <row r="148">
      <c r="A148" s="6" t="n"/>
      <c r="B148" s="6" t="n"/>
      <c r="C148" s="6" t="n"/>
      <c r="D148" s="6" t="n"/>
      <c r="E148" s="7">
        <f>IF($D148="","",IFERROR(INDEX(Papers!$B$2:$B$12,MATCH($D148,Papers!$A$2:$A$12,0)),"?"))</f>
        <v/>
      </c>
      <c r="F148" s="7">
        <f>IF($D148="","",IFERROR(INDEX(Papers!$C$2:$C$12,MATCH($D148,Papers!$A$2:$A$12,0)),0))</f>
        <v/>
      </c>
      <c r="G148" s="7">
        <f>IF($D148="","",COUNTIF(M148:AP148,"?*"))</f>
        <v/>
      </c>
      <c r="H148" s="7">
        <f>IF($D148="","",SUM(AR148:BU148))</f>
        <v/>
      </c>
      <c r="I148" s="7">
        <f>IF($D148="","",G148-H148)</f>
        <v/>
      </c>
      <c r="J148" s="7">
        <f>IF($D148="","",F148-G148)</f>
        <v/>
      </c>
      <c r="K148" s="7">
        <f>IF($D148="","",H148)</f>
        <v/>
      </c>
      <c r="L148" s="7">
        <f>IF($D148="","",IF(F148=0,"",ROUND(H148/F148*100,1)))</f>
        <v/>
      </c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R148">
        <f>IF(OR($D148="",M148="",1&gt;$F148),0,IF(UPPER(TRIM(M148))=IFERROR(INDEX(Key!$C$2:$C$263,MATCH($D148*100+1,Key!$G$2:$G$263,0)),"#"),1,0))</f>
        <v/>
      </c>
      <c r="AS148">
        <f>IF(OR($D148="",N148="",2&gt;$F148),0,IF(UPPER(TRIM(N148))=IFERROR(INDEX(Key!$C$2:$C$263,MATCH($D148*100+2,Key!$G$2:$G$263,0)),"#"),1,0))</f>
        <v/>
      </c>
      <c r="AT148">
        <f>IF(OR($D148="",O148="",3&gt;$F148),0,IF(UPPER(TRIM(O148))=IFERROR(INDEX(Key!$C$2:$C$263,MATCH($D148*100+3,Key!$G$2:$G$263,0)),"#"),1,0))</f>
        <v/>
      </c>
      <c r="AU148">
        <f>IF(OR($D148="",P148="",4&gt;$F148),0,IF(UPPER(TRIM(P148))=IFERROR(INDEX(Key!$C$2:$C$263,MATCH($D148*100+4,Key!$G$2:$G$263,0)),"#"),1,0))</f>
        <v/>
      </c>
      <c r="AV148">
        <f>IF(OR($D148="",Q148="",5&gt;$F148),0,IF(UPPER(TRIM(Q148))=IFERROR(INDEX(Key!$C$2:$C$263,MATCH($D148*100+5,Key!$G$2:$G$263,0)),"#"),1,0))</f>
        <v/>
      </c>
      <c r="AW148">
        <f>IF(OR($D148="",R148="",6&gt;$F148),0,IF(UPPER(TRIM(R148))=IFERROR(INDEX(Key!$C$2:$C$263,MATCH($D148*100+6,Key!$G$2:$G$263,0)),"#"),1,0))</f>
        <v/>
      </c>
      <c r="AX148">
        <f>IF(OR($D148="",S148="",7&gt;$F148),0,IF(UPPER(TRIM(S148))=IFERROR(INDEX(Key!$C$2:$C$263,MATCH($D148*100+7,Key!$G$2:$G$263,0)),"#"),1,0))</f>
        <v/>
      </c>
      <c r="AY148">
        <f>IF(OR($D148="",T148="",8&gt;$F148),0,IF(UPPER(TRIM(T148))=IFERROR(INDEX(Key!$C$2:$C$263,MATCH($D148*100+8,Key!$G$2:$G$263,0)),"#"),1,0))</f>
        <v/>
      </c>
      <c r="AZ148">
        <f>IF(OR($D148="",U148="",9&gt;$F148),0,IF(UPPER(TRIM(U148))=IFERROR(INDEX(Key!$C$2:$C$263,MATCH($D148*100+9,Key!$G$2:$G$263,0)),"#"),1,0))</f>
        <v/>
      </c>
      <c r="BA148">
        <f>IF(OR($D148="",V148="",10&gt;$F148),0,IF(UPPER(TRIM(V148))=IFERROR(INDEX(Key!$C$2:$C$263,MATCH($D148*100+10,Key!$G$2:$G$263,0)),"#"),1,0))</f>
        <v/>
      </c>
      <c r="BB148">
        <f>IF(OR($D148="",W148="",11&gt;$F148),0,IF(UPPER(TRIM(W148))=IFERROR(INDEX(Key!$C$2:$C$263,MATCH($D148*100+11,Key!$G$2:$G$263,0)),"#"),1,0))</f>
        <v/>
      </c>
      <c r="BC148">
        <f>IF(OR($D148="",X148="",12&gt;$F148),0,IF(UPPER(TRIM(X148))=IFERROR(INDEX(Key!$C$2:$C$263,MATCH($D148*100+12,Key!$G$2:$G$263,0)),"#"),1,0))</f>
        <v/>
      </c>
      <c r="BD148">
        <f>IF(OR($D148="",Y148="",13&gt;$F148),0,IF(UPPER(TRIM(Y148))=IFERROR(INDEX(Key!$C$2:$C$263,MATCH($D148*100+13,Key!$G$2:$G$263,0)),"#"),1,0))</f>
        <v/>
      </c>
      <c r="BE148">
        <f>IF(OR($D148="",Z148="",14&gt;$F148),0,IF(UPPER(TRIM(Z148))=IFERROR(INDEX(Key!$C$2:$C$263,MATCH($D148*100+14,Key!$G$2:$G$263,0)),"#"),1,0))</f>
        <v/>
      </c>
      <c r="BF148">
        <f>IF(OR($D148="",AA148="",15&gt;$F148),0,IF(UPPER(TRIM(AA148))=IFERROR(INDEX(Key!$C$2:$C$263,MATCH($D148*100+15,Key!$G$2:$G$263,0)),"#"),1,0))</f>
        <v/>
      </c>
      <c r="BG148">
        <f>IF(OR($D148="",AB148="",16&gt;$F148),0,IF(UPPER(TRIM(AB148))=IFERROR(INDEX(Key!$C$2:$C$263,MATCH($D148*100+16,Key!$G$2:$G$263,0)),"#"),1,0))</f>
        <v/>
      </c>
      <c r="BH148">
        <f>IF(OR($D148="",AC148="",17&gt;$F148),0,IF(UPPER(TRIM(AC148))=IFERROR(INDEX(Key!$C$2:$C$263,MATCH($D148*100+17,Key!$G$2:$G$263,0)),"#"),1,0))</f>
        <v/>
      </c>
      <c r="BI148">
        <f>IF(OR($D148="",AD148="",18&gt;$F148),0,IF(UPPER(TRIM(AD148))=IFERROR(INDEX(Key!$C$2:$C$263,MATCH($D148*100+18,Key!$G$2:$G$263,0)),"#"),1,0))</f>
        <v/>
      </c>
      <c r="BJ148">
        <f>IF(OR($D148="",AE148="",19&gt;$F148),0,IF(UPPER(TRIM(AE148))=IFERROR(INDEX(Key!$C$2:$C$263,MATCH($D148*100+19,Key!$G$2:$G$263,0)),"#"),1,0))</f>
        <v/>
      </c>
      <c r="BK148">
        <f>IF(OR($D148="",AF148="",20&gt;$F148),0,IF(UPPER(TRIM(AF148))=IFERROR(INDEX(Key!$C$2:$C$263,MATCH($D148*100+20,Key!$G$2:$G$263,0)),"#"),1,0))</f>
        <v/>
      </c>
      <c r="BL148">
        <f>IF(OR($D148="",AG148="",21&gt;$F148),0,IF(UPPER(TRIM(AG148))=IFERROR(INDEX(Key!$C$2:$C$263,MATCH($D148*100+21,Key!$G$2:$G$263,0)),"#"),1,0))</f>
        <v/>
      </c>
      <c r="BM148">
        <f>IF(OR($D148="",AH148="",22&gt;$F148),0,IF(UPPER(TRIM(AH148))=IFERROR(INDEX(Key!$C$2:$C$263,MATCH($D148*100+22,Key!$G$2:$G$263,0)),"#"),1,0))</f>
        <v/>
      </c>
      <c r="BN148">
        <f>IF(OR($D148="",AI148="",23&gt;$F148),0,IF(UPPER(TRIM(AI148))=IFERROR(INDEX(Key!$C$2:$C$263,MATCH($D148*100+23,Key!$G$2:$G$263,0)),"#"),1,0))</f>
        <v/>
      </c>
      <c r="BO148">
        <f>IF(OR($D148="",AJ148="",24&gt;$F148),0,IF(UPPER(TRIM(AJ148))=IFERROR(INDEX(Key!$C$2:$C$263,MATCH($D148*100+24,Key!$G$2:$G$263,0)),"#"),1,0))</f>
        <v/>
      </c>
      <c r="BP148">
        <f>IF(OR($D148="",AK148="",25&gt;$F148),0,IF(UPPER(TRIM(AK148))=IFERROR(INDEX(Key!$C$2:$C$263,MATCH($D148*100+25,Key!$G$2:$G$263,0)),"#"),1,0))</f>
        <v/>
      </c>
      <c r="BQ148">
        <f>IF(OR($D148="",AL148="",26&gt;$F148),0,IF(UPPER(TRIM(AL148))=IFERROR(INDEX(Key!$C$2:$C$263,MATCH($D148*100+26,Key!$G$2:$G$263,0)),"#"),1,0))</f>
        <v/>
      </c>
      <c r="BR148">
        <f>IF(OR($D148="",AM148="",27&gt;$F148),0,IF(UPPER(TRIM(AM148))=IFERROR(INDEX(Key!$C$2:$C$263,MATCH($D148*100+27,Key!$G$2:$G$263,0)),"#"),1,0))</f>
        <v/>
      </c>
      <c r="BS148">
        <f>IF(OR($D148="",AN148="",28&gt;$F148),0,IF(UPPER(TRIM(AN148))=IFERROR(INDEX(Key!$C$2:$C$263,MATCH($D148*100+28,Key!$G$2:$G$263,0)),"#"),1,0))</f>
        <v/>
      </c>
      <c r="BT148">
        <f>IF(OR($D148="",AO148="",29&gt;$F148),0,IF(UPPER(TRIM(AO148))=IFERROR(INDEX(Key!$C$2:$C$263,MATCH($D148*100+29,Key!$G$2:$G$263,0)),"#"),1,0))</f>
        <v/>
      </c>
      <c r="BU148">
        <f>IF(OR($D148="",AP148="",30&gt;$F148),0,IF(UPPER(TRIM(AP148))=IFERROR(INDEX(Key!$C$2:$C$263,MATCH($D148*100+30,Key!$G$2:$G$263,0)),"#"),1,0))</f>
        <v/>
      </c>
    </row>
    <row r="149">
      <c r="A149" s="6" t="n"/>
      <c r="B149" s="6" t="n"/>
      <c r="C149" s="6" t="n"/>
      <c r="D149" s="6" t="n"/>
      <c r="E149" s="7">
        <f>IF($D149="","",IFERROR(INDEX(Papers!$B$2:$B$12,MATCH($D149,Papers!$A$2:$A$12,0)),"?"))</f>
        <v/>
      </c>
      <c r="F149" s="7">
        <f>IF($D149="","",IFERROR(INDEX(Papers!$C$2:$C$12,MATCH($D149,Papers!$A$2:$A$12,0)),0))</f>
        <v/>
      </c>
      <c r="G149" s="7">
        <f>IF($D149="","",COUNTIF(M149:AP149,"?*"))</f>
        <v/>
      </c>
      <c r="H149" s="7">
        <f>IF($D149="","",SUM(AR149:BU149))</f>
        <v/>
      </c>
      <c r="I149" s="7">
        <f>IF($D149="","",G149-H149)</f>
        <v/>
      </c>
      <c r="J149" s="7">
        <f>IF($D149="","",F149-G149)</f>
        <v/>
      </c>
      <c r="K149" s="7">
        <f>IF($D149="","",H149)</f>
        <v/>
      </c>
      <c r="L149" s="7">
        <f>IF($D149="","",IF(F149=0,"",ROUND(H149/F149*100,1)))</f>
        <v/>
      </c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R149">
        <f>IF(OR($D149="",M149="",1&gt;$F149),0,IF(UPPER(TRIM(M149))=IFERROR(INDEX(Key!$C$2:$C$263,MATCH($D149*100+1,Key!$G$2:$G$263,0)),"#"),1,0))</f>
        <v/>
      </c>
      <c r="AS149">
        <f>IF(OR($D149="",N149="",2&gt;$F149),0,IF(UPPER(TRIM(N149))=IFERROR(INDEX(Key!$C$2:$C$263,MATCH($D149*100+2,Key!$G$2:$G$263,0)),"#"),1,0))</f>
        <v/>
      </c>
      <c r="AT149">
        <f>IF(OR($D149="",O149="",3&gt;$F149),0,IF(UPPER(TRIM(O149))=IFERROR(INDEX(Key!$C$2:$C$263,MATCH($D149*100+3,Key!$G$2:$G$263,0)),"#"),1,0))</f>
        <v/>
      </c>
      <c r="AU149">
        <f>IF(OR($D149="",P149="",4&gt;$F149),0,IF(UPPER(TRIM(P149))=IFERROR(INDEX(Key!$C$2:$C$263,MATCH($D149*100+4,Key!$G$2:$G$263,0)),"#"),1,0))</f>
        <v/>
      </c>
      <c r="AV149">
        <f>IF(OR($D149="",Q149="",5&gt;$F149),0,IF(UPPER(TRIM(Q149))=IFERROR(INDEX(Key!$C$2:$C$263,MATCH($D149*100+5,Key!$G$2:$G$263,0)),"#"),1,0))</f>
        <v/>
      </c>
      <c r="AW149">
        <f>IF(OR($D149="",R149="",6&gt;$F149),0,IF(UPPER(TRIM(R149))=IFERROR(INDEX(Key!$C$2:$C$263,MATCH($D149*100+6,Key!$G$2:$G$263,0)),"#"),1,0))</f>
        <v/>
      </c>
      <c r="AX149">
        <f>IF(OR($D149="",S149="",7&gt;$F149),0,IF(UPPER(TRIM(S149))=IFERROR(INDEX(Key!$C$2:$C$263,MATCH($D149*100+7,Key!$G$2:$G$263,0)),"#"),1,0))</f>
        <v/>
      </c>
      <c r="AY149">
        <f>IF(OR($D149="",T149="",8&gt;$F149),0,IF(UPPER(TRIM(T149))=IFERROR(INDEX(Key!$C$2:$C$263,MATCH($D149*100+8,Key!$G$2:$G$263,0)),"#"),1,0))</f>
        <v/>
      </c>
      <c r="AZ149">
        <f>IF(OR($D149="",U149="",9&gt;$F149),0,IF(UPPER(TRIM(U149))=IFERROR(INDEX(Key!$C$2:$C$263,MATCH($D149*100+9,Key!$G$2:$G$263,0)),"#"),1,0))</f>
        <v/>
      </c>
      <c r="BA149">
        <f>IF(OR($D149="",V149="",10&gt;$F149),0,IF(UPPER(TRIM(V149))=IFERROR(INDEX(Key!$C$2:$C$263,MATCH($D149*100+10,Key!$G$2:$G$263,0)),"#"),1,0))</f>
        <v/>
      </c>
      <c r="BB149">
        <f>IF(OR($D149="",W149="",11&gt;$F149),0,IF(UPPER(TRIM(W149))=IFERROR(INDEX(Key!$C$2:$C$263,MATCH($D149*100+11,Key!$G$2:$G$263,0)),"#"),1,0))</f>
        <v/>
      </c>
      <c r="BC149">
        <f>IF(OR($D149="",X149="",12&gt;$F149),0,IF(UPPER(TRIM(X149))=IFERROR(INDEX(Key!$C$2:$C$263,MATCH($D149*100+12,Key!$G$2:$G$263,0)),"#"),1,0))</f>
        <v/>
      </c>
      <c r="BD149">
        <f>IF(OR($D149="",Y149="",13&gt;$F149),0,IF(UPPER(TRIM(Y149))=IFERROR(INDEX(Key!$C$2:$C$263,MATCH($D149*100+13,Key!$G$2:$G$263,0)),"#"),1,0))</f>
        <v/>
      </c>
      <c r="BE149">
        <f>IF(OR($D149="",Z149="",14&gt;$F149),0,IF(UPPER(TRIM(Z149))=IFERROR(INDEX(Key!$C$2:$C$263,MATCH($D149*100+14,Key!$G$2:$G$263,0)),"#"),1,0))</f>
        <v/>
      </c>
      <c r="BF149">
        <f>IF(OR($D149="",AA149="",15&gt;$F149),0,IF(UPPER(TRIM(AA149))=IFERROR(INDEX(Key!$C$2:$C$263,MATCH($D149*100+15,Key!$G$2:$G$263,0)),"#"),1,0))</f>
        <v/>
      </c>
      <c r="BG149">
        <f>IF(OR($D149="",AB149="",16&gt;$F149),0,IF(UPPER(TRIM(AB149))=IFERROR(INDEX(Key!$C$2:$C$263,MATCH($D149*100+16,Key!$G$2:$G$263,0)),"#"),1,0))</f>
        <v/>
      </c>
      <c r="BH149">
        <f>IF(OR($D149="",AC149="",17&gt;$F149),0,IF(UPPER(TRIM(AC149))=IFERROR(INDEX(Key!$C$2:$C$263,MATCH($D149*100+17,Key!$G$2:$G$263,0)),"#"),1,0))</f>
        <v/>
      </c>
      <c r="BI149">
        <f>IF(OR($D149="",AD149="",18&gt;$F149),0,IF(UPPER(TRIM(AD149))=IFERROR(INDEX(Key!$C$2:$C$263,MATCH($D149*100+18,Key!$G$2:$G$263,0)),"#"),1,0))</f>
        <v/>
      </c>
      <c r="BJ149">
        <f>IF(OR($D149="",AE149="",19&gt;$F149),0,IF(UPPER(TRIM(AE149))=IFERROR(INDEX(Key!$C$2:$C$263,MATCH($D149*100+19,Key!$G$2:$G$263,0)),"#"),1,0))</f>
        <v/>
      </c>
      <c r="BK149">
        <f>IF(OR($D149="",AF149="",20&gt;$F149),0,IF(UPPER(TRIM(AF149))=IFERROR(INDEX(Key!$C$2:$C$263,MATCH($D149*100+20,Key!$G$2:$G$263,0)),"#"),1,0))</f>
        <v/>
      </c>
      <c r="BL149">
        <f>IF(OR($D149="",AG149="",21&gt;$F149),0,IF(UPPER(TRIM(AG149))=IFERROR(INDEX(Key!$C$2:$C$263,MATCH($D149*100+21,Key!$G$2:$G$263,0)),"#"),1,0))</f>
        <v/>
      </c>
      <c r="BM149">
        <f>IF(OR($D149="",AH149="",22&gt;$F149),0,IF(UPPER(TRIM(AH149))=IFERROR(INDEX(Key!$C$2:$C$263,MATCH($D149*100+22,Key!$G$2:$G$263,0)),"#"),1,0))</f>
        <v/>
      </c>
      <c r="BN149">
        <f>IF(OR($D149="",AI149="",23&gt;$F149),0,IF(UPPER(TRIM(AI149))=IFERROR(INDEX(Key!$C$2:$C$263,MATCH($D149*100+23,Key!$G$2:$G$263,0)),"#"),1,0))</f>
        <v/>
      </c>
      <c r="BO149">
        <f>IF(OR($D149="",AJ149="",24&gt;$F149),0,IF(UPPER(TRIM(AJ149))=IFERROR(INDEX(Key!$C$2:$C$263,MATCH($D149*100+24,Key!$G$2:$G$263,0)),"#"),1,0))</f>
        <v/>
      </c>
      <c r="BP149">
        <f>IF(OR($D149="",AK149="",25&gt;$F149),0,IF(UPPER(TRIM(AK149))=IFERROR(INDEX(Key!$C$2:$C$263,MATCH($D149*100+25,Key!$G$2:$G$263,0)),"#"),1,0))</f>
        <v/>
      </c>
      <c r="BQ149">
        <f>IF(OR($D149="",AL149="",26&gt;$F149),0,IF(UPPER(TRIM(AL149))=IFERROR(INDEX(Key!$C$2:$C$263,MATCH($D149*100+26,Key!$G$2:$G$263,0)),"#"),1,0))</f>
        <v/>
      </c>
      <c r="BR149">
        <f>IF(OR($D149="",AM149="",27&gt;$F149),0,IF(UPPER(TRIM(AM149))=IFERROR(INDEX(Key!$C$2:$C$263,MATCH($D149*100+27,Key!$G$2:$G$263,0)),"#"),1,0))</f>
        <v/>
      </c>
      <c r="BS149">
        <f>IF(OR($D149="",AN149="",28&gt;$F149),0,IF(UPPER(TRIM(AN149))=IFERROR(INDEX(Key!$C$2:$C$263,MATCH($D149*100+28,Key!$G$2:$G$263,0)),"#"),1,0))</f>
        <v/>
      </c>
      <c r="BT149">
        <f>IF(OR($D149="",AO149="",29&gt;$F149),0,IF(UPPER(TRIM(AO149))=IFERROR(INDEX(Key!$C$2:$C$263,MATCH($D149*100+29,Key!$G$2:$G$263,0)),"#"),1,0))</f>
        <v/>
      </c>
      <c r="BU149">
        <f>IF(OR($D149="",AP149="",30&gt;$F149),0,IF(UPPER(TRIM(AP149))=IFERROR(INDEX(Key!$C$2:$C$263,MATCH($D149*100+30,Key!$G$2:$G$263,0)),"#"),1,0))</f>
        <v/>
      </c>
    </row>
    <row r="150">
      <c r="A150" s="6" t="n"/>
      <c r="B150" s="6" t="n"/>
      <c r="C150" s="6" t="n"/>
      <c r="D150" s="6" t="n"/>
      <c r="E150" s="7">
        <f>IF($D150="","",IFERROR(INDEX(Papers!$B$2:$B$12,MATCH($D150,Papers!$A$2:$A$12,0)),"?"))</f>
        <v/>
      </c>
      <c r="F150" s="7">
        <f>IF($D150="","",IFERROR(INDEX(Papers!$C$2:$C$12,MATCH($D150,Papers!$A$2:$A$12,0)),0))</f>
        <v/>
      </c>
      <c r="G150" s="7">
        <f>IF($D150="","",COUNTIF(M150:AP150,"?*"))</f>
        <v/>
      </c>
      <c r="H150" s="7">
        <f>IF($D150="","",SUM(AR150:BU150))</f>
        <v/>
      </c>
      <c r="I150" s="7">
        <f>IF($D150="","",G150-H150)</f>
        <v/>
      </c>
      <c r="J150" s="7">
        <f>IF($D150="","",F150-G150)</f>
        <v/>
      </c>
      <c r="K150" s="7">
        <f>IF($D150="","",H150)</f>
        <v/>
      </c>
      <c r="L150" s="7">
        <f>IF($D150="","",IF(F150=0,"",ROUND(H150/F150*100,1)))</f>
        <v/>
      </c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R150">
        <f>IF(OR($D150="",M150="",1&gt;$F150),0,IF(UPPER(TRIM(M150))=IFERROR(INDEX(Key!$C$2:$C$263,MATCH($D150*100+1,Key!$G$2:$G$263,0)),"#"),1,0))</f>
        <v/>
      </c>
      <c r="AS150">
        <f>IF(OR($D150="",N150="",2&gt;$F150),0,IF(UPPER(TRIM(N150))=IFERROR(INDEX(Key!$C$2:$C$263,MATCH($D150*100+2,Key!$G$2:$G$263,0)),"#"),1,0))</f>
        <v/>
      </c>
      <c r="AT150">
        <f>IF(OR($D150="",O150="",3&gt;$F150),0,IF(UPPER(TRIM(O150))=IFERROR(INDEX(Key!$C$2:$C$263,MATCH($D150*100+3,Key!$G$2:$G$263,0)),"#"),1,0))</f>
        <v/>
      </c>
      <c r="AU150">
        <f>IF(OR($D150="",P150="",4&gt;$F150),0,IF(UPPER(TRIM(P150))=IFERROR(INDEX(Key!$C$2:$C$263,MATCH($D150*100+4,Key!$G$2:$G$263,0)),"#"),1,0))</f>
        <v/>
      </c>
      <c r="AV150">
        <f>IF(OR($D150="",Q150="",5&gt;$F150),0,IF(UPPER(TRIM(Q150))=IFERROR(INDEX(Key!$C$2:$C$263,MATCH($D150*100+5,Key!$G$2:$G$263,0)),"#"),1,0))</f>
        <v/>
      </c>
      <c r="AW150">
        <f>IF(OR($D150="",R150="",6&gt;$F150),0,IF(UPPER(TRIM(R150))=IFERROR(INDEX(Key!$C$2:$C$263,MATCH($D150*100+6,Key!$G$2:$G$263,0)),"#"),1,0))</f>
        <v/>
      </c>
      <c r="AX150">
        <f>IF(OR($D150="",S150="",7&gt;$F150),0,IF(UPPER(TRIM(S150))=IFERROR(INDEX(Key!$C$2:$C$263,MATCH($D150*100+7,Key!$G$2:$G$263,0)),"#"),1,0))</f>
        <v/>
      </c>
      <c r="AY150">
        <f>IF(OR($D150="",T150="",8&gt;$F150),0,IF(UPPER(TRIM(T150))=IFERROR(INDEX(Key!$C$2:$C$263,MATCH($D150*100+8,Key!$G$2:$G$263,0)),"#"),1,0))</f>
        <v/>
      </c>
      <c r="AZ150">
        <f>IF(OR($D150="",U150="",9&gt;$F150),0,IF(UPPER(TRIM(U150))=IFERROR(INDEX(Key!$C$2:$C$263,MATCH($D150*100+9,Key!$G$2:$G$263,0)),"#"),1,0))</f>
        <v/>
      </c>
      <c r="BA150">
        <f>IF(OR($D150="",V150="",10&gt;$F150),0,IF(UPPER(TRIM(V150))=IFERROR(INDEX(Key!$C$2:$C$263,MATCH($D150*100+10,Key!$G$2:$G$263,0)),"#"),1,0))</f>
        <v/>
      </c>
      <c r="BB150">
        <f>IF(OR($D150="",W150="",11&gt;$F150),0,IF(UPPER(TRIM(W150))=IFERROR(INDEX(Key!$C$2:$C$263,MATCH($D150*100+11,Key!$G$2:$G$263,0)),"#"),1,0))</f>
        <v/>
      </c>
      <c r="BC150">
        <f>IF(OR($D150="",X150="",12&gt;$F150),0,IF(UPPER(TRIM(X150))=IFERROR(INDEX(Key!$C$2:$C$263,MATCH($D150*100+12,Key!$G$2:$G$263,0)),"#"),1,0))</f>
        <v/>
      </c>
      <c r="BD150">
        <f>IF(OR($D150="",Y150="",13&gt;$F150),0,IF(UPPER(TRIM(Y150))=IFERROR(INDEX(Key!$C$2:$C$263,MATCH($D150*100+13,Key!$G$2:$G$263,0)),"#"),1,0))</f>
        <v/>
      </c>
      <c r="BE150">
        <f>IF(OR($D150="",Z150="",14&gt;$F150),0,IF(UPPER(TRIM(Z150))=IFERROR(INDEX(Key!$C$2:$C$263,MATCH($D150*100+14,Key!$G$2:$G$263,0)),"#"),1,0))</f>
        <v/>
      </c>
      <c r="BF150">
        <f>IF(OR($D150="",AA150="",15&gt;$F150),0,IF(UPPER(TRIM(AA150))=IFERROR(INDEX(Key!$C$2:$C$263,MATCH($D150*100+15,Key!$G$2:$G$263,0)),"#"),1,0))</f>
        <v/>
      </c>
      <c r="BG150">
        <f>IF(OR($D150="",AB150="",16&gt;$F150),0,IF(UPPER(TRIM(AB150))=IFERROR(INDEX(Key!$C$2:$C$263,MATCH($D150*100+16,Key!$G$2:$G$263,0)),"#"),1,0))</f>
        <v/>
      </c>
      <c r="BH150">
        <f>IF(OR($D150="",AC150="",17&gt;$F150),0,IF(UPPER(TRIM(AC150))=IFERROR(INDEX(Key!$C$2:$C$263,MATCH($D150*100+17,Key!$G$2:$G$263,0)),"#"),1,0))</f>
        <v/>
      </c>
      <c r="BI150">
        <f>IF(OR($D150="",AD150="",18&gt;$F150),0,IF(UPPER(TRIM(AD150))=IFERROR(INDEX(Key!$C$2:$C$263,MATCH($D150*100+18,Key!$G$2:$G$263,0)),"#"),1,0))</f>
        <v/>
      </c>
      <c r="BJ150">
        <f>IF(OR($D150="",AE150="",19&gt;$F150),0,IF(UPPER(TRIM(AE150))=IFERROR(INDEX(Key!$C$2:$C$263,MATCH($D150*100+19,Key!$G$2:$G$263,0)),"#"),1,0))</f>
        <v/>
      </c>
      <c r="BK150">
        <f>IF(OR($D150="",AF150="",20&gt;$F150),0,IF(UPPER(TRIM(AF150))=IFERROR(INDEX(Key!$C$2:$C$263,MATCH($D150*100+20,Key!$G$2:$G$263,0)),"#"),1,0))</f>
        <v/>
      </c>
      <c r="BL150">
        <f>IF(OR($D150="",AG150="",21&gt;$F150),0,IF(UPPER(TRIM(AG150))=IFERROR(INDEX(Key!$C$2:$C$263,MATCH($D150*100+21,Key!$G$2:$G$263,0)),"#"),1,0))</f>
        <v/>
      </c>
      <c r="BM150">
        <f>IF(OR($D150="",AH150="",22&gt;$F150),0,IF(UPPER(TRIM(AH150))=IFERROR(INDEX(Key!$C$2:$C$263,MATCH($D150*100+22,Key!$G$2:$G$263,0)),"#"),1,0))</f>
        <v/>
      </c>
      <c r="BN150">
        <f>IF(OR($D150="",AI150="",23&gt;$F150),0,IF(UPPER(TRIM(AI150))=IFERROR(INDEX(Key!$C$2:$C$263,MATCH($D150*100+23,Key!$G$2:$G$263,0)),"#"),1,0))</f>
        <v/>
      </c>
      <c r="BO150">
        <f>IF(OR($D150="",AJ150="",24&gt;$F150),0,IF(UPPER(TRIM(AJ150))=IFERROR(INDEX(Key!$C$2:$C$263,MATCH($D150*100+24,Key!$G$2:$G$263,0)),"#"),1,0))</f>
        <v/>
      </c>
      <c r="BP150">
        <f>IF(OR($D150="",AK150="",25&gt;$F150),0,IF(UPPER(TRIM(AK150))=IFERROR(INDEX(Key!$C$2:$C$263,MATCH($D150*100+25,Key!$G$2:$G$263,0)),"#"),1,0))</f>
        <v/>
      </c>
      <c r="BQ150">
        <f>IF(OR($D150="",AL150="",26&gt;$F150),0,IF(UPPER(TRIM(AL150))=IFERROR(INDEX(Key!$C$2:$C$263,MATCH($D150*100+26,Key!$G$2:$G$263,0)),"#"),1,0))</f>
        <v/>
      </c>
      <c r="BR150">
        <f>IF(OR($D150="",AM150="",27&gt;$F150),0,IF(UPPER(TRIM(AM150))=IFERROR(INDEX(Key!$C$2:$C$263,MATCH($D150*100+27,Key!$G$2:$G$263,0)),"#"),1,0))</f>
        <v/>
      </c>
      <c r="BS150">
        <f>IF(OR($D150="",AN150="",28&gt;$F150),0,IF(UPPER(TRIM(AN150))=IFERROR(INDEX(Key!$C$2:$C$263,MATCH($D150*100+28,Key!$G$2:$G$263,0)),"#"),1,0))</f>
        <v/>
      </c>
      <c r="BT150">
        <f>IF(OR($D150="",AO150="",29&gt;$F150),0,IF(UPPER(TRIM(AO150))=IFERROR(INDEX(Key!$C$2:$C$263,MATCH($D150*100+29,Key!$G$2:$G$263,0)),"#"),1,0))</f>
        <v/>
      </c>
      <c r="BU150">
        <f>IF(OR($D150="",AP150="",30&gt;$F150),0,IF(UPPER(TRIM(AP150))=IFERROR(INDEX(Key!$C$2:$C$263,MATCH($D150*100+30,Key!$G$2:$G$263,0)),"#"),1,0))</f>
        <v/>
      </c>
    </row>
    <row r="151">
      <c r="A151" s="6" t="n"/>
      <c r="B151" s="6" t="n"/>
      <c r="C151" s="6" t="n"/>
      <c r="D151" s="6" t="n"/>
      <c r="E151" s="7">
        <f>IF($D151="","",IFERROR(INDEX(Papers!$B$2:$B$12,MATCH($D151,Papers!$A$2:$A$12,0)),"?"))</f>
        <v/>
      </c>
      <c r="F151" s="7">
        <f>IF($D151="","",IFERROR(INDEX(Papers!$C$2:$C$12,MATCH($D151,Papers!$A$2:$A$12,0)),0))</f>
        <v/>
      </c>
      <c r="G151" s="7">
        <f>IF($D151="","",COUNTIF(M151:AP151,"?*"))</f>
        <v/>
      </c>
      <c r="H151" s="7">
        <f>IF($D151="","",SUM(AR151:BU151))</f>
        <v/>
      </c>
      <c r="I151" s="7">
        <f>IF($D151="","",G151-H151)</f>
        <v/>
      </c>
      <c r="J151" s="7">
        <f>IF($D151="","",F151-G151)</f>
        <v/>
      </c>
      <c r="K151" s="7">
        <f>IF($D151="","",H151)</f>
        <v/>
      </c>
      <c r="L151" s="7">
        <f>IF($D151="","",IF(F151=0,"",ROUND(H151/F151*100,1)))</f>
        <v/>
      </c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R151">
        <f>IF(OR($D151="",M151="",1&gt;$F151),0,IF(UPPER(TRIM(M151))=IFERROR(INDEX(Key!$C$2:$C$263,MATCH($D151*100+1,Key!$G$2:$G$263,0)),"#"),1,0))</f>
        <v/>
      </c>
      <c r="AS151">
        <f>IF(OR($D151="",N151="",2&gt;$F151),0,IF(UPPER(TRIM(N151))=IFERROR(INDEX(Key!$C$2:$C$263,MATCH($D151*100+2,Key!$G$2:$G$263,0)),"#"),1,0))</f>
        <v/>
      </c>
      <c r="AT151">
        <f>IF(OR($D151="",O151="",3&gt;$F151),0,IF(UPPER(TRIM(O151))=IFERROR(INDEX(Key!$C$2:$C$263,MATCH($D151*100+3,Key!$G$2:$G$263,0)),"#"),1,0))</f>
        <v/>
      </c>
      <c r="AU151">
        <f>IF(OR($D151="",P151="",4&gt;$F151),0,IF(UPPER(TRIM(P151))=IFERROR(INDEX(Key!$C$2:$C$263,MATCH($D151*100+4,Key!$G$2:$G$263,0)),"#"),1,0))</f>
        <v/>
      </c>
      <c r="AV151">
        <f>IF(OR($D151="",Q151="",5&gt;$F151),0,IF(UPPER(TRIM(Q151))=IFERROR(INDEX(Key!$C$2:$C$263,MATCH($D151*100+5,Key!$G$2:$G$263,0)),"#"),1,0))</f>
        <v/>
      </c>
      <c r="AW151">
        <f>IF(OR($D151="",R151="",6&gt;$F151),0,IF(UPPER(TRIM(R151))=IFERROR(INDEX(Key!$C$2:$C$263,MATCH($D151*100+6,Key!$G$2:$G$263,0)),"#"),1,0))</f>
        <v/>
      </c>
      <c r="AX151">
        <f>IF(OR($D151="",S151="",7&gt;$F151),0,IF(UPPER(TRIM(S151))=IFERROR(INDEX(Key!$C$2:$C$263,MATCH($D151*100+7,Key!$G$2:$G$263,0)),"#"),1,0))</f>
        <v/>
      </c>
      <c r="AY151">
        <f>IF(OR($D151="",T151="",8&gt;$F151),0,IF(UPPER(TRIM(T151))=IFERROR(INDEX(Key!$C$2:$C$263,MATCH($D151*100+8,Key!$G$2:$G$263,0)),"#"),1,0))</f>
        <v/>
      </c>
      <c r="AZ151">
        <f>IF(OR($D151="",U151="",9&gt;$F151),0,IF(UPPER(TRIM(U151))=IFERROR(INDEX(Key!$C$2:$C$263,MATCH($D151*100+9,Key!$G$2:$G$263,0)),"#"),1,0))</f>
        <v/>
      </c>
      <c r="BA151">
        <f>IF(OR($D151="",V151="",10&gt;$F151),0,IF(UPPER(TRIM(V151))=IFERROR(INDEX(Key!$C$2:$C$263,MATCH($D151*100+10,Key!$G$2:$G$263,0)),"#"),1,0))</f>
        <v/>
      </c>
      <c r="BB151">
        <f>IF(OR($D151="",W151="",11&gt;$F151),0,IF(UPPER(TRIM(W151))=IFERROR(INDEX(Key!$C$2:$C$263,MATCH($D151*100+11,Key!$G$2:$G$263,0)),"#"),1,0))</f>
        <v/>
      </c>
      <c r="BC151">
        <f>IF(OR($D151="",X151="",12&gt;$F151),0,IF(UPPER(TRIM(X151))=IFERROR(INDEX(Key!$C$2:$C$263,MATCH($D151*100+12,Key!$G$2:$G$263,0)),"#"),1,0))</f>
        <v/>
      </c>
      <c r="BD151">
        <f>IF(OR($D151="",Y151="",13&gt;$F151),0,IF(UPPER(TRIM(Y151))=IFERROR(INDEX(Key!$C$2:$C$263,MATCH($D151*100+13,Key!$G$2:$G$263,0)),"#"),1,0))</f>
        <v/>
      </c>
      <c r="BE151">
        <f>IF(OR($D151="",Z151="",14&gt;$F151),0,IF(UPPER(TRIM(Z151))=IFERROR(INDEX(Key!$C$2:$C$263,MATCH($D151*100+14,Key!$G$2:$G$263,0)),"#"),1,0))</f>
        <v/>
      </c>
      <c r="BF151">
        <f>IF(OR($D151="",AA151="",15&gt;$F151),0,IF(UPPER(TRIM(AA151))=IFERROR(INDEX(Key!$C$2:$C$263,MATCH($D151*100+15,Key!$G$2:$G$263,0)),"#"),1,0))</f>
        <v/>
      </c>
      <c r="BG151">
        <f>IF(OR($D151="",AB151="",16&gt;$F151),0,IF(UPPER(TRIM(AB151))=IFERROR(INDEX(Key!$C$2:$C$263,MATCH($D151*100+16,Key!$G$2:$G$263,0)),"#"),1,0))</f>
        <v/>
      </c>
      <c r="BH151">
        <f>IF(OR($D151="",AC151="",17&gt;$F151),0,IF(UPPER(TRIM(AC151))=IFERROR(INDEX(Key!$C$2:$C$263,MATCH($D151*100+17,Key!$G$2:$G$263,0)),"#"),1,0))</f>
        <v/>
      </c>
      <c r="BI151">
        <f>IF(OR($D151="",AD151="",18&gt;$F151),0,IF(UPPER(TRIM(AD151))=IFERROR(INDEX(Key!$C$2:$C$263,MATCH($D151*100+18,Key!$G$2:$G$263,0)),"#"),1,0))</f>
        <v/>
      </c>
      <c r="BJ151">
        <f>IF(OR($D151="",AE151="",19&gt;$F151),0,IF(UPPER(TRIM(AE151))=IFERROR(INDEX(Key!$C$2:$C$263,MATCH($D151*100+19,Key!$G$2:$G$263,0)),"#"),1,0))</f>
        <v/>
      </c>
      <c r="BK151">
        <f>IF(OR($D151="",AF151="",20&gt;$F151),0,IF(UPPER(TRIM(AF151))=IFERROR(INDEX(Key!$C$2:$C$263,MATCH($D151*100+20,Key!$G$2:$G$263,0)),"#"),1,0))</f>
        <v/>
      </c>
      <c r="BL151">
        <f>IF(OR($D151="",AG151="",21&gt;$F151),0,IF(UPPER(TRIM(AG151))=IFERROR(INDEX(Key!$C$2:$C$263,MATCH($D151*100+21,Key!$G$2:$G$263,0)),"#"),1,0))</f>
        <v/>
      </c>
      <c r="BM151">
        <f>IF(OR($D151="",AH151="",22&gt;$F151),0,IF(UPPER(TRIM(AH151))=IFERROR(INDEX(Key!$C$2:$C$263,MATCH($D151*100+22,Key!$G$2:$G$263,0)),"#"),1,0))</f>
        <v/>
      </c>
      <c r="BN151">
        <f>IF(OR($D151="",AI151="",23&gt;$F151),0,IF(UPPER(TRIM(AI151))=IFERROR(INDEX(Key!$C$2:$C$263,MATCH($D151*100+23,Key!$G$2:$G$263,0)),"#"),1,0))</f>
        <v/>
      </c>
      <c r="BO151">
        <f>IF(OR($D151="",AJ151="",24&gt;$F151),0,IF(UPPER(TRIM(AJ151))=IFERROR(INDEX(Key!$C$2:$C$263,MATCH($D151*100+24,Key!$G$2:$G$263,0)),"#"),1,0))</f>
        <v/>
      </c>
      <c r="BP151">
        <f>IF(OR($D151="",AK151="",25&gt;$F151),0,IF(UPPER(TRIM(AK151))=IFERROR(INDEX(Key!$C$2:$C$263,MATCH($D151*100+25,Key!$G$2:$G$263,0)),"#"),1,0))</f>
        <v/>
      </c>
      <c r="BQ151">
        <f>IF(OR($D151="",AL151="",26&gt;$F151),0,IF(UPPER(TRIM(AL151))=IFERROR(INDEX(Key!$C$2:$C$263,MATCH($D151*100+26,Key!$G$2:$G$263,0)),"#"),1,0))</f>
        <v/>
      </c>
      <c r="BR151">
        <f>IF(OR($D151="",AM151="",27&gt;$F151),0,IF(UPPER(TRIM(AM151))=IFERROR(INDEX(Key!$C$2:$C$263,MATCH($D151*100+27,Key!$G$2:$G$263,0)),"#"),1,0))</f>
        <v/>
      </c>
      <c r="BS151">
        <f>IF(OR($D151="",AN151="",28&gt;$F151),0,IF(UPPER(TRIM(AN151))=IFERROR(INDEX(Key!$C$2:$C$263,MATCH($D151*100+28,Key!$G$2:$G$263,0)),"#"),1,0))</f>
        <v/>
      </c>
      <c r="BT151">
        <f>IF(OR($D151="",AO151="",29&gt;$F151),0,IF(UPPER(TRIM(AO151))=IFERROR(INDEX(Key!$C$2:$C$263,MATCH($D151*100+29,Key!$G$2:$G$263,0)),"#"),1,0))</f>
        <v/>
      </c>
      <c r="BU151">
        <f>IF(OR($D151="",AP151="",30&gt;$F151),0,IF(UPPER(TRIM(AP151))=IFERROR(INDEX(Key!$C$2:$C$263,MATCH($D151*100+30,Key!$G$2:$G$263,0)),"#"),1,0))</f>
        <v/>
      </c>
    </row>
    <row r="152">
      <c r="A152" s="6" t="n"/>
      <c r="B152" s="6" t="n"/>
      <c r="C152" s="6" t="n"/>
      <c r="D152" s="6" t="n"/>
      <c r="E152" s="7">
        <f>IF($D152="","",IFERROR(INDEX(Papers!$B$2:$B$12,MATCH($D152,Papers!$A$2:$A$12,0)),"?"))</f>
        <v/>
      </c>
      <c r="F152" s="7">
        <f>IF($D152="","",IFERROR(INDEX(Papers!$C$2:$C$12,MATCH($D152,Papers!$A$2:$A$12,0)),0))</f>
        <v/>
      </c>
      <c r="G152" s="7">
        <f>IF($D152="","",COUNTIF(M152:AP152,"?*"))</f>
        <v/>
      </c>
      <c r="H152" s="7">
        <f>IF($D152="","",SUM(AR152:BU152))</f>
        <v/>
      </c>
      <c r="I152" s="7">
        <f>IF($D152="","",G152-H152)</f>
        <v/>
      </c>
      <c r="J152" s="7">
        <f>IF($D152="","",F152-G152)</f>
        <v/>
      </c>
      <c r="K152" s="7">
        <f>IF($D152="","",H152)</f>
        <v/>
      </c>
      <c r="L152" s="7">
        <f>IF($D152="","",IF(F152=0,"",ROUND(H152/F152*100,1)))</f>
        <v/>
      </c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R152">
        <f>IF(OR($D152="",M152="",1&gt;$F152),0,IF(UPPER(TRIM(M152))=IFERROR(INDEX(Key!$C$2:$C$263,MATCH($D152*100+1,Key!$G$2:$G$263,0)),"#"),1,0))</f>
        <v/>
      </c>
      <c r="AS152">
        <f>IF(OR($D152="",N152="",2&gt;$F152),0,IF(UPPER(TRIM(N152))=IFERROR(INDEX(Key!$C$2:$C$263,MATCH($D152*100+2,Key!$G$2:$G$263,0)),"#"),1,0))</f>
        <v/>
      </c>
      <c r="AT152">
        <f>IF(OR($D152="",O152="",3&gt;$F152),0,IF(UPPER(TRIM(O152))=IFERROR(INDEX(Key!$C$2:$C$263,MATCH($D152*100+3,Key!$G$2:$G$263,0)),"#"),1,0))</f>
        <v/>
      </c>
      <c r="AU152">
        <f>IF(OR($D152="",P152="",4&gt;$F152),0,IF(UPPER(TRIM(P152))=IFERROR(INDEX(Key!$C$2:$C$263,MATCH($D152*100+4,Key!$G$2:$G$263,0)),"#"),1,0))</f>
        <v/>
      </c>
      <c r="AV152">
        <f>IF(OR($D152="",Q152="",5&gt;$F152),0,IF(UPPER(TRIM(Q152))=IFERROR(INDEX(Key!$C$2:$C$263,MATCH($D152*100+5,Key!$G$2:$G$263,0)),"#"),1,0))</f>
        <v/>
      </c>
      <c r="AW152">
        <f>IF(OR($D152="",R152="",6&gt;$F152),0,IF(UPPER(TRIM(R152))=IFERROR(INDEX(Key!$C$2:$C$263,MATCH($D152*100+6,Key!$G$2:$G$263,0)),"#"),1,0))</f>
        <v/>
      </c>
      <c r="AX152">
        <f>IF(OR($D152="",S152="",7&gt;$F152),0,IF(UPPER(TRIM(S152))=IFERROR(INDEX(Key!$C$2:$C$263,MATCH($D152*100+7,Key!$G$2:$G$263,0)),"#"),1,0))</f>
        <v/>
      </c>
      <c r="AY152">
        <f>IF(OR($D152="",T152="",8&gt;$F152),0,IF(UPPER(TRIM(T152))=IFERROR(INDEX(Key!$C$2:$C$263,MATCH($D152*100+8,Key!$G$2:$G$263,0)),"#"),1,0))</f>
        <v/>
      </c>
      <c r="AZ152">
        <f>IF(OR($D152="",U152="",9&gt;$F152),0,IF(UPPER(TRIM(U152))=IFERROR(INDEX(Key!$C$2:$C$263,MATCH($D152*100+9,Key!$G$2:$G$263,0)),"#"),1,0))</f>
        <v/>
      </c>
      <c r="BA152">
        <f>IF(OR($D152="",V152="",10&gt;$F152),0,IF(UPPER(TRIM(V152))=IFERROR(INDEX(Key!$C$2:$C$263,MATCH($D152*100+10,Key!$G$2:$G$263,0)),"#"),1,0))</f>
        <v/>
      </c>
      <c r="BB152">
        <f>IF(OR($D152="",W152="",11&gt;$F152),0,IF(UPPER(TRIM(W152))=IFERROR(INDEX(Key!$C$2:$C$263,MATCH($D152*100+11,Key!$G$2:$G$263,0)),"#"),1,0))</f>
        <v/>
      </c>
      <c r="BC152">
        <f>IF(OR($D152="",X152="",12&gt;$F152),0,IF(UPPER(TRIM(X152))=IFERROR(INDEX(Key!$C$2:$C$263,MATCH($D152*100+12,Key!$G$2:$G$263,0)),"#"),1,0))</f>
        <v/>
      </c>
      <c r="BD152">
        <f>IF(OR($D152="",Y152="",13&gt;$F152),0,IF(UPPER(TRIM(Y152))=IFERROR(INDEX(Key!$C$2:$C$263,MATCH($D152*100+13,Key!$G$2:$G$263,0)),"#"),1,0))</f>
        <v/>
      </c>
      <c r="BE152">
        <f>IF(OR($D152="",Z152="",14&gt;$F152),0,IF(UPPER(TRIM(Z152))=IFERROR(INDEX(Key!$C$2:$C$263,MATCH($D152*100+14,Key!$G$2:$G$263,0)),"#"),1,0))</f>
        <v/>
      </c>
      <c r="BF152">
        <f>IF(OR($D152="",AA152="",15&gt;$F152),0,IF(UPPER(TRIM(AA152))=IFERROR(INDEX(Key!$C$2:$C$263,MATCH($D152*100+15,Key!$G$2:$G$263,0)),"#"),1,0))</f>
        <v/>
      </c>
      <c r="BG152">
        <f>IF(OR($D152="",AB152="",16&gt;$F152),0,IF(UPPER(TRIM(AB152))=IFERROR(INDEX(Key!$C$2:$C$263,MATCH($D152*100+16,Key!$G$2:$G$263,0)),"#"),1,0))</f>
        <v/>
      </c>
      <c r="BH152">
        <f>IF(OR($D152="",AC152="",17&gt;$F152),0,IF(UPPER(TRIM(AC152))=IFERROR(INDEX(Key!$C$2:$C$263,MATCH($D152*100+17,Key!$G$2:$G$263,0)),"#"),1,0))</f>
        <v/>
      </c>
      <c r="BI152">
        <f>IF(OR($D152="",AD152="",18&gt;$F152),0,IF(UPPER(TRIM(AD152))=IFERROR(INDEX(Key!$C$2:$C$263,MATCH($D152*100+18,Key!$G$2:$G$263,0)),"#"),1,0))</f>
        <v/>
      </c>
      <c r="BJ152">
        <f>IF(OR($D152="",AE152="",19&gt;$F152),0,IF(UPPER(TRIM(AE152))=IFERROR(INDEX(Key!$C$2:$C$263,MATCH($D152*100+19,Key!$G$2:$G$263,0)),"#"),1,0))</f>
        <v/>
      </c>
      <c r="BK152">
        <f>IF(OR($D152="",AF152="",20&gt;$F152),0,IF(UPPER(TRIM(AF152))=IFERROR(INDEX(Key!$C$2:$C$263,MATCH($D152*100+20,Key!$G$2:$G$263,0)),"#"),1,0))</f>
        <v/>
      </c>
      <c r="BL152">
        <f>IF(OR($D152="",AG152="",21&gt;$F152),0,IF(UPPER(TRIM(AG152))=IFERROR(INDEX(Key!$C$2:$C$263,MATCH($D152*100+21,Key!$G$2:$G$263,0)),"#"),1,0))</f>
        <v/>
      </c>
      <c r="BM152">
        <f>IF(OR($D152="",AH152="",22&gt;$F152),0,IF(UPPER(TRIM(AH152))=IFERROR(INDEX(Key!$C$2:$C$263,MATCH($D152*100+22,Key!$G$2:$G$263,0)),"#"),1,0))</f>
        <v/>
      </c>
      <c r="BN152">
        <f>IF(OR($D152="",AI152="",23&gt;$F152),0,IF(UPPER(TRIM(AI152))=IFERROR(INDEX(Key!$C$2:$C$263,MATCH($D152*100+23,Key!$G$2:$G$263,0)),"#"),1,0))</f>
        <v/>
      </c>
      <c r="BO152">
        <f>IF(OR($D152="",AJ152="",24&gt;$F152),0,IF(UPPER(TRIM(AJ152))=IFERROR(INDEX(Key!$C$2:$C$263,MATCH($D152*100+24,Key!$G$2:$G$263,0)),"#"),1,0))</f>
        <v/>
      </c>
      <c r="BP152">
        <f>IF(OR($D152="",AK152="",25&gt;$F152),0,IF(UPPER(TRIM(AK152))=IFERROR(INDEX(Key!$C$2:$C$263,MATCH($D152*100+25,Key!$G$2:$G$263,0)),"#"),1,0))</f>
        <v/>
      </c>
      <c r="BQ152">
        <f>IF(OR($D152="",AL152="",26&gt;$F152),0,IF(UPPER(TRIM(AL152))=IFERROR(INDEX(Key!$C$2:$C$263,MATCH($D152*100+26,Key!$G$2:$G$263,0)),"#"),1,0))</f>
        <v/>
      </c>
      <c r="BR152">
        <f>IF(OR($D152="",AM152="",27&gt;$F152),0,IF(UPPER(TRIM(AM152))=IFERROR(INDEX(Key!$C$2:$C$263,MATCH($D152*100+27,Key!$G$2:$G$263,0)),"#"),1,0))</f>
        <v/>
      </c>
      <c r="BS152">
        <f>IF(OR($D152="",AN152="",28&gt;$F152),0,IF(UPPER(TRIM(AN152))=IFERROR(INDEX(Key!$C$2:$C$263,MATCH($D152*100+28,Key!$G$2:$G$263,0)),"#"),1,0))</f>
        <v/>
      </c>
      <c r="BT152">
        <f>IF(OR($D152="",AO152="",29&gt;$F152),0,IF(UPPER(TRIM(AO152))=IFERROR(INDEX(Key!$C$2:$C$263,MATCH($D152*100+29,Key!$G$2:$G$263,0)),"#"),1,0))</f>
        <v/>
      </c>
      <c r="BU152">
        <f>IF(OR($D152="",AP152="",30&gt;$F152),0,IF(UPPER(TRIM(AP152))=IFERROR(INDEX(Key!$C$2:$C$263,MATCH($D152*100+30,Key!$G$2:$G$263,0)),"#"),1,0))</f>
        <v/>
      </c>
    </row>
    <row r="153">
      <c r="A153" s="6" t="n"/>
      <c r="B153" s="6" t="n"/>
      <c r="C153" s="6" t="n"/>
      <c r="D153" s="6" t="n"/>
      <c r="E153" s="7">
        <f>IF($D153="","",IFERROR(INDEX(Papers!$B$2:$B$12,MATCH($D153,Papers!$A$2:$A$12,0)),"?"))</f>
        <v/>
      </c>
      <c r="F153" s="7">
        <f>IF($D153="","",IFERROR(INDEX(Papers!$C$2:$C$12,MATCH($D153,Papers!$A$2:$A$12,0)),0))</f>
        <v/>
      </c>
      <c r="G153" s="7">
        <f>IF($D153="","",COUNTIF(M153:AP153,"?*"))</f>
        <v/>
      </c>
      <c r="H153" s="7">
        <f>IF($D153="","",SUM(AR153:BU153))</f>
        <v/>
      </c>
      <c r="I153" s="7">
        <f>IF($D153="","",G153-H153)</f>
        <v/>
      </c>
      <c r="J153" s="7">
        <f>IF($D153="","",F153-G153)</f>
        <v/>
      </c>
      <c r="K153" s="7">
        <f>IF($D153="","",H153)</f>
        <v/>
      </c>
      <c r="L153" s="7">
        <f>IF($D153="","",IF(F153=0,"",ROUND(H153/F153*100,1)))</f>
        <v/>
      </c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R153">
        <f>IF(OR($D153="",M153="",1&gt;$F153),0,IF(UPPER(TRIM(M153))=IFERROR(INDEX(Key!$C$2:$C$263,MATCH($D153*100+1,Key!$G$2:$G$263,0)),"#"),1,0))</f>
        <v/>
      </c>
      <c r="AS153">
        <f>IF(OR($D153="",N153="",2&gt;$F153),0,IF(UPPER(TRIM(N153))=IFERROR(INDEX(Key!$C$2:$C$263,MATCH($D153*100+2,Key!$G$2:$G$263,0)),"#"),1,0))</f>
        <v/>
      </c>
      <c r="AT153">
        <f>IF(OR($D153="",O153="",3&gt;$F153),0,IF(UPPER(TRIM(O153))=IFERROR(INDEX(Key!$C$2:$C$263,MATCH($D153*100+3,Key!$G$2:$G$263,0)),"#"),1,0))</f>
        <v/>
      </c>
      <c r="AU153">
        <f>IF(OR($D153="",P153="",4&gt;$F153),0,IF(UPPER(TRIM(P153))=IFERROR(INDEX(Key!$C$2:$C$263,MATCH($D153*100+4,Key!$G$2:$G$263,0)),"#"),1,0))</f>
        <v/>
      </c>
      <c r="AV153">
        <f>IF(OR($D153="",Q153="",5&gt;$F153),0,IF(UPPER(TRIM(Q153))=IFERROR(INDEX(Key!$C$2:$C$263,MATCH($D153*100+5,Key!$G$2:$G$263,0)),"#"),1,0))</f>
        <v/>
      </c>
      <c r="AW153">
        <f>IF(OR($D153="",R153="",6&gt;$F153),0,IF(UPPER(TRIM(R153))=IFERROR(INDEX(Key!$C$2:$C$263,MATCH($D153*100+6,Key!$G$2:$G$263,0)),"#"),1,0))</f>
        <v/>
      </c>
      <c r="AX153">
        <f>IF(OR($D153="",S153="",7&gt;$F153),0,IF(UPPER(TRIM(S153))=IFERROR(INDEX(Key!$C$2:$C$263,MATCH($D153*100+7,Key!$G$2:$G$263,0)),"#"),1,0))</f>
        <v/>
      </c>
      <c r="AY153">
        <f>IF(OR($D153="",T153="",8&gt;$F153),0,IF(UPPER(TRIM(T153))=IFERROR(INDEX(Key!$C$2:$C$263,MATCH($D153*100+8,Key!$G$2:$G$263,0)),"#"),1,0))</f>
        <v/>
      </c>
      <c r="AZ153">
        <f>IF(OR($D153="",U153="",9&gt;$F153),0,IF(UPPER(TRIM(U153))=IFERROR(INDEX(Key!$C$2:$C$263,MATCH($D153*100+9,Key!$G$2:$G$263,0)),"#"),1,0))</f>
        <v/>
      </c>
      <c r="BA153">
        <f>IF(OR($D153="",V153="",10&gt;$F153),0,IF(UPPER(TRIM(V153))=IFERROR(INDEX(Key!$C$2:$C$263,MATCH($D153*100+10,Key!$G$2:$G$263,0)),"#"),1,0))</f>
        <v/>
      </c>
      <c r="BB153">
        <f>IF(OR($D153="",W153="",11&gt;$F153),0,IF(UPPER(TRIM(W153))=IFERROR(INDEX(Key!$C$2:$C$263,MATCH($D153*100+11,Key!$G$2:$G$263,0)),"#"),1,0))</f>
        <v/>
      </c>
      <c r="BC153">
        <f>IF(OR($D153="",X153="",12&gt;$F153),0,IF(UPPER(TRIM(X153))=IFERROR(INDEX(Key!$C$2:$C$263,MATCH($D153*100+12,Key!$G$2:$G$263,0)),"#"),1,0))</f>
        <v/>
      </c>
      <c r="BD153">
        <f>IF(OR($D153="",Y153="",13&gt;$F153),0,IF(UPPER(TRIM(Y153))=IFERROR(INDEX(Key!$C$2:$C$263,MATCH($D153*100+13,Key!$G$2:$G$263,0)),"#"),1,0))</f>
        <v/>
      </c>
      <c r="BE153">
        <f>IF(OR($D153="",Z153="",14&gt;$F153),0,IF(UPPER(TRIM(Z153))=IFERROR(INDEX(Key!$C$2:$C$263,MATCH($D153*100+14,Key!$G$2:$G$263,0)),"#"),1,0))</f>
        <v/>
      </c>
      <c r="BF153">
        <f>IF(OR($D153="",AA153="",15&gt;$F153),0,IF(UPPER(TRIM(AA153))=IFERROR(INDEX(Key!$C$2:$C$263,MATCH($D153*100+15,Key!$G$2:$G$263,0)),"#"),1,0))</f>
        <v/>
      </c>
      <c r="BG153">
        <f>IF(OR($D153="",AB153="",16&gt;$F153),0,IF(UPPER(TRIM(AB153))=IFERROR(INDEX(Key!$C$2:$C$263,MATCH($D153*100+16,Key!$G$2:$G$263,0)),"#"),1,0))</f>
        <v/>
      </c>
      <c r="BH153">
        <f>IF(OR($D153="",AC153="",17&gt;$F153),0,IF(UPPER(TRIM(AC153))=IFERROR(INDEX(Key!$C$2:$C$263,MATCH($D153*100+17,Key!$G$2:$G$263,0)),"#"),1,0))</f>
        <v/>
      </c>
      <c r="BI153">
        <f>IF(OR($D153="",AD153="",18&gt;$F153),0,IF(UPPER(TRIM(AD153))=IFERROR(INDEX(Key!$C$2:$C$263,MATCH($D153*100+18,Key!$G$2:$G$263,0)),"#"),1,0))</f>
        <v/>
      </c>
      <c r="BJ153">
        <f>IF(OR($D153="",AE153="",19&gt;$F153),0,IF(UPPER(TRIM(AE153))=IFERROR(INDEX(Key!$C$2:$C$263,MATCH($D153*100+19,Key!$G$2:$G$263,0)),"#"),1,0))</f>
        <v/>
      </c>
      <c r="BK153">
        <f>IF(OR($D153="",AF153="",20&gt;$F153),0,IF(UPPER(TRIM(AF153))=IFERROR(INDEX(Key!$C$2:$C$263,MATCH($D153*100+20,Key!$G$2:$G$263,0)),"#"),1,0))</f>
        <v/>
      </c>
      <c r="BL153">
        <f>IF(OR($D153="",AG153="",21&gt;$F153),0,IF(UPPER(TRIM(AG153))=IFERROR(INDEX(Key!$C$2:$C$263,MATCH($D153*100+21,Key!$G$2:$G$263,0)),"#"),1,0))</f>
        <v/>
      </c>
      <c r="BM153">
        <f>IF(OR($D153="",AH153="",22&gt;$F153),0,IF(UPPER(TRIM(AH153))=IFERROR(INDEX(Key!$C$2:$C$263,MATCH($D153*100+22,Key!$G$2:$G$263,0)),"#"),1,0))</f>
        <v/>
      </c>
      <c r="BN153">
        <f>IF(OR($D153="",AI153="",23&gt;$F153),0,IF(UPPER(TRIM(AI153))=IFERROR(INDEX(Key!$C$2:$C$263,MATCH($D153*100+23,Key!$G$2:$G$263,0)),"#"),1,0))</f>
        <v/>
      </c>
      <c r="BO153">
        <f>IF(OR($D153="",AJ153="",24&gt;$F153),0,IF(UPPER(TRIM(AJ153))=IFERROR(INDEX(Key!$C$2:$C$263,MATCH($D153*100+24,Key!$G$2:$G$263,0)),"#"),1,0))</f>
        <v/>
      </c>
      <c r="BP153">
        <f>IF(OR($D153="",AK153="",25&gt;$F153),0,IF(UPPER(TRIM(AK153))=IFERROR(INDEX(Key!$C$2:$C$263,MATCH($D153*100+25,Key!$G$2:$G$263,0)),"#"),1,0))</f>
        <v/>
      </c>
      <c r="BQ153">
        <f>IF(OR($D153="",AL153="",26&gt;$F153),0,IF(UPPER(TRIM(AL153))=IFERROR(INDEX(Key!$C$2:$C$263,MATCH($D153*100+26,Key!$G$2:$G$263,0)),"#"),1,0))</f>
        <v/>
      </c>
      <c r="BR153">
        <f>IF(OR($D153="",AM153="",27&gt;$F153),0,IF(UPPER(TRIM(AM153))=IFERROR(INDEX(Key!$C$2:$C$263,MATCH($D153*100+27,Key!$G$2:$G$263,0)),"#"),1,0))</f>
        <v/>
      </c>
      <c r="BS153">
        <f>IF(OR($D153="",AN153="",28&gt;$F153),0,IF(UPPER(TRIM(AN153))=IFERROR(INDEX(Key!$C$2:$C$263,MATCH($D153*100+28,Key!$G$2:$G$263,0)),"#"),1,0))</f>
        <v/>
      </c>
      <c r="BT153">
        <f>IF(OR($D153="",AO153="",29&gt;$F153),0,IF(UPPER(TRIM(AO153))=IFERROR(INDEX(Key!$C$2:$C$263,MATCH($D153*100+29,Key!$G$2:$G$263,0)),"#"),1,0))</f>
        <v/>
      </c>
      <c r="BU153">
        <f>IF(OR($D153="",AP153="",30&gt;$F153),0,IF(UPPER(TRIM(AP153))=IFERROR(INDEX(Key!$C$2:$C$263,MATCH($D153*100+30,Key!$G$2:$G$263,0)),"#"),1,0))</f>
        <v/>
      </c>
    </row>
    <row r="154">
      <c r="A154" s="6" t="n"/>
      <c r="B154" s="6" t="n"/>
      <c r="C154" s="6" t="n"/>
      <c r="D154" s="6" t="n"/>
      <c r="E154" s="7">
        <f>IF($D154="","",IFERROR(INDEX(Papers!$B$2:$B$12,MATCH($D154,Papers!$A$2:$A$12,0)),"?"))</f>
        <v/>
      </c>
      <c r="F154" s="7">
        <f>IF($D154="","",IFERROR(INDEX(Papers!$C$2:$C$12,MATCH($D154,Papers!$A$2:$A$12,0)),0))</f>
        <v/>
      </c>
      <c r="G154" s="7">
        <f>IF($D154="","",COUNTIF(M154:AP154,"?*"))</f>
        <v/>
      </c>
      <c r="H154" s="7">
        <f>IF($D154="","",SUM(AR154:BU154))</f>
        <v/>
      </c>
      <c r="I154" s="7">
        <f>IF($D154="","",G154-H154)</f>
        <v/>
      </c>
      <c r="J154" s="7">
        <f>IF($D154="","",F154-G154)</f>
        <v/>
      </c>
      <c r="K154" s="7">
        <f>IF($D154="","",H154)</f>
        <v/>
      </c>
      <c r="L154" s="7">
        <f>IF($D154="","",IF(F154=0,"",ROUND(H154/F154*100,1)))</f>
        <v/>
      </c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R154">
        <f>IF(OR($D154="",M154="",1&gt;$F154),0,IF(UPPER(TRIM(M154))=IFERROR(INDEX(Key!$C$2:$C$263,MATCH($D154*100+1,Key!$G$2:$G$263,0)),"#"),1,0))</f>
        <v/>
      </c>
      <c r="AS154">
        <f>IF(OR($D154="",N154="",2&gt;$F154),0,IF(UPPER(TRIM(N154))=IFERROR(INDEX(Key!$C$2:$C$263,MATCH($D154*100+2,Key!$G$2:$G$263,0)),"#"),1,0))</f>
        <v/>
      </c>
      <c r="AT154">
        <f>IF(OR($D154="",O154="",3&gt;$F154),0,IF(UPPER(TRIM(O154))=IFERROR(INDEX(Key!$C$2:$C$263,MATCH($D154*100+3,Key!$G$2:$G$263,0)),"#"),1,0))</f>
        <v/>
      </c>
      <c r="AU154">
        <f>IF(OR($D154="",P154="",4&gt;$F154),0,IF(UPPER(TRIM(P154))=IFERROR(INDEX(Key!$C$2:$C$263,MATCH($D154*100+4,Key!$G$2:$G$263,0)),"#"),1,0))</f>
        <v/>
      </c>
      <c r="AV154">
        <f>IF(OR($D154="",Q154="",5&gt;$F154),0,IF(UPPER(TRIM(Q154))=IFERROR(INDEX(Key!$C$2:$C$263,MATCH($D154*100+5,Key!$G$2:$G$263,0)),"#"),1,0))</f>
        <v/>
      </c>
      <c r="AW154">
        <f>IF(OR($D154="",R154="",6&gt;$F154),0,IF(UPPER(TRIM(R154))=IFERROR(INDEX(Key!$C$2:$C$263,MATCH($D154*100+6,Key!$G$2:$G$263,0)),"#"),1,0))</f>
        <v/>
      </c>
      <c r="AX154">
        <f>IF(OR($D154="",S154="",7&gt;$F154),0,IF(UPPER(TRIM(S154))=IFERROR(INDEX(Key!$C$2:$C$263,MATCH($D154*100+7,Key!$G$2:$G$263,0)),"#"),1,0))</f>
        <v/>
      </c>
      <c r="AY154">
        <f>IF(OR($D154="",T154="",8&gt;$F154),0,IF(UPPER(TRIM(T154))=IFERROR(INDEX(Key!$C$2:$C$263,MATCH($D154*100+8,Key!$G$2:$G$263,0)),"#"),1,0))</f>
        <v/>
      </c>
      <c r="AZ154">
        <f>IF(OR($D154="",U154="",9&gt;$F154),0,IF(UPPER(TRIM(U154))=IFERROR(INDEX(Key!$C$2:$C$263,MATCH($D154*100+9,Key!$G$2:$G$263,0)),"#"),1,0))</f>
        <v/>
      </c>
      <c r="BA154">
        <f>IF(OR($D154="",V154="",10&gt;$F154),0,IF(UPPER(TRIM(V154))=IFERROR(INDEX(Key!$C$2:$C$263,MATCH($D154*100+10,Key!$G$2:$G$263,0)),"#"),1,0))</f>
        <v/>
      </c>
      <c r="BB154">
        <f>IF(OR($D154="",W154="",11&gt;$F154),0,IF(UPPER(TRIM(W154))=IFERROR(INDEX(Key!$C$2:$C$263,MATCH($D154*100+11,Key!$G$2:$G$263,0)),"#"),1,0))</f>
        <v/>
      </c>
      <c r="BC154">
        <f>IF(OR($D154="",X154="",12&gt;$F154),0,IF(UPPER(TRIM(X154))=IFERROR(INDEX(Key!$C$2:$C$263,MATCH($D154*100+12,Key!$G$2:$G$263,0)),"#"),1,0))</f>
        <v/>
      </c>
      <c r="BD154">
        <f>IF(OR($D154="",Y154="",13&gt;$F154),0,IF(UPPER(TRIM(Y154))=IFERROR(INDEX(Key!$C$2:$C$263,MATCH($D154*100+13,Key!$G$2:$G$263,0)),"#"),1,0))</f>
        <v/>
      </c>
      <c r="BE154">
        <f>IF(OR($D154="",Z154="",14&gt;$F154),0,IF(UPPER(TRIM(Z154))=IFERROR(INDEX(Key!$C$2:$C$263,MATCH($D154*100+14,Key!$G$2:$G$263,0)),"#"),1,0))</f>
        <v/>
      </c>
      <c r="BF154">
        <f>IF(OR($D154="",AA154="",15&gt;$F154),0,IF(UPPER(TRIM(AA154))=IFERROR(INDEX(Key!$C$2:$C$263,MATCH($D154*100+15,Key!$G$2:$G$263,0)),"#"),1,0))</f>
        <v/>
      </c>
      <c r="BG154">
        <f>IF(OR($D154="",AB154="",16&gt;$F154),0,IF(UPPER(TRIM(AB154))=IFERROR(INDEX(Key!$C$2:$C$263,MATCH($D154*100+16,Key!$G$2:$G$263,0)),"#"),1,0))</f>
        <v/>
      </c>
      <c r="BH154">
        <f>IF(OR($D154="",AC154="",17&gt;$F154),0,IF(UPPER(TRIM(AC154))=IFERROR(INDEX(Key!$C$2:$C$263,MATCH($D154*100+17,Key!$G$2:$G$263,0)),"#"),1,0))</f>
        <v/>
      </c>
      <c r="BI154">
        <f>IF(OR($D154="",AD154="",18&gt;$F154),0,IF(UPPER(TRIM(AD154))=IFERROR(INDEX(Key!$C$2:$C$263,MATCH($D154*100+18,Key!$G$2:$G$263,0)),"#"),1,0))</f>
        <v/>
      </c>
      <c r="BJ154">
        <f>IF(OR($D154="",AE154="",19&gt;$F154),0,IF(UPPER(TRIM(AE154))=IFERROR(INDEX(Key!$C$2:$C$263,MATCH($D154*100+19,Key!$G$2:$G$263,0)),"#"),1,0))</f>
        <v/>
      </c>
      <c r="BK154">
        <f>IF(OR($D154="",AF154="",20&gt;$F154),0,IF(UPPER(TRIM(AF154))=IFERROR(INDEX(Key!$C$2:$C$263,MATCH($D154*100+20,Key!$G$2:$G$263,0)),"#"),1,0))</f>
        <v/>
      </c>
      <c r="BL154">
        <f>IF(OR($D154="",AG154="",21&gt;$F154),0,IF(UPPER(TRIM(AG154))=IFERROR(INDEX(Key!$C$2:$C$263,MATCH($D154*100+21,Key!$G$2:$G$263,0)),"#"),1,0))</f>
        <v/>
      </c>
      <c r="BM154">
        <f>IF(OR($D154="",AH154="",22&gt;$F154),0,IF(UPPER(TRIM(AH154))=IFERROR(INDEX(Key!$C$2:$C$263,MATCH($D154*100+22,Key!$G$2:$G$263,0)),"#"),1,0))</f>
        <v/>
      </c>
      <c r="BN154">
        <f>IF(OR($D154="",AI154="",23&gt;$F154),0,IF(UPPER(TRIM(AI154))=IFERROR(INDEX(Key!$C$2:$C$263,MATCH($D154*100+23,Key!$G$2:$G$263,0)),"#"),1,0))</f>
        <v/>
      </c>
      <c r="BO154">
        <f>IF(OR($D154="",AJ154="",24&gt;$F154),0,IF(UPPER(TRIM(AJ154))=IFERROR(INDEX(Key!$C$2:$C$263,MATCH($D154*100+24,Key!$G$2:$G$263,0)),"#"),1,0))</f>
        <v/>
      </c>
      <c r="BP154">
        <f>IF(OR($D154="",AK154="",25&gt;$F154),0,IF(UPPER(TRIM(AK154))=IFERROR(INDEX(Key!$C$2:$C$263,MATCH($D154*100+25,Key!$G$2:$G$263,0)),"#"),1,0))</f>
        <v/>
      </c>
      <c r="BQ154">
        <f>IF(OR($D154="",AL154="",26&gt;$F154),0,IF(UPPER(TRIM(AL154))=IFERROR(INDEX(Key!$C$2:$C$263,MATCH($D154*100+26,Key!$G$2:$G$263,0)),"#"),1,0))</f>
        <v/>
      </c>
      <c r="BR154">
        <f>IF(OR($D154="",AM154="",27&gt;$F154),0,IF(UPPER(TRIM(AM154))=IFERROR(INDEX(Key!$C$2:$C$263,MATCH($D154*100+27,Key!$G$2:$G$263,0)),"#"),1,0))</f>
        <v/>
      </c>
      <c r="BS154">
        <f>IF(OR($D154="",AN154="",28&gt;$F154),0,IF(UPPER(TRIM(AN154))=IFERROR(INDEX(Key!$C$2:$C$263,MATCH($D154*100+28,Key!$G$2:$G$263,0)),"#"),1,0))</f>
        <v/>
      </c>
      <c r="BT154">
        <f>IF(OR($D154="",AO154="",29&gt;$F154),0,IF(UPPER(TRIM(AO154))=IFERROR(INDEX(Key!$C$2:$C$263,MATCH($D154*100+29,Key!$G$2:$G$263,0)),"#"),1,0))</f>
        <v/>
      </c>
      <c r="BU154">
        <f>IF(OR($D154="",AP154="",30&gt;$F154),0,IF(UPPER(TRIM(AP154))=IFERROR(INDEX(Key!$C$2:$C$263,MATCH($D154*100+30,Key!$G$2:$G$263,0)),"#"),1,0))</f>
        <v/>
      </c>
    </row>
    <row r="155">
      <c r="A155" s="6" t="n"/>
      <c r="B155" s="6" t="n"/>
      <c r="C155" s="6" t="n"/>
      <c r="D155" s="6" t="n"/>
      <c r="E155" s="7">
        <f>IF($D155="","",IFERROR(INDEX(Papers!$B$2:$B$12,MATCH($D155,Papers!$A$2:$A$12,0)),"?"))</f>
        <v/>
      </c>
      <c r="F155" s="7">
        <f>IF($D155="","",IFERROR(INDEX(Papers!$C$2:$C$12,MATCH($D155,Papers!$A$2:$A$12,0)),0))</f>
        <v/>
      </c>
      <c r="G155" s="7">
        <f>IF($D155="","",COUNTIF(M155:AP155,"?*"))</f>
        <v/>
      </c>
      <c r="H155" s="7">
        <f>IF($D155="","",SUM(AR155:BU155))</f>
        <v/>
      </c>
      <c r="I155" s="7">
        <f>IF($D155="","",G155-H155)</f>
        <v/>
      </c>
      <c r="J155" s="7">
        <f>IF($D155="","",F155-G155)</f>
        <v/>
      </c>
      <c r="K155" s="7">
        <f>IF($D155="","",H155)</f>
        <v/>
      </c>
      <c r="L155" s="7">
        <f>IF($D155="","",IF(F155=0,"",ROUND(H155/F155*100,1)))</f>
        <v/>
      </c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R155">
        <f>IF(OR($D155="",M155="",1&gt;$F155),0,IF(UPPER(TRIM(M155))=IFERROR(INDEX(Key!$C$2:$C$263,MATCH($D155*100+1,Key!$G$2:$G$263,0)),"#"),1,0))</f>
        <v/>
      </c>
      <c r="AS155">
        <f>IF(OR($D155="",N155="",2&gt;$F155),0,IF(UPPER(TRIM(N155))=IFERROR(INDEX(Key!$C$2:$C$263,MATCH($D155*100+2,Key!$G$2:$G$263,0)),"#"),1,0))</f>
        <v/>
      </c>
      <c r="AT155">
        <f>IF(OR($D155="",O155="",3&gt;$F155),0,IF(UPPER(TRIM(O155))=IFERROR(INDEX(Key!$C$2:$C$263,MATCH($D155*100+3,Key!$G$2:$G$263,0)),"#"),1,0))</f>
        <v/>
      </c>
      <c r="AU155">
        <f>IF(OR($D155="",P155="",4&gt;$F155),0,IF(UPPER(TRIM(P155))=IFERROR(INDEX(Key!$C$2:$C$263,MATCH($D155*100+4,Key!$G$2:$G$263,0)),"#"),1,0))</f>
        <v/>
      </c>
      <c r="AV155">
        <f>IF(OR($D155="",Q155="",5&gt;$F155),0,IF(UPPER(TRIM(Q155))=IFERROR(INDEX(Key!$C$2:$C$263,MATCH($D155*100+5,Key!$G$2:$G$263,0)),"#"),1,0))</f>
        <v/>
      </c>
      <c r="AW155">
        <f>IF(OR($D155="",R155="",6&gt;$F155),0,IF(UPPER(TRIM(R155))=IFERROR(INDEX(Key!$C$2:$C$263,MATCH($D155*100+6,Key!$G$2:$G$263,0)),"#"),1,0))</f>
        <v/>
      </c>
      <c r="AX155">
        <f>IF(OR($D155="",S155="",7&gt;$F155),0,IF(UPPER(TRIM(S155))=IFERROR(INDEX(Key!$C$2:$C$263,MATCH($D155*100+7,Key!$G$2:$G$263,0)),"#"),1,0))</f>
        <v/>
      </c>
      <c r="AY155">
        <f>IF(OR($D155="",T155="",8&gt;$F155),0,IF(UPPER(TRIM(T155))=IFERROR(INDEX(Key!$C$2:$C$263,MATCH($D155*100+8,Key!$G$2:$G$263,0)),"#"),1,0))</f>
        <v/>
      </c>
      <c r="AZ155">
        <f>IF(OR($D155="",U155="",9&gt;$F155),0,IF(UPPER(TRIM(U155))=IFERROR(INDEX(Key!$C$2:$C$263,MATCH($D155*100+9,Key!$G$2:$G$263,0)),"#"),1,0))</f>
        <v/>
      </c>
      <c r="BA155">
        <f>IF(OR($D155="",V155="",10&gt;$F155),0,IF(UPPER(TRIM(V155))=IFERROR(INDEX(Key!$C$2:$C$263,MATCH($D155*100+10,Key!$G$2:$G$263,0)),"#"),1,0))</f>
        <v/>
      </c>
      <c r="BB155">
        <f>IF(OR($D155="",W155="",11&gt;$F155),0,IF(UPPER(TRIM(W155))=IFERROR(INDEX(Key!$C$2:$C$263,MATCH($D155*100+11,Key!$G$2:$G$263,0)),"#"),1,0))</f>
        <v/>
      </c>
      <c r="BC155">
        <f>IF(OR($D155="",X155="",12&gt;$F155),0,IF(UPPER(TRIM(X155))=IFERROR(INDEX(Key!$C$2:$C$263,MATCH($D155*100+12,Key!$G$2:$G$263,0)),"#"),1,0))</f>
        <v/>
      </c>
      <c r="BD155">
        <f>IF(OR($D155="",Y155="",13&gt;$F155),0,IF(UPPER(TRIM(Y155))=IFERROR(INDEX(Key!$C$2:$C$263,MATCH($D155*100+13,Key!$G$2:$G$263,0)),"#"),1,0))</f>
        <v/>
      </c>
      <c r="BE155">
        <f>IF(OR($D155="",Z155="",14&gt;$F155),0,IF(UPPER(TRIM(Z155))=IFERROR(INDEX(Key!$C$2:$C$263,MATCH($D155*100+14,Key!$G$2:$G$263,0)),"#"),1,0))</f>
        <v/>
      </c>
      <c r="BF155">
        <f>IF(OR($D155="",AA155="",15&gt;$F155),0,IF(UPPER(TRIM(AA155))=IFERROR(INDEX(Key!$C$2:$C$263,MATCH($D155*100+15,Key!$G$2:$G$263,0)),"#"),1,0))</f>
        <v/>
      </c>
      <c r="BG155">
        <f>IF(OR($D155="",AB155="",16&gt;$F155),0,IF(UPPER(TRIM(AB155))=IFERROR(INDEX(Key!$C$2:$C$263,MATCH($D155*100+16,Key!$G$2:$G$263,0)),"#"),1,0))</f>
        <v/>
      </c>
      <c r="BH155">
        <f>IF(OR($D155="",AC155="",17&gt;$F155),0,IF(UPPER(TRIM(AC155))=IFERROR(INDEX(Key!$C$2:$C$263,MATCH($D155*100+17,Key!$G$2:$G$263,0)),"#"),1,0))</f>
        <v/>
      </c>
      <c r="BI155">
        <f>IF(OR($D155="",AD155="",18&gt;$F155),0,IF(UPPER(TRIM(AD155))=IFERROR(INDEX(Key!$C$2:$C$263,MATCH($D155*100+18,Key!$G$2:$G$263,0)),"#"),1,0))</f>
        <v/>
      </c>
      <c r="BJ155">
        <f>IF(OR($D155="",AE155="",19&gt;$F155),0,IF(UPPER(TRIM(AE155))=IFERROR(INDEX(Key!$C$2:$C$263,MATCH($D155*100+19,Key!$G$2:$G$263,0)),"#"),1,0))</f>
        <v/>
      </c>
      <c r="BK155">
        <f>IF(OR($D155="",AF155="",20&gt;$F155),0,IF(UPPER(TRIM(AF155))=IFERROR(INDEX(Key!$C$2:$C$263,MATCH($D155*100+20,Key!$G$2:$G$263,0)),"#"),1,0))</f>
        <v/>
      </c>
      <c r="BL155">
        <f>IF(OR($D155="",AG155="",21&gt;$F155),0,IF(UPPER(TRIM(AG155))=IFERROR(INDEX(Key!$C$2:$C$263,MATCH($D155*100+21,Key!$G$2:$G$263,0)),"#"),1,0))</f>
        <v/>
      </c>
      <c r="BM155">
        <f>IF(OR($D155="",AH155="",22&gt;$F155),0,IF(UPPER(TRIM(AH155))=IFERROR(INDEX(Key!$C$2:$C$263,MATCH($D155*100+22,Key!$G$2:$G$263,0)),"#"),1,0))</f>
        <v/>
      </c>
      <c r="BN155">
        <f>IF(OR($D155="",AI155="",23&gt;$F155),0,IF(UPPER(TRIM(AI155))=IFERROR(INDEX(Key!$C$2:$C$263,MATCH($D155*100+23,Key!$G$2:$G$263,0)),"#"),1,0))</f>
        <v/>
      </c>
      <c r="BO155">
        <f>IF(OR($D155="",AJ155="",24&gt;$F155),0,IF(UPPER(TRIM(AJ155))=IFERROR(INDEX(Key!$C$2:$C$263,MATCH($D155*100+24,Key!$G$2:$G$263,0)),"#"),1,0))</f>
        <v/>
      </c>
      <c r="BP155">
        <f>IF(OR($D155="",AK155="",25&gt;$F155),0,IF(UPPER(TRIM(AK155))=IFERROR(INDEX(Key!$C$2:$C$263,MATCH($D155*100+25,Key!$G$2:$G$263,0)),"#"),1,0))</f>
        <v/>
      </c>
      <c r="BQ155">
        <f>IF(OR($D155="",AL155="",26&gt;$F155),0,IF(UPPER(TRIM(AL155))=IFERROR(INDEX(Key!$C$2:$C$263,MATCH($D155*100+26,Key!$G$2:$G$263,0)),"#"),1,0))</f>
        <v/>
      </c>
      <c r="BR155">
        <f>IF(OR($D155="",AM155="",27&gt;$F155),0,IF(UPPER(TRIM(AM155))=IFERROR(INDEX(Key!$C$2:$C$263,MATCH($D155*100+27,Key!$G$2:$G$263,0)),"#"),1,0))</f>
        <v/>
      </c>
      <c r="BS155">
        <f>IF(OR($D155="",AN155="",28&gt;$F155),0,IF(UPPER(TRIM(AN155))=IFERROR(INDEX(Key!$C$2:$C$263,MATCH($D155*100+28,Key!$G$2:$G$263,0)),"#"),1,0))</f>
        <v/>
      </c>
      <c r="BT155">
        <f>IF(OR($D155="",AO155="",29&gt;$F155),0,IF(UPPER(TRIM(AO155))=IFERROR(INDEX(Key!$C$2:$C$263,MATCH($D155*100+29,Key!$G$2:$G$263,0)),"#"),1,0))</f>
        <v/>
      </c>
      <c r="BU155">
        <f>IF(OR($D155="",AP155="",30&gt;$F155),0,IF(UPPER(TRIM(AP155))=IFERROR(INDEX(Key!$C$2:$C$263,MATCH($D155*100+30,Key!$G$2:$G$263,0)),"#"),1,0))</f>
        <v/>
      </c>
    </row>
    <row r="156">
      <c r="A156" s="6" t="n"/>
      <c r="B156" s="6" t="n"/>
      <c r="C156" s="6" t="n"/>
      <c r="D156" s="6" t="n"/>
      <c r="E156" s="7">
        <f>IF($D156="","",IFERROR(INDEX(Papers!$B$2:$B$12,MATCH($D156,Papers!$A$2:$A$12,0)),"?"))</f>
        <v/>
      </c>
      <c r="F156" s="7">
        <f>IF($D156="","",IFERROR(INDEX(Papers!$C$2:$C$12,MATCH($D156,Papers!$A$2:$A$12,0)),0))</f>
        <v/>
      </c>
      <c r="G156" s="7">
        <f>IF($D156="","",COUNTIF(M156:AP156,"?*"))</f>
        <v/>
      </c>
      <c r="H156" s="7">
        <f>IF($D156="","",SUM(AR156:BU156))</f>
        <v/>
      </c>
      <c r="I156" s="7">
        <f>IF($D156="","",G156-H156)</f>
        <v/>
      </c>
      <c r="J156" s="7">
        <f>IF($D156="","",F156-G156)</f>
        <v/>
      </c>
      <c r="K156" s="7">
        <f>IF($D156="","",H156)</f>
        <v/>
      </c>
      <c r="L156" s="7">
        <f>IF($D156="","",IF(F156=0,"",ROUND(H156/F156*100,1)))</f>
        <v/>
      </c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R156">
        <f>IF(OR($D156="",M156="",1&gt;$F156),0,IF(UPPER(TRIM(M156))=IFERROR(INDEX(Key!$C$2:$C$263,MATCH($D156*100+1,Key!$G$2:$G$263,0)),"#"),1,0))</f>
        <v/>
      </c>
      <c r="AS156">
        <f>IF(OR($D156="",N156="",2&gt;$F156),0,IF(UPPER(TRIM(N156))=IFERROR(INDEX(Key!$C$2:$C$263,MATCH($D156*100+2,Key!$G$2:$G$263,0)),"#"),1,0))</f>
        <v/>
      </c>
      <c r="AT156">
        <f>IF(OR($D156="",O156="",3&gt;$F156),0,IF(UPPER(TRIM(O156))=IFERROR(INDEX(Key!$C$2:$C$263,MATCH($D156*100+3,Key!$G$2:$G$263,0)),"#"),1,0))</f>
        <v/>
      </c>
      <c r="AU156">
        <f>IF(OR($D156="",P156="",4&gt;$F156),0,IF(UPPER(TRIM(P156))=IFERROR(INDEX(Key!$C$2:$C$263,MATCH($D156*100+4,Key!$G$2:$G$263,0)),"#"),1,0))</f>
        <v/>
      </c>
      <c r="AV156">
        <f>IF(OR($D156="",Q156="",5&gt;$F156),0,IF(UPPER(TRIM(Q156))=IFERROR(INDEX(Key!$C$2:$C$263,MATCH($D156*100+5,Key!$G$2:$G$263,0)),"#"),1,0))</f>
        <v/>
      </c>
      <c r="AW156">
        <f>IF(OR($D156="",R156="",6&gt;$F156),0,IF(UPPER(TRIM(R156))=IFERROR(INDEX(Key!$C$2:$C$263,MATCH($D156*100+6,Key!$G$2:$G$263,0)),"#"),1,0))</f>
        <v/>
      </c>
      <c r="AX156">
        <f>IF(OR($D156="",S156="",7&gt;$F156),0,IF(UPPER(TRIM(S156))=IFERROR(INDEX(Key!$C$2:$C$263,MATCH($D156*100+7,Key!$G$2:$G$263,0)),"#"),1,0))</f>
        <v/>
      </c>
      <c r="AY156">
        <f>IF(OR($D156="",T156="",8&gt;$F156),0,IF(UPPER(TRIM(T156))=IFERROR(INDEX(Key!$C$2:$C$263,MATCH($D156*100+8,Key!$G$2:$G$263,0)),"#"),1,0))</f>
        <v/>
      </c>
      <c r="AZ156">
        <f>IF(OR($D156="",U156="",9&gt;$F156),0,IF(UPPER(TRIM(U156))=IFERROR(INDEX(Key!$C$2:$C$263,MATCH($D156*100+9,Key!$G$2:$G$263,0)),"#"),1,0))</f>
        <v/>
      </c>
      <c r="BA156">
        <f>IF(OR($D156="",V156="",10&gt;$F156),0,IF(UPPER(TRIM(V156))=IFERROR(INDEX(Key!$C$2:$C$263,MATCH($D156*100+10,Key!$G$2:$G$263,0)),"#"),1,0))</f>
        <v/>
      </c>
      <c r="BB156">
        <f>IF(OR($D156="",W156="",11&gt;$F156),0,IF(UPPER(TRIM(W156))=IFERROR(INDEX(Key!$C$2:$C$263,MATCH($D156*100+11,Key!$G$2:$G$263,0)),"#"),1,0))</f>
        <v/>
      </c>
      <c r="BC156">
        <f>IF(OR($D156="",X156="",12&gt;$F156),0,IF(UPPER(TRIM(X156))=IFERROR(INDEX(Key!$C$2:$C$263,MATCH($D156*100+12,Key!$G$2:$G$263,0)),"#"),1,0))</f>
        <v/>
      </c>
      <c r="BD156">
        <f>IF(OR($D156="",Y156="",13&gt;$F156),0,IF(UPPER(TRIM(Y156))=IFERROR(INDEX(Key!$C$2:$C$263,MATCH($D156*100+13,Key!$G$2:$G$263,0)),"#"),1,0))</f>
        <v/>
      </c>
      <c r="BE156">
        <f>IF(OR($D156="",Z156="",14&gt;$F156),0,IF(UPPER(TRIM(Z156))=IFERROR(INDEX(Key!$C$2:$C$263,MATCH($D156*100+14,Key!$G$2:$G$263,0)),"#"),1,0))</f>
        <v/>
      </c>
      <c r="BF156">
        <f>IF(OR($D156="",AA156="",15&gt;$F156),0,IF(UPPER(TRIM(AA156))=IFERROR(INDEX(Key!$C$2:$C$263,MATCH($D156*100+15,Key!$G$2:$G$263,0)),"#"),1,0))</f>
        <v/>
      </c>
      <c r="BG156">
        <f>IF(OR($D156="",AB156="",16&gt;$F156),0,IF(UPPER(TRIM(AB156))=IFERROR(INDEX(Key!$C$2:$C$263,MATCH($D156*100+16,Key!$G$2:$G$263,0)),"#"),1,0))</f>
        <v/>
      </c>
      <c r="BH156">
        <f>IF(OR($D156="",AC156="",17&gt;$F156),0,IF(UPPER(TRIM(AC156))=IFERROR(INDEX(Key!$C$2:$C$263,MATCH($D156*100+17,Key!$G$2:$G$263,0)),"#"),1,0))</f>
        <v/>
      </c>
      <c r="BI156">
        <f>IF(OR($D156="",AD156="",18&gt;$F156),0,IF(UPPER(TRIM(AD156))=IFERROR(INDEX(Key!$C$2:$C$263,MATCH($D156*100+18,Key!$G$2:$G$263,0)),"#"),1,0))</f>
        <v/>
      </c>
      <c r="BJ156">
        <f>IF(OR($D156="",AE156="",19&gt;$F156),0,IF(UPPER(TRIM(AE156))=IFERROR(INDEX(Key!$C$2:$C$263,MATCH($D156*100+19,Key!$G$2:$G$263,0)),"#"),1,0))</f>
        <v/>
      </c>
      <c r="BK156">
        <f>IF(OR($D156="",AF156="",20&gt;$F156),0,IF(UPPER(TRIM(AF156))=IFERROR(INDEX(Key!$C$2:$C$263,MATCH($D156*100+20,Key!$G$2:$G$263,0)),"#"),1,0))</f>
        <v/>
      </c>
      <c r="BL156">
        <f>IF(OR($D156="",AG156="",21&gt;$F156),0,IF(UPPER(TRIM(AG156))=IFERROR(INDEX(Key!$C$2:$C$263,MATCH($D156*100+21,Key!$G$2:$G$263,0)),"#"),1,0))</f>
        <v/>
      </c>
      <c r="BM156">
        <f>IF(OR($D156="",AH156="",22&gt;$F156),0,IF(UPPER(TRIM(AH156))=IFERROR(INDEX(Key!$C$2:$C$263,MATCH($D156*100+22,Key!$G$2:$G$263,0)),"#"),1,0))</f>
        <v/>
      </c>
      <c r="BN156">
        <f>IF(OR($D156="",AI156="",23&gt;$F156),0,IF(UPPER(TRIM(AI156))=IFERROR(INDEX(Key!$C$2:$C$263,MATCH($D156*100+23,Key!$G$2:$G$263,0)),"#"),1,0))</f>
        <v/>
      </c>
      <c r="BO156">
        <f>IF(OR($D156="",AJ156="",24&gt;$F156),0,IF(UPPER(TRIM(AJ156))=IFERROR(INDEX(Key!$C$2:$C$263,MATCH($D156*100+24,Key!$G$2:$G$263,0)),"#"),1,0))</f>
        <v/>
      </c>
      <c r="BP156">
        <f>IF(OR($D156="",AK156="",25&gt;$F156),0,IF(UPPER(TRIM(AK156))=IFERROR(INDEX(Key!$C$2:$C$263,MATCH($D156*100+25,Key!$G$2:$G$263,0)),"#"),1,0))</f>
        <v/>
      </c>
      <c r="BQ156">
        <f>IF(OR($D156="",AL156="",26&gt;$F156),0,IF(UPPER(TRIM(AL156))=IFERROR(INDEX(Key!$C$2:$C$263,MATCH($D156*100+26,Key!$G$2:$G$263,0)),"#"),1,0))</f>
        <v/>
      </c>
      <c r="BR156">
        <f>IF(OR($D156="",AM156="",27&gt;$F156),0,IF(UPPER(TRIM(AM156))=IFERROR(INDEX(Key!$C$2:$C$263,MATCH($D156*100+27,Key!$G$2:$G$263,0)),"#"),1,0))</f>
        <v/>
      </c>
      <c r="BS156">
        <f>IF(OR($D156="",AN156="",28&gt;$F156),0,IF(UPPER(TRIM(AN156))=IFERROR(INDEX(Key!$C$2:$C$263,MATCH($D156*100+28,Key!$G$2:$G$263,0)),"#"),1,0))</f>
        <v/>
      </c>
      <c r="BT156">
        <f>IF(OR($D156="",AO156="",29&gt;$F156),0,IF(UPPER(TRIM(AO156))=IFERROR(INDEX(Key!$C$2:$C$263,MATCH($D156*100+29,Key!$G$2:$G$263,0)),"#"),1,0))</f>
        <v/>
      </c>
      <c r="BU156">
        <f>IF(OR($D156="",AP156="",30&gt;$F156),0,IF(UPPER(TRIM(AP156))=IFERROR(INDEX(Key!$C$2:$C$263,MATCH($D156*100+30,Key!$G$2:$G$263,0)),"#"),1,0))</f>
        <v/>
      </c>
    </row>
    <row r="157">
      <c r="A157" s="6" t="n"/>
      <c r="B157" s="6" t="n"/>
      <c r="C157" s="6" t="n"/>
      <c r="D157" s="6" t="n"/>
      <c r="E157" s="7">
        <f>IF($D157="","",IFERROR(INDEX(Papers!$B$2:$B$12,MATCH($D157,Papers!$A$2:$A$12,0)),"?"))</f>
        <v/>
      </c>
      <c r="F157" s="7">
        <f>IF($D157="","",IFERROR(INDEX(Papers!$C$2:$C$12,MATCH($D157,Papers!$A$2:$A$12,0)),0))</f>
        <v/>
      </c>
      <c r="G157" s="7">
        <f>IF($D157="","",COUNTIF(M157:AP157,"?*"))</f>
        <v/>
      </c>
      <c r="H157" s="7">
        <f>IF($D157="","",SUM(AR157:BU157))</f>
        <v/>
      </c>
      <c r="I157" s="7">
        <f>IF($D157="","",G157-H157)</f>
        <v/>
      </c>
      <c r="J157" s="7">
        <f>IF($D157="","",F157-G157)</f>
        <v/>
      </c>
      <c r="K157" s="7">
        <f>IF($D157="","",H157)</f>
        <v/>
      </c>
      <c r="L157" s="7">
        <f>IF($D157="","",IF(F157=0,"",ROUND(H157/F157*100,1)))</f>
        <v/>
      </c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R157">
        <f>IF(OR($D157="",M157="",1&gt;$F157),0,IF(UPPER(TRIM(M157))=IFERROR(INDEX(Key!$C$2:$C$263,MATCH($D157*100+1,Key!$G$2:$G$263,0)),"#"),1,0))</f>
        <v/>
      </c>
      <c r="AS157">
        <f>IF(OR($D157="",N157="",2&gt;$F157),0,IF(UPPER(TRIM(N157))=IFERROR(INDEX(Key!$C$2:$C$263,MATCH($D157*100+2,Key!$G$2:$G$263,0)),"#"),1,0))</f>
        <v/>
      </c>
      <c r="AT157">
        <f>IF(OR($D157="",O157="",3&gt;$F157),0,IF(UPPER(TRIM(O157))=IFERROR(INDEX(Key!$C$2:$C$263,MATCH($D157*100+3,Key!$G$2:$G$263,0)),"#"),1,0))</f>
        <v/>
      </c>
      <c r="AU157">
        <f>IF(OR($D157="",P157="",4&gt;$F157),0,IF(UPPER(TRIM(P157))=IFERROR(INDEX(Key!$C$2:$C$263,MATCH($D157*100+4,Key!$G$2:$G$263,0)),"#"),1,0))</f>
        <v/>
      </c>
      <c r="AV157">
        <f>IF(OR($D157="",Q157="",5&gt;$F157),0,IF(UPPER(TRIM(Q157))=IFERROR(INDEX(Key!$C$2:$C$263,MATCH($D157*100+5,Key!$G$2:$G$263,0)),"#"),1,0))</f>
        <v/>
      </c>
      <c r="AW157">
        <f>IF(OR($D157="",R157="",6&gt;$F157),0,IF(UPPER(TRIM(R157))=IFERROR(INDEX(Key!$C$2:$C$263,MATCH($D157*100+6,Key!$G$2:$G$263,0)),"#"),1,0))</f>
        <v/>
      </c>
      <c r="AX157">
        <f>IF(OR($D157="",S157="",7&gt;$F157),0,IF(UPPER(TRIM(S157))=IFERROR(INDEX(Key!$C$2:$C$263,MATCH($D157*100+7,Key!$G$2:$G$263,0)),"#"),1,0))</f>
        <v/>
      </c>
      <c r="AY157">
        <f>IF(OR($D157="",T157="",8&gt;$F157),0,IF(UPPER(TRIM(T157))=IFERROR(INDEX(Key!$C$2:$C$263,MATCH($D157*100+8,Key!$G$2:$G$263,0)),"#"),1,0))</f>
        <v/>
      </c>
      <c r="AZ157">
        <f>IF(OR($D157="",U157="",9&gt;$F157),0,IF(UPPER(TRIM(U157))=IFERROR(INDEX(Key!$C$2:$C$263,MATCH($D157*100+9,Key!$G$2:$G$263,0)),"#"),1,0))</f>
        <v/>
      </c>
      <c r="BA157">
        <f>IF(OR($D157="",V157="",10&gt;$F157),0,IF(UPPER(TRIM(V157))=IFERROR(INDEX(Key!$C$2:$C$263,MATCH($D157*100+10,Key!$G$2:$G$263,0)),"#"),1,0))</f>
        <v/>
      </c>
      <c r="BB157">
        <f>IF(OR($D157="",W157="",11&gt;$F157),0,IF(UPPER(TRIM(W157))=IFERROR(INDEX(Key!$C$2:$C$263,MATCH($D157*100+11,Key!$G$2:$G$263,0)),"#"),1,0))</f>
        <v/>
      </c>
      <c r="BC157">
        <f>IF(OR($D157="",X157="",12&gt;$F157),0,IF(UPPER(TRIM(X157))=IFERROR(INDEX(Key!$C$2:$C$263,MATCH($D157*100+12,Key!$G$2:$G$263,0)),"#"),1,0))</f>
        <v/>
      </c>
      <c r="BD157">
        <f>IF(OR($D157="",Y157="",13&gt;$F157),0,IF(UPPER(TRIM(Y157))=IFERROR(INDEX(Key!$C$2:$C$263,MATCH($D157*100+13,Key!$G$2:$G$263,0)),"#"),1,0))</f>
        <v/>
      </c>
      <c r="BE157">
        <f>IF(OR($D157="",Z157="",14&gt;$F157),0,IF(UPPER(TRIM(Z157))=IFERROR(INDEX(Key!$C$2:$C$263,MATCH($D157*100+14,Key!$G$2:$G$263,0)),"#"),1,0))</f>
        <v/>
      </c>
      <c r="BF157">
        <f>IF(OR($D157="",AA157="",15&gt;$F157),0,IF(UPPER(TRIM(AA157))=IFERROR(INDEX(Key!$C$2:$C$263,MATCH($D157*100+15,Key!$G$2:$G$263,0)),"#"),1,0))</f>
        <v/>
      </c>
      <c r="BG157">
        <f>IF(OR($D157="",AB157="",16&gt;$F157),0,IF(UPPER(TRIM(AB157))=IFERROR(INDEX(Key!$C$2:$C$263,MATCH($D157*100+16,Key!$G$2:$G$263,0)),"#"),1,0))</f>
        <v/>
      </c>
      <c r="BH157">
        <f>IF(OR($D157="",AC157="",17&gt;$F157),0,IF(UPPER(TRIM(AC157))=IFERROR(INDEX(Key!$C$2:$C$263,MATCH($D157*100+17,Key!$G$2:$G$263,0)),"#"),1,0))</f>
        <v/>
      </c>
      <c r="BI157">
        <f>IF(OR($D157="",AD157="",18&gt;$F157),0,IF(UPPER(TRIM(AD157))=IFERROR(INDEX(Key!$C$2:$C$263,MATCH($D157*100+18,Key!$G$2:$G$263,0)),"#"),1,0))</f>
        <v/>
      </c>
      <c r="BJ157">
        <f>IF(OR($D157="",AE157="",19&gt;$F157),0,IF(UPPER(TRIM(AE157))=IFERROR(INDEX(Key!$C$2:$C$263,MATCH($D157*100+19,Key!$G$2:$G$263,0)),"#"),1,0))</f>
        <v/>
      </c>
      <c r="BK157">
        <f>IF(OR($D157="",AF157="",20&gt;$F157),0,IF(UPPER(TRIM(AF157))=IFERROR(INDEX(Key!$C$2:$C$263,MATCH($D157*100+20,Key!$G$2:$G$263,0)),"#"),1,0))</f>
        <v/>
      </c>
      <c r="BL157">
        <f>IF(OR($D157="",AG157="",21&gt;$F157),0,IF(UPPER(TRIM(AG157))=IFERROR(INDEX(Key!$C$2:$C$263,MATCH($D157*100+21,Key!$G$2:$G$263,0)),"#"),1,0))</f>
        <v/>
      </c>
      <c r="BM157">
        <f>IF(OR($D157="",AH157="",22&gt;$F157),0,IF(UPPER(TRIM(AH157))=IFERROR(INDEX(Key!$C$2:$C$263,MATCH($D157*100+22,Key!$G$2:$G$263,0)),"#"),1,0))</f>
        <v/>
      </c>
      <c r="BN157">
        <f>IF(OR($D157="",AI157="",23&gt;$F157),0,IF(UPPER(TRIM(AI157))=IFERROR(INDEX(Key!$C$2:$C$263,MATCH($D157*100+23,Key!$G$2:$G$263,0)),"#"),1,0))</f>
        <v/>
      </c>
      <c r="BO157">
        <f>IF(OR($D157="",AJ157="",24&gt;$F157),0,IF(UPPER(TRIM(AJ157))=IFERROR(INDEX(Key!$C$2:$C$263,MATCH($D157*100+24,Key!$G$2:$G$263,0)),"#"),1,0))</f>
        <v/>
      </c>
      <c r="BP157">
        <f>IF(OR($D157="",AK157="",25&gt;$F157),0,IF(UPPER(TRIM(AK157))=IFERROR(INDEX(Key!$C$2:$C$263,MATCH($D157*100+25,Key!$G$2:$G$263,0)),"#"),1,0))</f>
        <v/>
      </c>
      <c r="BQ157">
        <f>IF(OR($D157="",AL157="",26&gt;$F157),0,IF(UPPER(TRIM(AL157))=IFERROR(INDEX(Key!$C$2:$C$263,MATCH($D157*100+26,Key!$G$2:$G$263,0)),"#"),1,0))</f>
        <v/>
      </c>
      <c r="BR157">
        <f>IF(OR($D157="",AM157="",27&gt;$F157),0,IF(UPPER(TRIM(AM157))=IFERROR(INDEX(Key!$C$2:$C$263,MATCH($D157*100+27,Key!$G$2:$G$263,0)),"#"),1,0))</f>
        <v/>
      </c>
      <c r="BS157">
        <f>IF(OR($D157="",AN157="",28&gt;$F157),0,IF(UPPER(TRIM(AN157))=IFERROR(INDEX(Key!$C$2:$C$263,MATCH($D157*100+28,Key!$G$2:$G$263,0)),"#"),1,0))</f>
        <v/>
      </c>
      <c r="BT157">
        <f>IF(OR($D157="",AO157="",29&gt;$F157),0,IF(UPPER(TRIM(AO157))=IFERROR(INDEX(Key!$C$2:$C$263,MATCH($D157*100+29,Key!$G$2:$G$263,0)),"#"),1,0))</f>
        <v/>
      </c>
      <c r="BU157">
        <f>IF(OR($D157="",AP157="",30&gt;$F157),0,IF(UPPER(TRIM(AP157))=IFERROR(INDEX(Key!$C$2:$C$263,MATCH($D157*100+30,Key!$G$2:$G$263,0)),"#"),1,0))</f>
        <v/>
      </c>
    </row>
    <row r="158">
      <c r="A158" s="6" t="n"/>
      <c r="B158" s="6" t="n"/>
      <c r="C158" s="6" t="n"/>
      <c r="D158" s="6" t="n"/>
      <c r="E158" s="7">
        <f>IF($D158="","",IFERROR(INDEX(Papers!$B$2:$B$12,MATCH($D158,Papers!$A$2:$A$12,0)),"?"))</f>
        <v/>
      </c>
      <c r="F158" s="7">
        <f>IF($D158="","",IFERROR(INDEX(Papers!$C$2:$C$12,MATCH($D158,Papers!$A$2:$A$12,0)),0))</f>
        <v/>
      </c>
      <c r="G158" s="7">
        <f>IF($D158="","",COUNTIF(M158:AP158,"?*"))</f>
        <v/>
      </c>
      <c r="H158" s="7">
        <f>IF($D158="","",SUM(AR158:BU158))</f>
        <v/>
      </c>
      <c r="I158" s="7">
        <f>IF($D158="","",G158-H158)</f>
        <v/>
      </c>
      <c r="J158" s="7">
        <f>IF($D158="","",F158-G158)</f>
        <v/>
      </c>
      <c r="K158" s="7">
        <f>IF($D158="","",H158)</f>
        <v/>
      </c>
      <c r="L158" s="7">
        <f>IF($D158="","",IF(F158=0,"",ROUND(H158/F158*100,1)))</f>
        <v/>
      </c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R158">
        <f>IF(OR($D158="",M158="",1&gt;$F158),0,IF(UPPER(TRIM(M158))=IFERROR(INDEX(Key!$C$2:$C$263,MATCH($D158*100+1,Key!$G$2:$G$263,0)),"#"),1,0))</f>
        <v/>
      </c>
      <c r="AS158">
        <f>IF(OR($D158="",N158="",2&gt;$F158),0,IF(UPPER(TRIM(N158))=IFERROR(INDEX(Key!$C$2:$C$263,MATCH($D158*100+2,Key!$G$2:$G$263,0)),"#"),1,0))</f>
        <v/>
      </c>
      <c r="AT158">
        <f>IF(OR($D158="",O158="",3&gt;$F158),0,IF(UPPER(TRIM(O158))=IFERROR(INDEX(Key!$C$2:$C$263,MATCH($D158*100+3,Key!$G$2:$G$263,0)),"#"),1,0))</f>
        <v/>
      </c>
      <c r="AU158">
        <f>IF(OR($D158="",P158="",4&gt;$F158),0,IF(UPPER(TRIM(P158))=IFERROR(INDEX(Key!$C$2:$C$263,MATCH($D158*100+4,Key!$G$2:$G$263,0)),"#"),1,0))</f>
        <v/>
      </c>
      <c r="AV158">
        <f>IF(OR($D158="",Q158="",5&gt;$F158),0,IF(UPPER(TRIM(Q158))=IFERROR(INDEX(Key!$C$2:$C$263,MATCH($D158*100+5,Key!$G$2:$G$263,0)),"#"),1,0))</f>
        <v/>
      </c>
      <c r="AW158">
        <f>IF(OR($D158="",R158="",6&gt;$F158),0,IF(UPPER(TRIM(R158))=IFERROR(INDEX(Key!$C$2:$C$263,MATCH($D158*100+6,Key!$G$2:$G$263,0)),"#"),1,0))</f>
        <v/>
      </c>
      <c r="AX158">
        <f>IF(OR($D158="",S158="",7&gt;$F158),0,IF(UPPER(TRIM(S158))=IFERROR(INDEX(Key!$C$2:$C$263,MATCH($D158*100+7,Key!$G$2:$G$263,0)),"#"),1,0))</f>
        <v/>
      </c>
      <c r="AY158">
        <f>IF(OR($D158="",T158="",8&gt;$F158),0,IF(UPPER(TRIM(T158))=IFERROR(INDEX(Key!$C$2:$C$263,MATCH($D158*100+8,Key!$G$2:$G$263,0)),"#"),1,0))</f>
        <v/>
      </c>
      <c r="AZ158">
        <f>IF(OR($D158="",U158="",9&gt;$F158),0,IF(UPPER(TRIM(U158))=IFERROR(INDEX(Key!$C$2:$C$263,MATCH($D158*100+9,Key!$G$2:$G$263,0)),"#"),1,0))</f>
        <v/>
      </c>
      <c r="BA158">
        <f>IF(OR($D158="",V158="",10&gt;$F158),0,IF(UPPER(TRIM(V158))=IFERROR(INDEX(Key!$C$2:$C$263,MATCH($D158*100+10,Key!$G$2:$G$263,0)),"#"),1,0))</f>
        <v/>
      </c>
      <c r="BB158">
        <f>IF(OR($D158="",W158="",11&gt;$F158),0,IF(UPPER(TRIM(W158))=IFERROR(INDEX(Key!$C$2:$C$263,MATCH($D158*100+11,Key!$G$2:$G$263,0)),"#"),1,0))</f>
        <v/>
      </c>
      <c r="BC158">
        <f>IF(OR($D158="",X158="",12&gt;$F158),0,IF(UPPER(TRIM(X158))=IFERROR(INDEX(Key!$C$2:$C$263,MATCH($D158*100+12,Key!$G$2:$G$263,0)),"#"),1,0))</f>
        <v/>
      </c>
      <c r="BD158">
        <f>IF(OR($D158="",Y158="",13&gt;$F158),0,IF(UPPER(TRIM(Y158))=IFERROR(INDEX(Key!$C$2:$C$263,MATCH($D158*100+13,Key!$G$2:$G$263,0)),"#"),1,0))</f>
        <v/>
      </c>
      <c r="BE158">
        <f>IF(OR($D158="",Z158="",14&gt;$F158),0,IF(UPPER(TRIM(Z158))=IFERROR(INDEX(Key!$C$2:$C$263,MATCH($D158*100+14,Key!$G$2:$G$263,0)),"#"),1,0))</f>
        <v/>
      </c>
      <c r="BF158">
        <f>IF(OR($D158="",AA158="",15&gt;$F158),0,IF(UPPER(TRIM(AA158))=IFERROR(INDEX(Key!$C$2:$C$263,MATCH($D158*100+15,Key!$G$2:$G$263,0)),"#"),1,0))</f>
        <v/>
      </c>
      <c r="BG158">
        <f>IF(OR($D158="",AB158="",16&gt;$F158),0,IF(UPPER(TRIM(AB158))=IFERROR(INDEX(Key!$C$2:$C$263,MATCH($D158*100+16,Key!$G$2:$G$263,0)),"#"),1,0))</f>
        <v/>
      </c>
      <c r="BH158">
        <f>IF(OR($D158="",AC158="",17&gt;$F158),0,IF(UPPER(TRIM(AC158))=IFERROR(INDEX(Key!$C$2:$C$263,MATCH($D158*100+17,Key!$G$2:$G$263,0)),"#"),1,0))</f>
        <v/>
      </c>
      <c r="BI158">
        <f>IF(OR($D158="",AD158="",18&gt;$F158),0,IF(UPPER(TRIM(AD158))=IFERROR(INDEX(Key!$C$2:$C$263,MATCH($D158*100+18,Key!$G$2:$G$263,0)),"#"),1,0))</f>
        <v/>
      </c>
      <c r="BJ158">
        <f>IF(OR($D158="",AE158="",19&gt;$F158),0,IF(UPPER(TRIM(AE158))=IFERROR(INDEX(Key!$C$2:$C$263,MATCH($D158*100+19,Key!$G$2:$G$263,0)),"#"),1,0))</f>
        <v/>
      </c>
      <c r="BK158">
        <f>IF(OR($D158="",AF158="",20&gt;$F158),0,IF(UPPER(TRIM(AF158))=IFERROR(INDEX(Key!$C$2:$C$263,MATCH($D158*100+20,Key!$G$2:$G$263,0)),"#"),1,0))</f>
        <v/>
      </c>
      <c r="BL158">
        <f>IF(OR($D158="",AG158="",21&gt;$F158),0,IF(UPPER(TRIM(AG158))=IFERROR(INDEX(Key!$C$2:$C$263,MATCH($D158*100+21,Key!$G$2:$G$263,0)),"#"),1,0))</f>
        <v/>
      </c>
      <c r="BM158">
        <f>IF(OR($D158="",AH158="",22&gt;$F158),0,IF(UPPER(TRIM(AH158))=IFERROR(INDEX(Key!$C$2:$C$263,MATCH($D158*100+22,Key!$G$2:$G$263,0)),"#"),1,0))</f>
        <v/>
      </c>
      <c r="BN158">
        <f>IF(OR($D158="",AI158="",23&gt;$F158),0,IF(UPPER(TRIM(AI158))=IFERROR(INDEX(Key!$C$2:$C$263,MATCH($D158*100+23,Key!$G$2:$G$263,0)),"#"),1,0))</f>
        <v/>
      </c>
      <c r="BO158">
        <f>IF(OR($D158="",AJ158="",24&gt;$F158),0,IF(UPPER(TRIM(AJ158))=IFERROR(INDEX(Key!$C$2:$C$263,MATCH($D158*100+24,Key!$G$2:$G$263,0)),"#"),1,0))</f>
        <v/>
      </c>
      <c r="BP158">
        <f>IF(OR($D158="",AK158="",25&gt;$F158),0,IF(UPPER(TRIM(AK158))=IFERROR(INDEX(Key!$C$2:$C$263,MATCH($D158*100+25,Key!$G$2:$G$263,0)),"#"),1,0))</f>
        <v/>
      </c>
      <c r="BQ158">
        <f>IF(OR($D158="",AL158="",26&gt;$F158),0,IF(UPPER(TRIM(AL158))=IFERROR(INDEX(Key!$C$2:$C$263,MATCH($D158*100+26,Key!$G$2:$G$263,0)),"#"),1,0))</f>
        <v/>
      </c>
      <c r="BR158">
        <f>IF(OR($D158="",AM158="",27&gt;$F158),0,IF(UPPER(TRIM(AM158))=IFERROR(INDEX(Key!$C$2:$C$263,MATCH($D158*100+27,Key!$G$2:$G$263,0)),"#"),1,0))</f>
        <v/>
      </c>
      <c r="BS158">
        <f>IF(OR($D158="",AN158="",28&gt;$F158),0,IF(UPPER(TRIM(AN158))=IFERROR(INDEX(Key!$C$2:$C$263,MATCH($D158*100+28,Key!$G$2:$G$263,0)),"#"),1,0))</f>
        <v/>
      </c>
      <c r="BT158">
        <f>IF(OR($D158="",AO158="",29&gt;$F158),0,IF(UPPER(TRIM(AO158))=IFERROR(INDEX(Key!$C$2:$C$263,MATCH($D158*100+29,Key!$G$2:$G$263,0)),"#"),1,0))</f>
        <v/>
      </c>
      <c r="BU158">
        <f>IF(OR($D158="",AP158="",30&gt;$F158),0,IF(UPPER(TRIM(AP158))=IFERROR(INDEX(Key!$C$2:$C$263,MATCH($D158*100+30,Key!$G$2:$G$263,0)),"#"),1,0))</f>
        <v/>
      </c>
    </row>
    <row r="159">
      <c r="A159" s="6" t="n"/>
      <c r="B159" s="6" t="n"/>
      <c r="C159" s="6" t="n"/>
      <c r="D159" s="6" t="n"/>
      <c r="E159" s="7">
        <f>IF($D159="","",IFERROR(INDEX(Papers!$B$2:$B$12,MATCH($D159,Papers!$A$2:$A$12,0)),"?"))</f>
        <v/>
      </c>
      <c r="F159" s="7">
        <f>IF($D159="","",IFERROR(INDEX(Papers!$C$2:$C$12,MATCH($D159,Papers!$A$2:$A$12,0)),0))</f>
        <v/>
      </c>
      <c r="G159" s="7">
        <f>IF($D159="","",COUNTIF(M159:AP159,"?*"))</f>
        <v/>
      </c>
      <c r="H159" s="7">
        <f>IF($D159="","",SUM(AR159:BU159))</f>
        <v/>
      </c>
      <c r="I159" s="7">
        <f>IF($D159="","",G159-H159)</f>
        <v/>
      </c>
      <c r="J159" s="7">
        <f>IF($D159="","",F159-G159)</f>
        <v/>
      </c>
      <c r="K159" s="7">
        <f>IF($D159="","",H159)</f>
        <v/>
      </c>
      <c r="L159" s="7">
        <f>IF($D159="","",IF(F159=0,"",ROUND(H159/F159*100,1)))</f>
        <v/>
      </c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R159">
        <f>IF(OR($D159="",M159="",1&gt;$F159),0,IF(UPPER(TRIM(M159))=IFERROR(INDEX(Key!$C$2:$C$263,MATCH($D159*100+1,Key!$G$2:$G$263,0)),"#"),1,0))</f>
        <v/>
      </c>
      <c r="AS159">
        <f>IF(OR($D159="",N159="",2&gt;$F159),0,IF(UPPER(TRIM(N159))=IFERROR(INDEX(Key!$C$2:$C$263,MATCH($D159*100+2,Key!$G$2:$G$263,0)),"#"),1,0))</f>
        <v/>
      </c>
      <c r="AT159">
        <f>IF(OR($D159="",O159="",3&gt;$F159),0,IF(UPPER(TRIM(O159))=IFERROR(INDEX(Key!$C$2:$C$263,MATCH($D159*100+3,Key!$G$2:$G$263,0)),"#"),1,0))</f>
        <v/>
      </c>
      <c r="AU159">
        <f>IF(OR($D159="",P159="",4&gt;$F159),0,IF(UPPER(TRIM(P159))=IFERROR(INDEX(Key!$C$2:$C$263,MATCH($D159*100+4,Key!$G$2:$G$263,0)),"#"),1,0))</f>
        <v/>
      </c>
      <c r="AV159">
        <f>IF(OR($D159="",Q159="",5&gt;$F159),0,IF(UPPER(TRIM(Q159))=IFERROR(INDEX(Key!$C$2:$C$263,MATCH($D159*100+5,Key!$G$2:$G$263,0)),"#"),1,0))</f>
        <v/>
      </c>
      <c r="AW159">
        <f>IF(OR($D159="",R159="",6&gt;$F159),0,IF(UPPER(TRIM(R159))=IFERROR(INDEX(Key!$C$2:$C$263,MATCH($D159*100+6,Key!$G$2:$G$263,0)),"#"),1,0))</f>
        <v/>
      </c>
      <c r="AX159">
        <f>IF(OR($D159="",S159="",7&gt;$F159),0,IF(UPPER(TRIM(S159))=IFERROR(INDEX(Key!$C$2:$C$263,MATCH($D159*100+7,Key!$G$2:$G$263,0)),"#"),1,0))</f>
        <v/>
      </c>
      <c r="AY159">
        <f>IF(OR($D159="",T159="",8&gt;$F159),0,IF(UPPER(TRIM(T159))=IFERROR(INDEX(Key!$C$2:$C$263,MATCH($D159*100+8,Key!$G$2:$G$263,0)),"#"),1,0))</f>
        <v/>
      </c>
      <c r="AZ159">
        <f>IF(OR($D159="",U159="",9&gt;$F159),0,IF(UPPER(TRIM(U159))=IFERROR(INDEX(Key!$C$2:$C$263,MATCH($D159*100+9,Key!$G$2:$G$263,0)),"#"),1,0))</f>
        <v/>
      </c>
      <c r="BA159">
        <f>IF(OR($D159="",V159="",10&gt;$F159),0,IF(UPPER(TRIM(V159))=IFERROR(INDEX(Key!$C$2:$C$263,MATCH($D159*100+10,Key!$G$2:$G$263,0)),"#"),1,0))</f>
        <v/>
      </c>
      <c r="BB159">
        <f>IF(OR($D159="",W159="",11&gt;$F159),0,IF(UPPER(TRIM(W159))=IFERROR(INDEX(Key!$C$2:$C$263,MATCH($D159*100+11,Key!$G$2:$G$263,0)),"#"),1,0))</f>
        <v/>
      </c>
      <c r="BC159">
        <f>IF(OR($D159="",X159="",12&gt;$F159),0,IF(UPPER(TRIM(X159))=IFERROR(INDEX(Key!$C$2:$C$263,MATCH($D159*100+12,Key!$G$2:$G$263,0)),"#"),1,0))</f>
        <v/>
      </c>
      <c r="BD159">
        <f>IF(OR($D159="",Y159="",13&gt;$F159),0,IF(UPPER(TRIM(Y159))=IFERROR(INDEX(Key!$C$2:$C$263,MATCH($D159*100+13,Key!$G$2:$G$263,0)),"#"),1,0))</f>
        <v/>
      </c>
      <c r="BE159">
        <f>IF(OR($D159="",Z159="",14&gt;$F159),0,IF(UPPER(TRIM(Z159))=IFERROR(INDEX(Key!$C$2:$C$263,MATCH($D159*100+14,Key!$G$2:$G$263,0)),"#"),1,0))</f>
        <v/>
      </c>
      <c r="BF159">
        <f>IF(OR($D159="",AA159="",15&gt;$F159),0,IF(UPPER(TRIM(AA159))=IFERROR(INDEX(Key!$C$2:$C$263,MATCH($D159*100+15,Key!$G$2:$G$263,0)),"#"),1,0))</f>
        <v/>
      </c>
      <c r="BG159">
        <f>IF(OR($D159="",AB159="",16&gt;$F159),0,IF(UPPER(TRIM(AB159))=IFERROR(INDEX(Key!$C$2:$C$263,MATCH($D159*100+16,Key!$G$2:$G$263,0)),"#"),1,0))</f>
        <v/>
      </c>
      <c r="BH159">
        <f>IF(OR($D159="",AC159="",17&gt;$F159),0,IF(UPPER(TRIM(AC159))=IFERROR(INDEX(Key!$C$2:$C$263,MATCH($D159*100+17,Key!$G$2:$G$263,0)),"#"),1,0))</f>
        <v/>
      </c>
      <c r="BI159">
        <f>IF(OR($D159="",AD159="",18&gt;$F159),0,IF(UPPER(TRIM(AD159))=IFERROR(INDEX(Key!$C$2:$C$263,MATCH($D159*100+18,Key!$G$2:$G$263,0)),"#"),1,0))</f>
        <v/>
      </c>
      <c r="BJ159">
        <f>IF(OR($D159="",AE159="",19&gt;$F159),0,IF(UPPER(TRIM(AE159))=IFERROR(INDEX(Key!$C$2:$C$263,MATCH($D159*100+19,Key!$G$2:$G$263,0)),"#"),1,0))</f>
        <v/>
      </c>
      <c r="BK159">
        <f>IF(OR($D159="",AF159="",20&gt;$F159),0,IF(UPPER(TRIM(AF159))=IFERROR(INDEX(Key!$C$2:$C$263,MATCH($D159*100+20,Key!$G$2:$G$263,0)),"#"),1,0))</f>
        <v/>
      </c>
      <c r="BL159">
        <f>IF(OR($D159="",AG159="",21&gt;$F159),0,IF(UPPER(TRIM(AG159))=IFERROR(INDEX(Key!$C$2:$C$263,MATCH($D159*100+21,Key!$G$2:$G$263,0)),"#"),1,0))</f>
        <v/>
      </c>
      <c r="BM159">
        <f>IF(OR($D159="",AH159="",22&gt;$F159),0,IF(UPPER(TRIM(AH159))=IFERROR(INDEX(Key!$C$2:$C$263,MATCH($D159*100+22,Key!$G$2:$G$263,0)),"#"),1,0))</f>
        <v/>
      </c>
      <c r="BN159">
        <f>IF(OR($D159="",AI159="",23&gt;$F159),0,IF(UPPER(TRIM(AI159))=IFERROR(INDEX(Key!$C$2:$C$263,MATCH($D159*100+23,Key!$G$2:$G$263,0)),"#"),1,0))</f>
        <v/>
      </c>
      <c r="BO159">
        <f>IF(OR($D159="",AJ159="",24&gt;$F159),0,IF(UPPER(TRIM(AJ159))=IFERROR(INDEX(Key!$C$2:$C$263,MATCH($D159*100+24,Key!$G$2:$G$263,0)),"#"),1,0))</f>
        <v/>
      </c>
      <c r="BP159">
        <f>IF(OR($D159="",AK159="",25&gt;$F159),0,IF(UPPER(TRIM(AK159))=IFERROR(INDEX(Key!$C$2:$C$263,MATCH($D159*100+25,Key!$G$2:$G$263,0)),"#"),1,0))</f>
        <v/>
      </c>
      <c r="BQ159">
        <f>IF(OR($D159="",AL159="",26&gt;$F159),0,IF(UPPER(TRIM(AL159))=IFERROR(INDEX(Key!$C$2:$C$263,MATCH($D159*100+26,Key!$G$2:$G$263,0)),"#"),1,0))</f>
        <v/>
      </c>
      <c r="BR159">
        <f>IF(OR($D159="",AM159="",27&gt;$F159),0,IF(UPPER(TRIM(AM159))=IFERROR(INDEX(Key!$C$2:$C$263,MATCH($D159*100+27,Key!$G$2:$G$263,0)),"#"),1,0))</f>
        <v/>
      </c>
      <c r="BS159">
        <f>IF(OR($D159="",AN159="",28&gt;$F159),0,IF(UPPER(TRIM(AN159))=IFERROR(INDEX(Key!$C$2:$C$263,MATCH($D159*100+28,Key!$G$2:$G$263,0)),"#"),1,0))</f>
        <v/>
      </c>
      <c r="BT159">
        <f>IF(OR($D159="",AO159="",29&gt;$F159),0,IF(UPPER(TRIM(AO159))=IFERROR(INDEX(Key!$C$2:$C$263,MATCH($D159*100+29,Key!$G$2:$G$263,0)),"#"),1,0))</f>
        <v/>
      </c>
      <c r="BU159">
        <f>IF(OR($D159="",AP159="",30&gt;$F159),0,IF(UPPER(TRIM(AP159))=IFERROR(INDEX(Key!$C$2:$C$263,MATCH($D159*100+30,Key!$G$2:$G$263,0)),"#"),1,0))</f>
        <v/>
      </c>
    </row>
    <row r="160">
      <c r="A160" s="6" t="n"/>
      <c r="B160" s="6" t="n"/>
      <c r="C160" s="6" t="n"/>
      <c r="D160" s="6" t="n"/>
      <c r="E160" s="7">
        <f>IF($D160="","",IFERROR(INDEX(Papers!$B$2:$B$12,MATCH($D160,Papers!$A$2:$A$12,0)),"?"))</f>
        <v/>
      </c>
      <c r="F160" s="7">
        <f>IF($D160="","",IFERROR(INDEX(Papers!$C$2:$C$12,MATCH($D160,Papers!$A$2:$A$12,0)),0))</f>
        <v/>
      </c>
      <c r="G160" s="7">
        <f>IF($D160="","",COUNTIF(M160:AP160,"?*"))</f>
        <v/>
      </c>
      <c r="H160" s="7">
        <f>IF($D160="","",SUM(AR160:BU160))</f>
        <v/>
      </c>
      <c r="I160" s="7">
        <f>IF($D160="","",G160-H160)</f>
        <v/>
      </c>
      <c r="J160" s="7">
        <f>IF($D160="","",F160-G160)</f>
        <v/>
      </c>
      <c r="K160" s="7">
        <f>IF($D160="","",H160)</f>
        <v/>
      </c>
      <c r="L160" s="7">
        <f>IF($D160="","",IF(F160=0,"",ROUND(H160/F160*100,1)))</f>
        <v/>
      </c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R160">
        <f>IF(OR($D160="",M160="",1&gt;$F160),0,IF(UPPER(TRIM(M160))=IFERROR(INDEX(Key!$C$2:$C$263,MATCH($D160*100+1,Key!$G$2:$G$263,0)),"#"),1,0))</f>
        <v/>
      </c>
      <c r="AS160">
        <f>IF(OR($D160="",N160="",2&gt;$F160),0,IF(UPPER(TRIM(N160))=IFERROR(INDEX(Key!$C$2:$C$263,MATCH($D160*100+2,Key!$G$2:$G$263,0)),"#"),1,0))</f>
        <v/>
      </c>
      <c r="AT160">
        <f>IF(OR($D160="",O160="",3&gt;$F160),0,IF(UPPER(TRIM(O160))=IFERROR(INDEX(Key!$C$2:$C$263,MATCH($D160*100+3,Key!$G$2:$G$263,0)),"#"),1,0))</f>
        <v/>
      </c>
      <c r="AU160">
        <f>IF(OR($D160="",P160="",4&gt;$F160),0,IF(UPPER(TRIM(P160))=IFERROR(INDEX(Key!$C$2:$C$263,MATCH($D160*100+4,Key!$G$2:$G$263,0)),"#"),1,0))</f>
        <v/>
      </c>
      <c r="AV160">
        <f>IF(OR($D160="",Q160="",5&gt;$F160),0,IF(UPPER(TRIM(Q160))=IFERROR(INDEX(Key!$C$2:$C$263,MATCH($D160*100+5,Key!$G$2:$G$263,0)),"#"),1,0))</f>
        <v/>
      </c>
      <c r="AW160">
        <f>IF(OR($D160="",R160="",6&gt;$F160),0,IF(UPPER(TRIM(R160))=IFERROR(INDEX(Key!$C$2:$C$263,MATCH($D160*100+6,Key!$G$2:$G$263,0)),"#"),1,0))</f>
        <v/>
      </c>
      <c r="AX160">
        <f>IF(OR($D160="",S160="",7&gt;$F160),0,IF(UPPER(TRIM(S160))=IFERROR(INDEX(Key!$C$2:$C$263,MATCH($D160*100+7,Key!$G$2:$G$263,0)),"#"),1,0))</f>
        <v/>
      </c>
      <c r="AY160">
        <f>IF(OR($D160="",T160="",8&gt;$F160),0,IF(UPPER(TRIM(T160))=IFERROR(INDEX(Key!$C$2:$C$263,MATCH($D160*100+8,Key!$G$2:$G$263,0)),"#"),1,0))</f>
        <v/>
      </c>
      <c r="AZ160">
        <f>IF(OR($D160="",U160="",9&gt;$F160),0,IF(UPPER(TRIM(U160))=IFERROR(INDEX(Key!$C$2:$C$263,MATCH($D160*100+9,Key!$G$2:$G$263,0)),"#"),1,0))</f>
        <v/>
      </c>
      <c r="BA160">
        <f>IF(OR($D160="",V160="",10&gt;$F160),0,IF(UPPER(TRIM(V160))=IFERROR(INDEX(Key!$C$2:$C$263,MATCH($D160*100+10,Key!$G$2:$G$263,0)),"#"),1,0))</f>
        <v/>
      </c>
      <c r="BB160">
        <f>IF(OR($D160="",W160="",11&gt;$F160),0,IF(UPPER(TRIM(W160))=IFERROR(INDEX(Key!$C$2:$C$263,MATCH($D160*100+11,Key!$G$2:$G$263,0)),"#"),1,0))</f>
        <v/>
      </c>
      <c r="BC160">
        <f>IF(OR($D160="",X160="",12&gt;$F160),0,IF(UPPER(TRIM(X160))=IFERROR(INDEX(Key!$C$2:$C$263,MATCH($D160*100+12,Key!$G$2:$G$263,0)),"#"),1,0))</f>
        <v/>
      </c>
      <c r="BD160">
        <f>IF(OR($D160="",Y160="",13&gt;$F160),0,IF(UPPER(TRIM(Y160))=IFERROR(INDEX(Key!$C$2:$C$263,MATCH($D160*100+13,Key!$G$2:$G$263,0)),"#"),1,0))</f>
        <v/>
      </c>
      <c r="BE160">
        <f>IF(OR($D160="",Z160="",14&gt;$F160),0,IF(UPPER(TRIM(Z160))=IFERROR(INDEX(Key!$C$2:$C$263,MATCH($D160*100+14,Key!$G$2:$G$263,0)),"#"),1,0))</f>
        <v/>
      </c>
      <c r="BF160">
        <f>IF(OR($D160="",AA160="",15&gt;$F160),0,IF(UPPER(TRIM(AA160))=IFERROR(INDEX(Key!$C$2:$C$263,MATCH($D160*100+15,Key!$G$2:$G$263,0)),"#"),1,0))</f>
        <v/>
      </c>
      <c r="BG160">
        <f>IF(OR($D160="",AB160="",16&gt;$F160),0,IF(UPPER(TRIM(AB160))=IFERROR(INDEX(Key!$C$2:$C$263,MATCH($D160*100+16,Key!$G$2:$G$263,0)),"#"),1,0))</f>
        <v/>
      </c>
      <c r="BH160">
        <f>IF(OR($D160="",AC160="",17&gt;$F160),0,IF(UPPER(TRIM(AC160))=IFERROR(INDEX(Key!$C$2:$C$263,MATCH($D160*100+17,Key!$G$2:$G$263,0)),"#"),1,0))</f>
        <v/>
      </c>
      <c r="BI160">
        <f>IF(OR($D160="",AD160="",18&gt;$F160),0,IF(UPPER(TRIM(AD160))=IFERROR(INDEX(Key!$C$2:$C$263,MATCH($D160*100+18,Key!$G$2:$G$263,0)),"#"),1,0))</f>
        <v/>
      </c>
      <c r="BJ160">
        <f>IF(OR($D160="",AE160="",19&gt;$F160),0,IF(UPPER(TRIM(AE160))=IFERROR(INDEX(Key!$C$2:$C$263,MATCH($D160*100+19,Key!$G$2:$G$263,0)),"#"),1,0))</f>
        <v/>
      </c>
      <c r="BK160">
        <f>IF(OR($D160="",AF160="",20&gt;$F160),0,IF(UPPER(TRIM(AF160))=IFERROR(INDEX(Key!$C$2:$C$263,MATCH($D160*100+20,Key!$G$2:$G$263,0)),"#"),1,0))</f>
        <v/>
      </c>
      <c r="BL160">
        <f>IF(OR($D160="",AG160="",21&gt;$F160),0,IF(UPPER(TRIM(AG160))=IFERROR(INDEX(Key!$C$2:$C$263,MATCH($D160*100+21,Key!$G$2:$G$263,0)),"#"),1,0))</f>
        <v/>
      </c>
      <c r="BM160">
        <f>IF(OR($D160="",AH160="",22&gt;$F160),0,IF(UPPER(TRIM(AH160))=IFERROR(INDEX(Key!$C$2:$C$263,MATCH($D160*100+22,Key!$G$2:$G$263,0)),"#"),1,0))</f>
        <v/>
      </c>
      <c r="BN160">
        <f>IF(OR($D160="",AI160="",23&gt;$F160),0,IF(UPPER(TRIM(AI160))=IFERROR(INDEX(Key!$C$2:$C$263,MATCH($D160*100+23,Key!$G$2:$G$263,0)),"#"),1,0))</f>
        <v/>
      </c>
      <c r="BO160">
        <f>IF(OR($D160="",AJ160="",24&gt;$F160),0,IF(UPPER(TRIM(AJ160))=IFERROR(INDEX(Key!$C$2:$C$263,MATCH($D160*100+24,Key!$G$2:$G$263,0)),"#"),1,0))</f>
        <v/>
      </c>
      <c r="BP160">
        <f>IF(OR($D160="",AK160="",25&gt;$F160),0,IF(UPPER(TRIM(AK160))=IFERROR(INDEX(Key!$C$2:$C$263,MATCH($D160*100+25,Key!$G$2:$G$263,0)),"#"),1,0))</f>
        <v/>
      </c>
      <c r="BQ160">
        <f>IF(OR($D160="",AL160="",26&gt;$F160),0,IF(UPPER(TRIM(AL160))=IFERROR(INDEX(Key!$C$2:$C$263,MATCH($D160*100+26,Key!$G$2:$G$263,0)),"#"),1,0))</f>
        <v/>
      </c>
      <c r="BR160">
        <f>IF(OR($D160="",AM160="",27&gt;$F160),0,IF(UPPER(TRIM(AM160))=IFERROR(INDEX(Key!$C$2:$C$263,MATCH($D160*100+27,Key!$G$2:$G$263,0)),"#"),1,0))</f>
        <v/>
      </c>
      <c r="BS160">
        <f>IF(OR($D160="",AN160="",28&gt;$F160),0,IF(UPPER(TRIM(AN160))=IFERROR(INDEX(Key!$C$2:$C$263,MATCH($D160*100+28,Key!$G$2:$G$263,0)),"#"),1,0))</f>
        <v/>
      </c>
      <c r="BT160">
        <f>IF(OR($D160="",AO160="",29&gt;$F160),0,IF(UPPER(TRIM(AO160))=IFERROR(INDEX(Key!$C$2:$C$263,MATCH($D160*100+29,Key!$G$2:$G$263,0)),"#"),1,0))</f>
        <v/>
      </c>
      <c r="BU160">
        <f>IF(OR($D160="",AP160="",30&gt;$F160),0,IF(UPPER(TRIM(AP160))=IFERROR(INDEX(Key!$C$2:$C$263,MATCH($D160*100+30,Key!$G$2:$G$263,0)),"#"),1,0))</f>
        <v/>
      </c>
    </row>
    <row r="161">
      <c r="A161" s="6" t="n"/>
      <c r="B161" s="6" t="n"/>
      <c r="C161" s="6" t="n"/>
      <c r="D161" s="6" t="n"/>
      <c r="E161" s="7">
        <f>IF($D161="","",IFERROR(INDEX(Papers!$B$2:$B$12,MATCH($D161,Papers!$A$2:$A$12,0)),"?"))</f>
        <v/>
      </c>
      <c r="F161" s="7">
        <f>IF($D161="","",IFERROR(INDEX(Papers!$C$2:$C$12,MATCH($D161,Papers!$A$2:$A$12,0)),0))</f>
        <v/>
      </c>
      <c r="G161" s="7">
        <f>IF($D161="","",COUNTIF(M161:AP161,"?*"))</f>
        <v/>
      </c>
      <c r="H161" s="7">
        <f>IF($D161="","",SUM(AR161:BU161))</f>
        <v/>
      </c>
      <c r="I161" s="7">
        <f>IF($D161="","",G161-H161)</f>
        <v/>
      </c>
      <c r="J161" s="7">
        <f>IF($D161="","",F161-G161)</f>
        <v/>
      </c>
      <c r="K161" s="7">
        <f>IF($D161="","",H161)</f>
        <v/>
      </c>
      <c r="L161" s="7">
        <f>IF($D161="","",IF(F161=0,"",ROUND(H161/F161*100,1)))</f>
        <v/>
      </c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R161">
        <f>IF(OR($D161="",M161="",1&gt;$F161),0,IF(UPPER(TRIM(M161))=IFERROR(INDEX(Key!$C$2:$C$263,MATCH($D161*100+1,Key!$G$2:$G$263,0)),"#"),1,0))</f>
        <v/>
      </c>
      <c r="AS161">
        <f>IF(OR($D161="",N161="",2&gt;$F161),0,IF(UPPER(TRIM(N161))=IFERROR(INDEX(Key!$C$2:$C$263,MATCH($D161*100+2,Key!$G$2:$G$263,0)),"#"),1,0))</f>
        <v/>
      </c>
      <c r="AT161">
        <f>IF(OR($D161="",O161="",3&gt;$F161),0,IF(UPPER(TRIM(O161))=IFERROR(INDEX(Key!$C$2:$C$263,MATCH($D161*100+3,Key!$G$2:$G$263,0)),"#"),1,0))</f>
        <v/>
      </c>
      <c r="AU161">
        <f>IF(OR($D161="",P161="",4&gt;$F161),0,IF(UPPER(TRIM(P161))=IFERROR(INDEX(Key!$C$2:$C$263,MATCH($D161*100+4,Key!$G$2:$G$263,0)),"#"),1,0))</f>
        <v/>
      </c>
      <c r="AV161">
        <f>IF(OR($D161="",Q161="",5&gt;$F161),0,IF(UPPER(TRIM(Q161))=IFERROR(INDEX(Key!$C$2:$C$263,MATCH($D161*100+5,Key!$G$2:$G$263,0)),"#"),1,0))</f>
        <v/>
      </c>
      <c r="AW161">
        <f>IF(OR($D161="",R161="",6&gt;$F161),0,IF(UPPER(TRIM(R161))=IFERROR(INDEX(Key!$C$2:$C$263,MATCH($D161*100+6,Key!$G$2:$G$263,0)),"#"),1,0))</f>
        <v/>
      </c>
      <c r="AX161">
        <f>IF(OR($D161="",S161="",7&gt;$F161),0,IF(UPPER(TRIM(S161))=IFERROR(INDEX(Key!$C$2:$C$263,MATCH($D161*100+7,Key!$G$2:$G$263,0)),"#"),1,0))</f>
        <v/>
      </c>
      <c r="AY161">
        <f>IF(OR($D161="",T161="",8&gt;$F161),0,IF(UPPER(TRIM(T161))=IFERROR(INDEX(Key!$C$2:$C$263,MATCH($D161*100+8,Key!$G$2:$G$263,0)),"#"),1,0))</f>
        <v/>
      </c>
      <c r="AZ161">
        <f>IF(OR($D161="",U161="",9&gt;$F161),0,IF(UPPER(TRIM(U161))=IFERROR(INDEX(Key!$C$2:$C$263,MATCH($D161*100+9,Key!$G$2:$G$263,0)),"#"),1,0))</f>
        <v/>
      </c>
      <c r="BA161">
        <f>IF(OR($D161="",V161="",10&gt;$F161),0,IF(UPPER(TRIM(V161))=IFERROR(INDEX(Key!$C$2:$C$263,MATCH($D161*100+10,Key!$G$2:$G$263,0)),"#"),1,0))</f>
        <v/>
      </c>
      <c r="BB161">
        <f>IF(OR($D161="",W161="",11&gt;$F161),0,IF(UPPER(TRIM(W161))=IFERROR(INDEX(Key!$C$2:$C$263,MATCH($D161*100+11,Key!$G$2:$G$263,0)),"#"),1,0))</f>
        <v/>
      </c>
      <c r="BC161">
        <f>IF(OR($D161="",X161="",12&gt;$F161),0,IF(UPPER(TRIM(X161))=IFERROR(INDEX(Key!$C$2:$C$263,MATCH($D161*100+12,Key!$G$2:$G$263,0)),"#"),1,0))</f>
        <v/>
      </c>
      <c r="BD161">
        <f>IF(OR($D161="",Y161="",13&gt;$F161),0,IF(UPPER(TRIM(Y161))=IFERROR(INDEX(Key!$C$2:$C$263,MATCH($D161*100+13,Key!$G$2:$G$263,0)),"#"),1,0))</f>
        <v/>
      </c>
      <c r="BE161">
        <f>IF(OR($D161="",Z161="",14&gt;$F161),0,IF(UPPER(TRIM(Z161))=IFERROR(INDEX(Key!$C$2:$C$263,MATCH($D161*100+14,Key!$G$2:$G$263,0)),"#"),1,0))</f>
        <v/>
      </c>
      <c r="BF161">
        <f>IF(OR($D161="",AA161="",15&gt;$F161),0,IF(UPPER(TRIM(AA161))=IFERROR(INDEX(Key!$C$2:$C$263,MATCH($D161*100+15,Key!$G$2:$G$263,0)),"#"),1,0))</f>
        <v/>
      </c>
      <c r="BG161">
        <f>IF(OR($D161="",AB161="",16&gt;$F161),0,IF(UPPER(TRIM(AB161))=IFERROR(INDEX(Key!$C$2:$C$263,MATCH($D161*100+16,Key!$G$2:$G$263,0)),"#"),1,0))</f>
        <v/>
      </c>
      <c r="BH161">
        <f>IF(OR($D161="",AC161="",17&gt;$F161),0,IF(UPPER(TRIM(AC161))=IFERROR(INDEX(Key!$C$2:$C$263,MATCH($D161*100+17,Key!$G$2:$G$263,0)),"#"),1,0))</f>
        <v/>
      </c>
      <c r="BI161">
        <f>IF(OR($D161="",AD161="",18&gt;$F161),0,IF(UPPER(TRIM(AD161))=IFERROR(INDEX(Key!$C$2:$C$263,MATCH($D161*100+18,Key!$G$2:$G$263,0)),"#"),1,0))</f>
        <v/>
      </c>
      <c r="BJ161">
        <f>IF(OR($D161="",AE161="",19&gt;$F161),0,IF(UPPER(TRIM(AE161))=IFERROR(INDEX(Key!$C$2:$C$263,MATCH($D161*100+19,Key!$G$2:$G$263,0)),"#"),1,0))</f>
        <v/>
      </c>
      <c r="BK161">
        <f>IF(OR($D161="",AF161="",20&gt;$F161),0,IF(UPPER(TRIM(AF161))=IFERROR(INDEX(Key!$C$2:$C$263,MATCH($D161*100+20,Key!$G$2:$G$263,0)),"#"),1,0))</f>
        <v/>
      </c>
      <c r="BL161">
        <f>IF(OR($D161="",AG161="",21&gt;$F161),0,IF(UPPER(TRIM(AG161))=IFERROR(INDEX(Key!$C$2:$C$263,MATCH($D161*100+21,Key!$G$2:$G$263,0)),"#"),1,0))</f>
        <v/>
      </c>
      <c r="BM161">
        <f>IF(OR($D161="",AH161="",22&gt;$F161),0,IF(UPPER(TRIM(AH161))=IFERROR(INDEX(Key!$C$2:$C$263,MATCH($D161*100+22,Key!$G$2:$G$263,0)),"#"),1,0))</f>
        <v/>
      </c>
      <c r="BN161">
        <f>IF(OR($D161="",AI161="",23&gt;$F161),0,IF(UPPER(TRIM(AI161))=IFERROR(INDEX(Key!$C$2:$C$263,MATCH($D161*100+23,Key!$G$2:$G$263,0)),"#"),1,0))</f>
        <v/>
      </c>
      <c r="BO161">
        <f>IF(OR($D161="",AJ161="",24&gt;$F161),0,IF(UPPER(TRIM(AJ161))=IFERROR(INDEX(Key!$C$2:$C$263,MATCH($D161*100+24,Key!$G$2:$G$263,0)),"#"),1,0))</f>
        <v/>
      </c>
      <c r="BP161">
        <f>IF(OR($D161="",AK161="",25&gt;$F161),0,IF(UPPER(TRIM(AK161))=IFERROR(INDEX(Key!$C$2:$C$263,MATCH($D161*100+25,Key!$G$2:$G$263,0)),"#"),1,0))</f>
        <v/>
      </c>
      <c r="BQ161">
        <f>IF(OR($D161="",AL161="",26&gt;$F161),0,IF(UPPER(TRIM(AL161))=IFERROR(INDEX(Key!$C$2:$C$263,MATCH($D161*100+26,Key!$G$2:$G$263,0)),"#"),1,0))</f>
        <v/>
      </c>
      <c r="BR161">
        <f>IF(OR($D161="",AM161="",27&gt;$F161),0,IF(UPPER(TRIM(AM161))=IFERROR(INDEX(Key!$C$2:$C$263,MATCH($D161*100+27,Key!$G$2:$G$263,0)),"#"),1,0))</f>
        <v/>
      </c>
      <c r="BS161">
        <f>IF(OR($D161="",AN161="",28&gt;$F161),0,IF(UPPER(TRIM(AN161))=IFERROR(INDEX(Key!$C$2:$C$263,MATCH($D161*100+28,Key!$G$2:$G$263,0)),"#"),1,0))</f>
        <v/>
      </c>
      <c r="BT161">
        <f>IF(OR($D161="",AO161="",29&gt;$F161),0,IF(UPPER(TRIM(AO161))=IFERROR(INDEX(Key!$C$2:$C$263,MATCH($D161*100+29,Key!$G$2:$G$263,0)),"#"),1,0))</f>
        <v/>
      </c>
      <c r="BU161">
        <f>IF(OR($D161="",AP161="",30&gt;$F161),0,IF(UPPER(TRIM(AP161))=IFERROR(INDEX(Key!$C$2:$C$263,MATCH($D161*100+30,Key!$G$2:$G$263,0)),"#"),1,0))</f>
        <v/>
      </c>
    </row>
    <row r="162">
      <c r="A162" s="6" t="n"/>
      <c r="B162" s="6" t="n"/>
      <c r="C162" s="6" t="n"/>
      <c r="D162" s="6" t="n"/>
      <c r="E162" s="7">
        <f>IF($D162="","",IFERROR(INDEX(Papers!$B$2:$B$12,MATCH($D162,Papers!$A$2:$A$12,0)),"?"))</f>
        <v/>
      </c>
      <c r="F162" s="7">
        <f>IF($D162="","",IFERROR(INDEX(Papers!$C$2:$C$12,MATCH($D162,Papers!$A$2:$A$12,0)),0))</f>
        <v/>
      </c>
      <c r="G162" s="7">
        <f>IF($D162="","",COUNTIF(M162:AP162,"?*"))</f>
        <v/>
      </c>
      <c r="H162" s="7">
        <f>IF($D162="","",SUM(AR162:BU162))</f>
        <v/>
      </c>
      <c r="I162" s="7">
        <f>IF($D162="","",G162-H162)</f>
        <v/>
      </c>
      <c r="J162" s="7">
        <f>IF($D162="","",F162-G162)</f>
        <v/>
      </c>
      <c r="K162" s="7">
        <f>IF($D162="","",H162)</f>
        <v/>
      </c>
      <c r="L162" s="7">
        <f>IF($D162="","",IF(F162=0,"",ROUND(H162/F162*100,1)))</f>
        <v/>
      </c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R162">
        <f>IF(OR($D162="",M162="",1&gt;$F162),0,IF(UPPER(TRIM(M162))=IFERROR(INDEX(Key!$C$2:$C$263,MATCH($D162*100+1,Key!$G$2:$G$263,0)),"#"),1,0))</f>
        <v/>
      </c>
      <c r="AS162">
        <f>IF(OR($D162="",N162="",2&gt;$F162),0,IF(UPPER(TRIM(N162))=IFERROR(INDEX(Key!$C$2:$C$263,MATCH($D162*100+2,Key!$G$2:$G$263,0)),"#"),1,0))</f>
        <v/>
      </c>
      <c r="AT162">
        <f>IF(OR($D162="",O162="",3&gt;$F162),0,IF(UPPER(TRIM(O162))=IFERROR(INDEX(Key!$C$2:$C$263,MATCH($D162*100+3,Key!$G$2:$G$263,0)),"#"),1,0))</f>
        <v/>
      </c>
      <c r="AU162">
        <f>IF(OR($D162="",P162="",4&gt;$F162),0,IF(UPPER(TRIM(P162))=IFERROR(INDEX(Key!$C$2:$C$263,MATCH($D162*100+4,Key!$G$2:$G$263,0)),"#"),1,0))</f>
        <v/>
      </c>
      <c r="AV162">
        <f>IF(OR($D162="",Q162="",5&gt;$F162),0,IF(UPPER(TRIM(Q162))=IFERROR(INDEX(Key!$C$2:$C$263,MATCH($D162*100+5,Key!$G$2:$G$263,0)),"#"),1,0))</f>
        <v/>
      </c>
      <c r="AW162">
        <f>IF(OR($D162="",R162="",6&gt;$F162),0,IF(UPPER(TRIM(R162))=IFERROR(INDEX(Key!$C$2:$C$263,MATCH($D162*100+6,Key!$G$2:$G$263,0)),"#"),1,0))</f>
        <v/>
      </c>
      <c r="AX162">
        <f>IF(OR($D162="",S162="",7&gt;$F162),0,IF(UPPER(TRIM(S162))=IFERROR(INDEX(Key!$C$2:$C$263,MATCH($D162*100+7,Key!$G$2:$G$263,0)),"#"),1,0))</f>
        <v/>
      </c>
      <c r="AY162">
        <f>IF(OR($D162="",T162="",8&gt;$F162),0,IF(UPPER(TRIM(T162))=IFERROR(INDEX(Key!$C$2:$C$263,MATCH($D162*100+8,Key!$G$2:$G$263,0)),"#"),1,0))</f>
        <v/>
      </c>
      <c r="AZ162">
        <f>IF(OR($D162="",U162="",9&gt;$F162),0,IF(UPPER(TRIM(U162))=IFERROR(INDEX(Key!$C$2:$C$263,MATCH($D162*100+9,Key!$G$2:$G$263,0)),"#"),1,0))</f>
        <v/>
      </c>
      <c r="BA162">
        <f>IF(OR($D162="",V162="",10&gt;$F162),0,IF(UPPER(TRIM(V162))=IFERROR(INDEX(Key!$C$2:$C$263,MATCH($D162*100+10,Key!$G$2:$G$263,0)),"#"),1,0))</f>
        <v/>
      </c>
      <c r="BB162">
        <f>IF(OR($D162="",W162="",11&gt;$F162),0,IF(UPPER(TRIM(W162))=IFERROR(INDEX(Key!$C$2:$C$263,MATCH($D162*100+11,Key!$G$2:$G$263,0)),"#"),1,0))</f>
        <v/>
      </c>
      <c r="BC162">
        <f>IF(OR($D162="",X162="",12&gt;$F162),0,IF(UPPER(TRIM(X162))=IFERROR(INDEX(Key!$C$2:$C$263,MATCH($D162*100+12,Key!$G$2:$G$263,0)),"#"),1,0))</f>
        <v/>
      </c>
      <c r="BD162">
        <f>IF(OR($D162="",Y162="",13&gt;$F162),0,IF(UPPER(TRIM(Y162))=IFERROR(INDEX(Key!$C$2:$C$263,MATCH($D162*100+13,Key!$G$2:$G$263,0)),"#"),1,0))</f>
        <v/>
      </c>
      <c r="BE162">
        <f>IF(OR($D162="",Z162="",14&gt;$F162),0,IF(UPPER(TRIM(Z162))=IFERROR(INDEX(Key!$C$2:$C$263,MATCH($D162*100+14,Key!$G$2:$G$263,0)),"#"),1,0))</f>
        <v/>
      </c>
      <c r="BF162">
        <f>IF(OR($D162="",AA162="",15&gt;$F162),0,IF(UPPER(TRIM(AA162))=IFERROR(INDEX(Key!$C$2:$C$263,MATCH($D162*100+15,Key!$G$2:$G$263,0)),"#"),1,0))</f>
        <v/>
      </c>
      <c r="BG162">
        <f>IF(OR($D162="",AB162="",16&gt;$F162),0,IF(UPPER(TRIM(AB162))=IFERROR(INDEX(Key!$C$2:$C$263,MATCH($D162*100+16,Key!$G$2:$G$263,0)),"#"),1,0))</f>
        <v/>
      </c>
      <c r="BH162">
        <f>IF(OR($D162="",AC162="",17&gt;$F162),0,IF(UPPER(TRIM(AC162))=IFERROR(INDEX(Key!$C$2:$C$263,MATCH($D162*100+17,Key!$G$2:$G$263,0)),"#"),1,0))</f>
        <v/>
      </c>
      <c r="BI162">
        <f>IF(OR($D162="",AD162="",18&gt;$F162),0,IF(UPPER(TRIM(AD162))=IFERROR(INDEX(Key!$C$2:$C$263,MATCH($D162*100+18,Key!$G$2:$G$263,0)),"#"),1,0))</f>
        <v/>
      </c>
      <c r="BJ162">
        <f>IF(OR($D162="",AE162="",19&gt;$F162),0,IF(UPPER(TRIM(AE162))=IFERROR(INDEX(Key!$C$2:$C$263,MATCH($D162*100+19,Key!$G$2:$G$263,0)),"#"),1,0))</f>
        <v/>
      </c>
      <c r="BK162">
        <f>IF(OR($D162="",AF162="",20&gt;$F162),0,IF(UPPER(TRIM(AF162))=IFERROR(INDEX(Key!$C$2:$C$263,MATCH($D162*100+20,Key!$G$2:$G$263,0)),"#"),1,0))</f>
        <v/>
      </c>
      <c r="BL162">
        <f>IF(OR($D162="",AG162="",21&gt;$F162),0,IF(UPPER(TRIM(AG162))=IFERROR(INDEX(Key!$C$2:$C$263,MATCH($D162*100+21,Key!$G$2:$G$263,0)),"#"),1,0))</f>
        <v/>
      </c>
      <c r="BM162">
        <f>IF(OR($D162="",AH162="",22&gt;$F162),0,IF(UPPER(TRIM(AH162))=IFERROR(INDEX(Key!$C$2:$C$263,MATCH($D162*100+22,Key!$G$2:$G$263,0)),"#"),1,0))</f>
        <v/>
      </c>
      <c r="BN162">
        <f>IF(OR($D162="",AI162="",23&gt;$F162),0,IF(UPPER(TRIM(AI162))=IFERROR(INDEX(Key!$C$2:$C$263,MATCH($D162*100+23,Key!$G$2:$G$263,0)),"#"),1,0))</f>
        <v/>
      </c>
      <c r="BO162">
        <f>IF(OR($D162="",AJ162="",24&gt;$F162),0,IF(UPPER(TRIM(AJ162))=IFERROR(INDEX(Key!$C$2:$C$263,MATCH($D162*100+24,Key!$G$2:$G$263,0)),"#"),1,0))</f>
        <v/>
      </c>
      <c r="BP162">
        <f>IF(OR($D162="",AK162="",25&gt;$F162),0,IF(UPPER(TRIM(AK162))=IFERROR(INDEX(Key!$C$2:$C$263,MATCH($D162*100+25,Key!$G$2:$G$263,0)),"#"),1,0))</f>
        <v/>
      </c>
      <c r="BQ162">
        <f>IF(OR($D162="",AL162="",26&gt;$F162),0,IF(UPPER(TRIM(AL162))=IFERROR(INDEX(Key!$C$2:$C$263,MATCH($D162*100+26,Key!$G$2:$G$263,0)),"#"),1,0))</f>
        <v/>
      </c>
      <c r="BR162">
        <f>IF(OR($D162="",AM162="",27&gt;$F162),0,IF(UPPER(TRIM(AM162))=IFERROR(INDEX(Key!$C$2:$C$263,MATCH($D162*100+27,Key!$G$2:$G$263,0)),"#"),1,0))</f>
        <v/>
      </c>
      <c r="BS162">
        <f>IF(OR($D162="",AN162="",28&gt;$F162),0,IF(UPPER(TRIM(AN162))=IFERROR(INDEX(Key!$C$2:$C$263,MATCH($D162*100+28,Key!$G$2:$G$263,0)),"#"),1,0))</f>
        <v/>
      </c>
      <c r="BT162">
        <f>IF(OR($D162="",AO162="",29&gt;$F162),0,IF(UPPER(TRIM(AO162))=IFERROR(INDEX(Key!$C$2:$C$263,MATCH($D162*100+29,Key!$G$2:$G$263,0)),"#"),1,0))</f>
        <v/>
      </c>
      <c r="BU162">
        <f>IF(OR($D162="",AP162="",30&gt;$F162),0,IF(UPPER(TRIM(AP162))=IFERROR(INDEX(Key!$C$2:$C$263,MATCH($D162*100+30,Key!$G$2:$G$263,0)),"#"),1,0))</f>
        <v/>
      </c>
    </row>
    <row r="163">
      <c r="A163" s="6" t="n"/>
      <c r="B163" s="6" t="n"/>
      <c r="C163" s="6" t="n"/>
      <c r="D163" s="6" t="n"/>
      <c r="E163" s="7">
        <f>IF($D163="","",IFERROR(INDEX(Papers!$B$2:$B$12,MATCH($D163,Papers!$A$2:$A$12,0)),"?"))</f>
        <v/>
      </c>
      <c r="F163" s="7">
        <f>IF($D163="","",IFERROR(INDEX(Papers!$C$2:$C$12,MATCH($D163,Papers!$A$2:$A$12,0)),0))</f>
        <v/>
      </c>
      <c r="G163" s="7">
        <f>IF($D163="","",COUNTIF(M163:AP163,"?*"))</f>
        <v/>
      </c>
      <c r="H163" s="7">
        <f>IF($D163="","",SUM(AR163:BU163))</f>
        <v/>
      </c>
      <c r="I163" s="7">
        <f>IF($D163="","",G163-H163)</f>
        <v/>
      </c>
      <c r="J163" s="7">
        <f>IF($D163="","",F163-G163)</f>
        <v/>
      </c>
      <c r="K163" s="7">
        <f>IF($D163="","",H163)</f>
        <v/>
      </c>
      <c r="L163" s="7">
        <f>IF($D163="","",IF(F163=0,"",ROUND(H163/F163*100,1)))</f>
        <v/>
      </c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R163">
        <f>IF(OR($D163="",M163="",1&gt;$F163),0,IF(UPPER(TRIM(M163))=IFERROR(INDEX(Key!$C$2:$C$263,MATCH($D163*100+1,Key!$G$2:$G$263,0)),"#"),1,0))</f>
        <v/>
      </c>
      <c r="AS163">
        <f>IF(OR($D163="",N163="",2&gt;$F163),0,IF(UPPER(TRIM(N163))=IFERROR(INDEX(Key!$C$2:$C$263,MATCH($D163*100+2,Key!$G$2:$G$263,0)),"#"),1,0))</f>
        <v/>
      </c>
      <c r="AT163">
        <f>IF(OR($D163="",O163="",3&gt;$F163),0,IF(UPPER(TRIM(O163))=IFERROR(INDEX(Key!$C$2:$C$263,MATCH($D163*100+3,Key!$G$2:$G$263,0)),"#"),1,0))</f>
        <v/>
      </c>
      <c r="AU163">
        <f>IF(OR($D163="",P163="",4&gt;$F163),0,IF(UPPER(TRIM(P163))=IFERROR(INDEX(Key!$C$2:$C$263,MATCH($D163*100+4,Key!$G$2:$G$263,0)),"#"),1,0))</f>
        <v/>
      </c>
      <c r="AV163">
        <f>IF(OR($D163="",Q163="",5&gt;$F163),0,IF(UPPER(TRIM(Q163))=IFERROR(INDEX(Key!$C$2:$C$263,MATCH($D163*100+5,Key!$G$2:$G$263,0)),"#"),1,0))</f>
        <v/>
      </c>
      <c r="AW163">
        <f>IF(OR($D163="",R163="",6&gt;$F163),0,IF(UPPER(TRIM(R163))=IFERROR(INDEX(Key!$C$2:$C$263,MATCH($D163*100+6,Key!$G$2:$G$263,0)),"#"),1,0))</f>
        <v/>
      </c>
      <c r="AX163">
        <f>IF(OR($D163="",S163="",7&gt;$F163),0,IF(UPPER(TRIM(S163))=IFERROR(INDEX(Key!$C$2:$C$263,MATCH($D163*100+7,Key!$G$2:$G$263,0)),"#"),1,0))</f>
        <v/>
      </c>
      <c r="AY163">
        <f>IF(OR($D163="",T163="",8&gt;$F163),0,IF(UPPER(TRIM(T163))=IFERROR(INDEX(Key!$C$2:$C$263,MATCH($D163*100+8,Key!$G$2:$G$263,0)),"#"),1,0))</f>
        <v/>
      </c>
      <c r="AZ163">
        <f>IF(OR($D163="",U163="",9&gt;$F163),0,IF(UPPER(TRIM(U163))=IFERROR(INDEX(Key!$C$2:$C$263,MATCH($D163*100+9,Key!$G$2:$G$263,0)),"#"),1,0))</f>
        <v/>
      </c>
      <c r="BA163">
        <f>IF(OR($D163="",V163="",10&gt;$F163),0,IF(UPPER(TRIM(V163))=IFERROR(INDEX(Key!$C$2:$C$263,MATCH($D163*100+10,Key!$G$2:$G$263,0)),"#"),1,0))</f>
        <v/>
      </c>
      <c r="BB163">
        <f>IF(OR($D163="",W163="",11&gt;$F163),0,IF(UPPER(TRIM(W163))=IFERROR(INDEX(Key!$C$2:$C$263,MATCH($D163*100+11,Key!$G$2:$G$263,0)),"#"),1,0))</f>
        <v/>
      </c>
      <c r="BC163">
        <f>IF(OR($D163="",X163="",12&gt;$F163),0,IF(UPPER(TRIM(X163))=IFERROR(INDEX(Key!$C$2:$C$263,MATCH($D163*100+12,Key!$G$2:$G$263,0)),"#"),1,0))</f>
        <v/>
      </c>
      <c r="BD163">
        <f>IF(OR($D163="",Y163="",13&gt;$F163),0,IF(UPPER(TRIM(Y163))=IFERROR(INDEX(Key!$C$2:$C$263,MATCH($D163*100+13,Key!$G$2:$G$263,0)),"#"),1,0))</f>
        <v/>
      </c>
      <c r="BE163">
        <f>IF(OR($D163="",Z163="",14&gt;$F163),0,IF(UPPER(TRIM(Z163))=IFERROR(INDEX(Key!$C$2:$C$263,MATCH($D163*100+14,Key!$G$2:$G$263,0)),"#"),1,0))</f>
        <v/>
      </c>
      <c r="BF163">
        <f>IF(OR($D163="",AA163="",15&gt;$F163),0,IF(UPPER(TRIM(AA163))=IFERROR(INDEX(Key!$C$2:$C$263,MATCH($D163*100+15,Key!$G$2:$G$263,0)),"#"),1,0))</f>
        <v/>
      </c>
      <c r="BG163">
        <f>IF(OR($D163="",AB163="",16&gt;$F163),0,IF(UPPER(TRIM(AB163))=IFERROR(INDEX(Key!$C$2:$C$263,MATCH($D163*100+16,Key!$G$2:$G$263,0)),"#"),1,0))</f>
        <v/>
      </c>
      <c r="BH163">
        <f>IF(OR($D163="",AC163="",17&gt;$F163),0,IF(UPPER(TRIM(AC163))=IFERROR(INDEX(Key!$C$2:$C$263,MATCH($D163*100+17,Key!$G$2:$G$263,0)),"#"),1,0))</f>
        <v/>
      </c>
      <c r="BI163">
        <f>IF(OR($D163="",AD163="",18&gt;$F163),0,IF(UPPER(TRIM(AD163))=IFERROR(INDEX(Key!$C$2:$C$263,MATCH($D163*100+18,Key!$G$2:$G$263,0)),"#"),1,0))</f>
        <v/>
      </c>
      <c r="BJ163">
        <f>IF(OR($D163="",AE163="",19&gt;$F163),0,IF(UPPER(TRIM(AE163))=IFERROR(INDEX(Key!$C$2:$C$263,MATCH($D163*100+19,Key!$G$2:$G$263,0)),"#"),1,0))</f>
        <v/>
      </c>
      <c r="BK163">
        <f>IF(OR($D163="",AF163="",20&gt;$F163),0,IF(UPPER(TRIM(AF163))=IFERROR(INDEX(Key!$C$2:$C$263,MATCH($D163*100+20,Key!$G$2:$G$263,0)),"#"),1,0))</f>
        <v/>
      </c>
      <c r="BL163">
        <f>IF(OR($D163="",AG163="",21&gt;$F163),0,IF(UPPER(TRIM(AG163))=IFERROR(INDEX(Key!$C$2:$C$263,MATCH($D163*100+21,Key!$G$2:$G$263,0)),"#"),1,0))</f>
        <v/>
      </c>
      <c r="BM163">
        <f>IF(OR($D163="",AH163="",22&gt;$F163),0,IF(UPPER(TRIM(AH163))=IFERROR(INDEX(Key!$C$2:$C$263,MATCH($D163*100+22,Key!$G$2:$G$263,0)),"#"),1,0))</f>
        <v/>
      </c>
      <c r="BN163">
        <f>IF(OR($D163="",AI163="",23&gt;$F163),0,IF(UPPER(TRIM(AI163))=IFERROR(INDEX(Key!$C$2:$C$263,MATCH($D163*100+23,Key!$G$2:$G$263,0)),"#"),1,0))</f>
        <v/>
      </c>
      <c r="BO163">
        <f>IF(OR($D163="",AJ163="",24&gt;$F163),0,IF(UPPER(TRIM(AJ163))=IFERROR(INDEX(Key!$C$2:$C$263,MATCH($D163*100+24,Key!$G$2:$G$263,0)),"#"),1,0))</f>
        <v/>
      </c>
      <c r="BP163">
        <f>IF(OR($D163="",AK163="",25&gt;$F163),0,IF(UPPER(TRIM(AK163))=IFERROR(INDEX(Key!$C$2:$C$263,MATCH($D163*100+25,Key!$G$2:$G$263,0)),"#"),1,0))</f>
        <v/>
      </c>
      <c r="BQ163">
        <f>IF(OR($D163="",AL163="",26&gt;$F163),0,IF(UPPER(TRIM(AL163))=IFERROR(INDEX(Key!$C$2:$C$263,MATCH($D163*100+26,Key!$G$2:$G$263,0)),"#"),1,0))</f>
        <v/>
      </c>
      <c r="BR163">
        <f>IF(OR($D163="",AM163="",27&gt;$F163),0,IF(UPPER(TRIM(AM163))=IFERROR(INDEX(Key!$C$2:$C$263,MATCH($D163*100+27,Key!$G$2:$G$263,0)),"#"),1,0))</f>
        <v/>
      </c>
      <c r="BS163">
        <f>IF(OR($D163="",AN163="",28&gt;$F163),0,IF(UPPER(TRIM(AN163))=IFERROR(INDEX(Key!$C$2:$C$263,MATCH($D163*100+28,Key!$G$2:$G$263,0)),"#"),1,0))</f>
        <v/>
      </c>
      <c r="BT163">
        <f>IF(OR($D163="",AO163="",29&gt;$F163),0,IF(UPPER(TRIM(AO163))=IFERROR(INDEX(Key!$C$2:$C$263,MATCH($D163*100+29,Key!$G$2:$G$263,0)),"#"),1,0))</f>
        <v/>
      </c>
      <c r="BU163">
        <f>IF(OR($D163="",AP163="",30&gt;$F163),0,IF(UPPER(TRIM(AP163))=IFERROR(INDEX(Key!$C$2:$C$263,MATCH($D163*100+30,Key!$G$2:$G$263,0)),"#"),1,0))</f>
        <v/>
      </c>
    </row>
    <row r="164">
      <c r="A164" s="6" t="n"/>
      <c r="B164" s="6" t="n"/>
      <c r="C164" s="6" t="n"/>
      <c r="D164" s="6" t="n"/>
      <c r="E164" s="7">
        <f>IF($D164="","",IFERROR(INDEX(Papers!$B$2:$B$12,MATCH($D164,Papers!$A$2:$A$12,0)),"?"))</f>
        <v/>
      </c>
      <c r="F164" s="7">
        <f>IF($D164="","",IFERROR(INDEX(Papers!$C$2:$C$12,MATCH($D164,Papers!$A$2:$A$12,0)),0))</f>
        <v/>
      </c>
      <c r="G164" s="7">
        <f>IF($D164="","",COUNTIF(M164:AP164,"?*"))</f>
        <v/>
      </c>
      <c r="H164" s="7">
        <f>IF($D164="","",SUM(AR164:BU164))</f>
        <v/>
      </c>
      <c r="I164" s="7">
        <f>IF($D164="","",G164-H164)</f>
        <v/>
      </c>
      <c r="J164" s="7">
        <f>IF($D164="","",F164-G164)</f>
        <v/>
      </c>
      <c r="K164" s="7">
        <f>IF($D164="","",H164)</f>
        <v/>
      </c>
      <c r="L164" s="7">
        <f>IF($D164="","",IF(F164=0,"",ROUND(H164/F164*100,1)))</f>
        <v/>
      </c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R164">
        <f>IF(OR($D164="",M164="",1&gt;$F164),0,IF(UPPER(TRIM(M164))=IFERROR(INDEX(Key!$C$2:$C$263,MATCH($D164*100+1,Key!$G$2:$G$263,0)),"#"),1,0))</f>
        <v/>
      </c>
      <c r="AS164">
        <f>IF(OR($D164="",N164="",2&gt;$F164),0,IF(UPPER(TRIM(N164))=IFERROR(INDEX(Key!$C$2:$C$263,MATCH($D164*100+2,Key!$G$2:$G$263,0)),"#"),1,0))</f>
        <v/>
      </c>
      <c r="AT164">
        <f>IF(OR($D164="",O164="",3&gt;$F164),0,IF(UPPER(TRIM(O164))=IFERROR(INDEX(Key!$C$2:$C$263,MATCH($D164*100+3,Key!$G$2:$G$263,0)),"#"),1,0))</f>
        <v/>
      </c>
      <c r="AU164">
        <f>IF(OR($D164="",P164="",4&gt;$F164),0,IF(UPPER(TRIM(P164))=IFERROR(INDEX(Key!$C$2:$C$263,MATCH($D164*100+4,Key!$G$2:$G$263,0)),"#"),1,0))</f>
        <v/>
      </c>
      <c r="AV164">
        <f>IF(OR($D164="",Q164="",5&gt;$F164),0,IF(UPPER(TRIM(Q164))=IFERROR(INDEX(Key!$C$2:$C$263,MATCH($D164*100+5,Key!$G$2:$G$263,0)),"#"),1,0))</f>
        <v/>
      </c>
      <c r="AW164">
        <f>IF(OR($D164="",R164="",6&gt;$F164),0,IF(UPPER(TRIM(R164))=IFERROR(INDEX(Key!$C$2:$C$263,MATCH($D164*100+6,Key!$G$2:$G$263,0)),"#"),1,0))</f>
        <v/>
      </c>
      <c r="AX164">
        <f>IF(OR($D164="",S164="",7&gt;$F164),0,IF(UPPER(TRIM(S164))=IFERROR(INDEX(Key!$C$2:$C$263,MATCH($D164*100+7,Key!$G$2:$G$263,0)),"#"),1,0))</f>
        <v/>
      </c>
      <c r="AY164">
        <f>IF(OR($D164="",T164="",8&gt;$F164),0,IF(UPPER(TRIM(T164))=IFERROR(INDEX(Key!$C$2:$C$263,MATCH($D164*100+8,Key!$G$2:$G$263,0)),"#"),1,0))</f>
        <v/>
      </c>
      <c r="AZ164">
        <f>IF(OR($D164="",U164="",9&gt;$F164),0,IF(UPPER(TRIM(U164))=IFERROR(INDEX(Key!$C$2:$C$263,MATCH($D164*100+9,Key!$G$2:$G$263,0)),"#"),1,0))</f>
        <v/>
      </c>
      <c r="BA164">
        <f>IF(OR($D164="",V164="",10&gt;$F164),0,IF(UPPER(TRIM(V164))=IFERROR(INDEX(Key!$C$2:$C$263,MATCH($D164*100+10,Key!$G$2:$G$263,0)),"#"),1,0))</f>
        <v/>
      </c>
      <c r="BB164">
        <f>IF(OR($D164="",W164="",11&gt;$F164),0,IF(UPPER(TRIM(W164))=IFERROR(INDEX(Key!$C$2:$C$263,MATCH($D164*100+11,Key!$G$2:$G$263,0)),"#"),1,0))</f>
        <v/>
      </c>
      <c r="BC164">
        <f>IF(OR($D164="",X164="",12&gt;$F164),0,IF(UPPER(TRIM(X164))=IFERROR(INDEX(Key!$C$2:$C$263,MATCH($D164*100+12,Key!$G$2:$G$263,0)),"#"),1,0))</f>
        <v/>
      </c>
      <c r="BD164">
        <f>IF(OR($D164="",Y164="",13&gt;$F164),0,IF(UPPER(TRIM(Y164))=IFERROR(INDEX(Key!$C$2:$C$263,MATCH($D164*100+13,Key!$G$2:$G$263,0)),"#"),1,0))</f>
        <v/>
      </c>
      <c r="BE164">
        <f>IF(OR($D164="",Z164="",14&gt;$F164),0,IF(UPPER(TRIM(Z164))=IFERROR(INDEX(Key!$C$2:$C$263,MATCH($D164*100+14,Key!$G$2:$G$263,0)),"#"),1,0))</f>
        <v/>
      </c>
      <c r="BF164">
        <f>IF(OR($D164="",AA164="",15&gt;$F164),0,IF(UPPER(TRIM(AA164))=IFERROR(INDEX(Key!$C$2:$C$263,MATCH($D164*100+15,Key!$G$2:$G$263,0)),"#"),1,0))</f>
        <v/>
      </c>
      <c r="BG164">
        <f>IF(OR($D164="",AB164="",16&gt;$F164),0,IF(UPPER(TRIM(AB164))=IFERROR(INDEX(Key!$C$2:$C$263,MATCH($D164*100+16,Key!$G$2:$G$263,0)),"#"),1,0))</f>
        <v/>
      </c>
      <c r="BH164">
        <f>IF(OR($D164="",AC164="",17&gt;$F164),0,IF(UPPER(TRIM(AC164))=IFERROR(INDEX(Key!$C$2:$C$263,MATCH($D164*100+17,Key!$G$2:$G$263,0)),"#"),1,0))</f>
        <v/>
      </c>
      <c r="BI164">
        <f>IF(OR($D164="",AD164="",18&gt;$F164),0,IF(UPPER(TRIM(AD164))=IFERROR(INDEX(Key!$C$2:$C$263,MATCH($D164*100+18,Key!$G$2:$G$263,0)),"#"),1,0))</f>
        <v/>
      </c>
      <c r="BJ164">
        <f>IF(OR($D164="",AE164="",19&gt;$F164),0,IF(UPPER(TRIM(AE164))=IFERROR(INDEX(Key!$C$2:$C$263,MATCH($D164*100+19,Key!$G$2:$G$263,0)),"#"),1,0))</f>
        <v/>
      </c>
      <c r="BK164">
        <f>IF(OR($D164="",AF164="",20&gt;$F164),0,IF(UPPER(TRIM(AF164))=IFERROR(INDEX(Key!$C$2:$C$263,MATCH($D164*100+20,Key!$G$2:$G$263,0)),"#"),1,0))</f>
        <v/>
      </c>
      <c r="BL164">
        <f>IF(OR($D164="",AG164="",21&gt;$F164),0,IF(UPPER(TRIM(AG164))=IFERROR(INDEX(Key!$C$2:$C$263,MATCH($D164*100+21,Key!$G$2:$G$263,0)),"#"),1,0))</f>
        <v/>
      </c>
      <c r="BM164">
        <f>IF(OR($D164="",AH164="",22&gt;$F164),0,IF(UPPER(TRIM(AH164))=IFERROR(INDEX(Key!$C$2:$C$263,MATCH($D164*100+22,Key!$G$2:$G$263,0)),"#"),1,0))</f>
        <v/>
      </c>
      <c r="BN164">
        <f>IF(OR($D164="",AI164="",23&gt;$F164),0,IF(UPPER(TRIM(AI164))=IFERROR(INDEX(Key!$C$2:$C$263,MATCH($D164*100+23,Key!$G$2:$G$263,0)),"#"),1,0))</f>
        <v/>
      </c>
      <c r="BO164">
        <f>IF(OR($D164="",AJ164="",24&gt;$F164),0,IF(UPPER(TRIM(AJ164))=IFERROR(INDEX(Key!$C$2:$C$263,MATCH($D164*100+24,Key!$G$2:$G$263,0)),"#"),1,0))</f>
        <v/>
      </c>
      <c r="BP164">
        <f>IF(OR($D164="",AK164="",25&gt;$F164),0,IF(UPPER(TRIM(AK164))=IFERROR(INDEX(Key!$C$2:$C$263,MATCH($D164*100+25,Key!$G$2:$G$263,0)),"#"),1,0))</f>
        <v/>
      </c>
      <c r="BQ164">
        <f>IF(OR($D164="",AL164="",26&gt;$F164),0,IF(UPPER(TRIM(AL164))=IFERROR(INDEX(Key!$C$2:$C$263,MATCH($D164*100+26,Key!$G$2:$G$263,0)),"#"),1,0))</f>
        <v/>
      </c>
      <c r="BR164">
        <f>IF(OR($D164="",AM164="",27&gt;$F164),0,IF(UPPER(TRIM(AM164))=IFERROR(INDEX(Key!$C$2:$C$263,MATCH($D164*100+27,Key!$G$2:$G$263,0)),"#"),1,0))</f>
        <v/>
      </c>
      <c r="BS164">
        <f>IF(OR($D164="",AN164="",28&gt;$F164),0,IF(UPPER(TRIM(AN164))=IFERROR(INDEX(Key!$C$2:$C$263,MATCH($D164*100+28,Key!$G$2:$G$263,0)),"#"),1,0))</f>
        <v/>
      </c>
      <c r="BT164">
        <f>IF(OR($D164="",AO164="",29&gt;$F164),0,IF(UPPER(TRIM(AO164))=IFERROR(INDEX(Key!$C$2:$C$263,MATCH($D164*100+29,Key!$G$2:$G$263,0)),"#"),1,0))</f>
        <v/>
      </c>
      <c r="BU164">
        <f>IF(OR($D164="",AP164="",30&gt;$F164),0,IF(UPPER(TRIM(AP164))=IFERROR(INDEX(Key!$C$2:$C$263,MATCH($D164*100+30,Key!$G$2:$G$263,0)),"#"),1,0))</f>
        <v/>
      </c>
    </row>
    <row r="165">
      <c r="A165" s="6" t="n"/>
      <c r="B165" s="6" t="n"/>
      <c r="C165" s="6" t="n"/>
      <c r="D165" s="6" t="n"/>
      <c r="E165" s="7">
        <f>IF($D165="","",IFERROR(INDEX(Papers!$B$2:$B$12,MATCH($D165,Papers!$A$2:$A$12,0)),"?"))</f>
        <v/>
      </c>
      <c r="F165" s="7">
        <f>IF($D165="","",IFERROR(INDEX(Papers!$C$2:$C$12,MATCH($D165,Papers!$A$2:$A$12,0)),0))</f>
        <v/>
      </c>
      <c r="G165" s="7">
        <f>IF($D165="","",COUNTIF(M165:AP165,"?*"))</f>
        <v/>
      </c>
      <c r="H165" s="7">
        <f>IF($D165="","",SUM(AR165:BU165))</f>
        <v/>
      </c>
      <c r="I165" s="7">
        <f>IF($D165="","",G165-H165)</f>
        <v/>
      </c>
      <c r="J165" s="7">
        <f>IF($D165="","",F165-G165)</f>
        <v/>
      </c>
      <c r="K165" s="7">
        <f>IF($D165="","",H165)</f>
        <v/>
      </c>
      <c r="L165" s="7">
        <f>IF($D165="","",IF(F165=0,"",ROUND(H165/F165*100,1)))</f>
        <v/>
      </c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R165">
        <f>IF(OR($D165="",M165="",1&gt;$F165),0,IF(UPPER(TRIM(M165))=IFERROR(INDEX(Key!$C$2:$C$263,MATCH($D165*100+1,Key!$G$2:$G$263,0)),"#"),1,0))</f>
        <v/>
      </c>
      <c r="AS165">
        <f>IF(OR($D165="",N165="",2&gt;$F165),0,IF(UPPER(TRIM(N165))=IFERROR(INDEX(Key!$C$2:$C$263,MATCH($D165*100+2,Key!$G$2:$G$263,0)),"#"),1,0))</f>
        <v/>
      </c>
      <c r="AT165">
        <f>IF(OR($D165="",O165="",3&gt;$F165),0,IF(UPPER(TRIM(O165))=IFERROR(INDEX(Key!$C$2:$C$263,MATCH($D165*100+3,Key!$G$2:$G$263,0)),"#"),1,0))</f>
        <v/>
      </c>
      <c r="AU165">
        <f>IF(OR($D165="",P165="",4&gt;$F165),0,IF(UPPER(TRIM(P165))=IFERROR(INDEX(Key!$C$2:$C$263,MATCH($D165*100+4,Key!$G$2:$G$263,0)),"#"),1,0))</f>
        <v/>
      </c>
      <c r="AV165">
        <f>IF(OR($D165="",Q165="",5&gt;$F165),0,IF(UPPER(TRIM(Q165))=IFERROR(INDEX(Key!$C$2:$C$263,MATCH($D165*100+5,Key!$G$2:$G$263,0)),"#"),1,0))</f>
        <v/>
      </c>
      <c r="AW165">
        <f>IF(OR($D165="",R165="",6&gt;$F165),0,IF(UPPER(TRIM(R165))=IFERROR(INDEX(Key!$C$2:$C$263,MATCH($D165*100+6,Key!$G$2:$G$263,0)),"#"),1,0))</f>
        <v/>
      </c>
      <c r="AX165">
        <f>IF(OR($D165="",S165="",7&gt;$F165),0,IF(UPPER(TRIM(S165))=IFERROR(INDEX(Key!$C$2:$C$263,MATCH($D165*100+7,Key!$G$2:$G$263,0)),"#"),1,0))</f>
        <v/>
      </c>
      <c r="AY165">
        <f>IF(OR($D165="",T165="",8&gt;$F165),0,IF(UPPER(TRIM(T165))=IFERROR(INDEX(Key!$C$2:$C$263,MATCH($D165*100+8,Key!$G$2:$G$263,0)),"#"),1,0))</f>
        <v/>
      </c>
      <c r="AZ165">
        <f>IF(OR($D165="",U165="",9&gt;$F165),0,IF(UPPER(TRIM(U165))=IFERROR(INDEX(Key!$C$2:$C$263,MATCH($D165*100+9,Key!$G$2:$G$263,0)),"#"),1,0))</f>
        <v/>
      </c>
      <c r="BA165">
        <f>IF(OR($D165="",V165="",10&gt;$F165),0,IF(UPPER(TRIM(V165))=IFERROR(INDEX(Key!$C$2:$C$263,MATCH($D165*100+10,Key!$G$2:$G$263,0)),"#"),1,0))</f>
        <v/>
      </c>
      <c r="BB165">
        <f>IF(OR($D165="",W165="",11&gt;$F165),0,IF(UPPER(TRIM(W165))=IFERROR(INDEX(Key!$C$2:$C$263,MATCH($D165*100+11,Key!$G$2:$G$263,0)),"#"),1,0))</f>
        <v/>
      </c>
      <c r="BC165">
        <f>IF(OR($D165="",X165="",12&gt;$F165),0,IF(UPPER(TRIM(X165))=IFERROR(INDEX(Key!$C$2:$C$263,MATCH($D165*100+12,Key!$G$2:$G$263,0)),"#"),1,0))</f>
        <v/>
      </c>
      <c r="BD165">
        <f>IF(OR($D165="",Y165="",13&gt;$F165),0,IF(UPPER(TRIM(Y165))=IFERROR(INDEX(Key!$C$2:$C$263,MATCH($D165*100+13,Key!$G$2:$G$263,0)),"#"),1,0))</f>
        <v/>
      </c>
      <c r="BE165">
        <f>IF(OR($D165="",Z165="",14&gt;$F165),0,IF(UPPER(TRIM(Z165))=IFERROR(INDEX(Key!$C$2:$C$263,MATCH($D165*100+14,Key!$G$2:$G$263,0)),"#"),1,0))</f>
        <v/>
      </c>
      <c r="BF165">
        <f>IF(OR($D165="",AA165="",15&gt;$F165),0,IF(UPPER(TRIM(AA165))=IFERROR(INDEX(Key!$C$2:$C$263,MATCH($D165*100+15,Key!$G$2:$G$263,0)),"#"),1,0))</f>
        <v/>
      </c>
      <c r="BG165">
        <f>IF(OR($D165="",AB165="",16&gt;$F165),0,IF(UPPER(TRIM(AB165))=IFERROR(INDEX(Key!$C$2:$C$263,MATCH($D165*100+16,Key!$G$2:$G$263,0)),"#"),1,0))</f>
        <v/>
      </c>
      <c r="BH165">
        <f>IF(OR($D165="",AC165="",17&gt;$F165),0,IF(UPPER(TRIM(AC165))=IFERROR(INDEX(Key!$C$2:$C$263,MATCH($D165*100+17,Key!$G$2:$G$263,0)),"#"),1,0))</f>
        <v/>
      </c>
      <c r="BI165">
        <f>IF(OR($D165="",AD165="",18&gt;$F165),0,IF(UPPER(TRIM(AD165))=IFERROR(INDEX(Key!$C$2:$C$263,MATCH($D165*100+18,Key!$G$2:$G$263,0)),"#"),1,0))</f>
        <v/>
      </c>
      <c r="BJ165">
        <f>IF(OR($D165="",AE165="",19&gt;$F165),0,IF(UPPER(TRIM(AE165))=IFERROR(INDEX(Key!$C$2:$C$263,MATCH($D165*100+19,Key!$G$2:$G$263,0)),"#"),1,0))</f>
        <v/>
      </c>
      <c r="BK165">
        <f>IF(OR($D165="",AF165="",20&gt;$F165),0,IF(UPPER(TRIM(AF165))=IFERROR(INDEX(Key!$C$2:$C$263,MATCH($D165*100+20,Key!$G$2:$G$263,0)),"#"),1,0))</f>
        <v/>
      </c>
      <c r="BL165">
        <f>IF(OR($D165="",AG165="",21&gt;$F165),0,IF(UPPER(TRIM(AG165))=IFERROR(INDEX(Key!$C$2:$C$263,MATCH($D165*100+21,Key!$G$2:$G$263,0)),"#"),1,0))</f>
        <v/>
      </c>
      <c r="BM165">
        <f>IF(OR($D165="",AH165="",22&gt;$F165),0,IF(UPPER(TRIM(AH165))=IFERROR(INDEX(Key!$C$2:$C$263,MATCH($D165*100+22,Key!$G$2:$G$263,0)),"#"),1,0))</f>
        <v/>
      </c>
      <c r="BN165">
        <f>IF(OR($D165="",AI165="",23&gt;$F165),0,IF(UPPER(TRIM(AI165))=IFERROR(INDEX(Key!$C$2:$C$263,MATCH($D165*100+23,Key!$G$2:$G$263,0)),"#"),1,0))</f>
        <v/>
      </c>
      <c r="BO165">
        <f>IF(OR($D165="",AJ165="",24&gt;$F165),0,IF(UPPER(TRIM(AJ165))=IFERROR(INDEX(Key!$C$2:$C$263,MATCH($D165*100+24,Key!$G$2:$G$263,0)),"#"),1,0))</f>
        <v/>
      </c>
      <c r="BP165">
        <f>IF(OR($D165="",AK165="",25&gt;$F165),0,IF(UPPER(TRIM(AK165))=IFERROR(INDEX(Key!$C$2:$C$263,MATCH($D165*100+25,Key!$G$2:$G$263,0)),"#"),1,0))</f>
        <v/>
      </c>
      <c r="BQ165">
        <f>IF(OR($D165="",AL165="",26&gt;$F165),0,IF(UPPER(TRIM(AL165))=IFERROR(INDEX(Key!$C$2:$C$263,MATCH($D165*100+26,Key!$G$2:$G$263,0)),"#"),1,0))</f>
        <v/>
      </c>
      <c r="BR165">
        <f>IF(OR($D165="",AM165="",27&gt;$F165),0,IF(UPPER(TRIM(AM165))=IFERROR(INDEX(Key!$C$2:$C$263,MATCH($D165*100+27,Key!$G$2:$G$263,0)),"#"),1,0))</f>
        <v/>
      </c>
      <c r="BS165">
        <f>IF(OR($D165="",AN165="",28&gt;$F165),0,IF(UPPER(TRIM(AN165))=IFERROR(INDEX(Key!$C$2:$C$263,MATCH($D165*100+28,Key!$G$2:$G$263,0)),"#"),1,0))</f>
        <v/>
      </c>
      <c r="BT165">
        <f>IF(OR($D165="",AO165="",29&gt;$F165),0,IF(UPPER(TRIM(AO165))=IFERROR(INDEX(Key!$C$2:$C$263,MATCH($D165*100+29,Key!$G$2:$G$263,0)),"#"),1,0))</f>
        <v/>
      </c>
      <c r="BU165">
        <f>IF(OR($D165="",AP165="",30&gt;$F165),0,IF(UPPER(TRIM(AP165))=IFERROR(INDEX(Key!$C$2:$C$263,MATCH($D165*100+30,Key!$G$2:$G$263,0)),"#"),1,0))</f>
        <v/>
      </c>
    </row>
    <row r="166">
      <c r="A166" s="6" t="n"/>
      <c r="B166" s="6" t="n"/>
      <c r="C166" s="6" t="n"/>
      <c r="D166" s="6" t="n"/>
      <c r="E166" s="7">
        <f>IF($D166="","",IFERROR(INDEX(Papers!$B$2:$B$12,MATCH($D166,Papers!$A$2:$A$12,0)),"?"))</f>
        <v/>
      </c>
      <c r="F166" s="7">
        <f>IF($D166="","",IFERROR(INDEX(Papers!$C$2:$C$12,MATCH($D166,Papers!$A$2:$A$12,0)),0))</f>
        <v/>
      </c>
      <c r="G166" s="7">
        <f>IF($D166="","",COUNTIF(M166:AP166,"?*"))</f>
        <v/>
      </c>
      <c r="H166" s="7">
        <f>IF($D166="","",SUM(AR166:BU166))</f>
        <v/>
      </c>
      <c r="I166" s="7">
        <f>IF($D166="","",G166-H166)</f>
        <v/>
      </c>
      <c r="J166" s="7">
        <f>IF($D166="","",F166-G166)</f>
        <v/>
      </c>
      <c r="K166" s="7">
        <f>IF($D166="","",H166)</f>
        <v/>
      </c>
      <c r="L166" s="7">
        <f>IF($D166="","",IF(F166=0,"",ROUND(H166/F166*100,1)))</f>
        <v/>
      </c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R166">
        <f>IF(OR($D166="",M166="",1&gt;$F166),0,IF(UPPER(TRIM(M166))=IFERROR(INDEX(Key!$C$2:$C$263,MATCH($D166*100+1,Key!$G$2:$G$263,0)),"#"),1,0))</f>
        <v/>
      </c>
      <c r="AS166">
        <f>IF(OR($D166="",N166="",2&gt;$F166),0,IF(UPPER(TRIM(N166))=IFERROR(INDEX(Key!$C$2:$C$263,MATCH($D166*100+2,Key!$G$2:$G$263,0)),"#"),1,0))</f>
        <v/>
      </c>
      <c r="AT166">
        <f>IF(OR($D166="",O166="",3&gt;$F166),0,IF(UPPER(TRIM(O166))=IFERROR(INDEX(Key!$C$2:$C$263,MATCH($D166*100+3,Key!$G$2:$G$263,0)),"#"),1,0))</f>
        <v/>
      </c>
      <c r="AU166">
        <f>IF(OR($D166="",P166="",4&gt;$F166),0,IF(UPPER(TRIM(P166))=IFERROR(INDEX(Key!$C$2:$C$263,MATCH($D166*100+4,Key!$G$2:$G$263,0)),"#"),1,0))</f>
        <v/>
      </c>
      <c r="AV166">
        <f>IF(OR($D166="",Q166="",5&gt;$F166),0,IF(UPPER(TRIM(Q166))=IFERROR(INDEX(Key!$C$2:$C$263,MATCH($D166*100+5,Key!$G$2:$G$263,0)),"#"),1,0))</f>
        <v/>
      </c>
      <c r="AW166">
        <f>IF(OR($D166="",R166="",6&gt;$F166),0,IF(UPPER(TRIM(R166))=IFERROR(INDEX(Key!$C$2:$C$263,MATCH($D166*100+6,Key!$G$2:$G$263,0)),"#"),1,0))</f>
        <v/>
      </c>
      <c r="AX166">
        <f>IF(OR($D166="",S166="",7&gt;$F166),0,IF(UPPER(TRIM(S166))=IFERROR(INDEX(Key!$C$2:$C$263,MATCH($D166*100+7,Key!$G$2:$G$263,0)),"#"),1,0))</f>
        <v/>
      </c>
      <c r="AY166">
        <f>IF(OR($D166="",T166="",8&gt;$F166),0,IF(UPPER(TRIM(T166))=IFERROR(INDEX(Key!$C$2:$C$263,MATCH($D166*100+8,Key!$G$2:$G$263,0)),"#"),1,0))</f>
        <v/>
      </c>
      <c r="AZ166">
        <f>IF(OR($D166="",U166="",9&gt;$F166),0,IF(UPPER(TRIM(U166))=IFERROR(INDEX(Key!$C$2:$C$263,MATCH($D166*100+9,Key!$G$2:$G$263,0)),"#"),1,0))</f>
        <v/>
      </c>
      <c r="BA166">
        <f>IF(OR($D166="",V166="",10&gt;$F166),0,IF(UPPER(TRIM(V166))=IFERROR(INDEX(Key!$C$2:$C$263,MATCH($D166*100+10,Key!$G$2:$G$263,0)),"#"),1,0))</f>
        <v/>
      </c>
      <c r="BB166">
        <f>IF(OR($D166="",W166="",11&gt;$F166),0,IF(UPPER(TRIM(W166))=IFERROR(INDEX(Key!$C$2:$C$263,MATCH($D166*100+11,Key!$G$2:$G$263,0)),"#"),1,0))</f>
        <v/>
      </c>
      <c r="BC166">
        <f>IF(OR($D166="",X166="",12&gt;$F166),0,IF(UPPER(TRIM(X166))=IFERROR(INDEX(Key!$C$2:$C$263,MATCH($D166*100+12,Key!$G$2:$G$263,0)),"#"),1,0))</f>
        <v/>
      </c>
      <c r="BD166">
        <f>IF(OR($D166="",Y166="",13&gt;$F166),0,IF(UPPER(TRIM(Y166))=IFERROR(INDEX(Key!$C$2:$C$263,MATCH($D166*100+13,Key!$G$2:$G$263,0)),"#"),1,0))</f>
        <v/>
      </c>
      <c r="BE166">
        <f>IF(OR($D166="",Z166="",14&gt;$F166),0,IF(UPPER(TRIM(Z166))=IFERROR(INDEX(Key!$C$2:$C$263,MATCH($D166*100+14,Key!$G$2:$G$263,0)),"#"),1,0))</f>
        <v/>
      </c>
      <c r="BF166">
        <f>IF(OR($D166="",AA166="",15&gt;$F166),0,IF(UPPER(TRIM(AA166))=IFERROR(INDEX(Key!$C$2:$C$263,MATCH($D166*100+15,Key!$G$2:$G$263,0)),"#"),1,0))</f>
        <v/>
      </c>
      <c r="BG166">
        <f>IF(OR($D166="",AB166="",16&gt;$F166),0,IF(UPPER(TRIM(AB166))=IFERROR(INDEX(Key!$C$2:$C$263,MATCH($D166*100+16,Key!$G$2:$G$263,0)),"#"),1,0))</f>
        <v/>
      </c>
      <c r="BH166">
        <f>IF(OR($D166="",AC166="",17&gt;$F166),0,IF(UPPER(TRIM(AC166))=IFERROR(INDEX(Key!$C$2:$C$263,MATCH($D166*100+17,Key!$G$2:$G$263,0)),"#"),1,0))</f>
        <v/>
      </c>
      <c r="BI166">
        <f>IF(OR($D166="",AD166="",18&gt;$F166),0,IF(UPPER(TRIM(AD166))=IFERROR(INDEX(Key!$C$2:$C$263,MATCH($D166*100+18,Key!$G$2:$G$263,0)),"#"),1,0))</f>
        <v/>
      </c>
      <c r="BJ166">
        <f>IF(OR($D166="",AE166="",19&gt;$F166),0,IF(UPPER(TRIM(AE166))=IFERROR(INDEX(Key!$C$2:$C$263,MATCH($D166*100+19,Key!$G$2:$G$263,0)),"#"),1,0))</f>
        <v/>
      </c>
      <c r="BK166">
        <f>IF(OR($D166="",AF166="",20&gt;$F166),0,IF(UPPER(TRIM(AF166))=IFERROR(INDEX(Key!$C$2:$C$263,MATCH($D166*100+20,Key!$G$2:$G$263,0)),"#"),1,0))</f>
        <v/>
      </c>
      <c r="BL166">
        <f>IF(OR($D166="",AG166="",21&gt;$F166),0,IF(UPPER(TRIM(AG166))=IFERROR(INDEX(Key!$C$2:$C$263,MATCH($D166*100+21,Key!$G$2:$G$263,0)),"#"),1,0))</f>
        <v/>
      </c>
      <c r="BM166">
        <f>IF(OR($D166="",AH166="",22&gt;$F166),0,IF(UPPER(TRIM(AH166))=IFERROR(INDEX(Key!$C$2:$C$263,MATCH($D166*100+22,Key!$G$2:$G$263,0)),"#"),1,0))</f>
        <v/>
      </c>
      <c r="BN166">
        <f>IF(OR($D166="",AI166="",23&gt;$F166),0,IF(UPPER(TRIM(AI166))=IFERROR(INDEX(Key!$C$2:$C$263,MATCH($D166*100+23,Key!$G$2:$G$263,0)),"#"),1,0))</f>
        <v/>
      </c>
      <c r="BO166">
        <f>IF(OR($D166="",AJ166="",24&gt;$F166),0,IF(UPPER(TRIM(AJ166))=IFERROR(INDEX(Key!$C$2:$C$263,MATCH($D166*100+24,Key!$G$2:$G$263,0)),"#"),1,0))</f>
        <v/>
      </c>
      <c r="BP166">
        <f>IF(OR($D166="",AK166="",25&gt;$F166),0,IF(UPPER(TRIM(AK166))=IFERROR(INDEX(Key!$C$2:$C$263,MATCH($D166*100+25,Key!$G$2:$G$263,0)),"#"),1,0))</f>
        <v/>
      </c>
      <c r="BQ166">
        <f>IF(OR($D166="",AL166="",26&gt;$F166),0,IF(UPPER(TRIM(AL166))=IFERROR(INDEX(Key!$C$2:$C$263,MATCH($D166*100+26,Key!$G$2:$G$263,0)),"#"),1,0))</f>
        <v/>
      </c>
      <c r="BR166">
        <f>IF(OR($D166="",AM166="",27&gt;$F166),0,IF(UPPER(TRIM(AM166))=IFERROR(INDEX(Key!$C$2:$C$263,MATCH($D166*100+27,Key!$G$2:$G$263,0)),"#"),1,0))</f>
        <v/>
      </c>
      <c r="BS166">
        <f>IF(OR($D166="",AN166="",28&gt;$F166),0,IF(UPPER(TRIM(AN166))=IFERROR(INDEX(Key!$C$2:$C$263,MATCH($D166*100+28,Key!$G$2:$G$263,0)),"#"),1,0))</f>
        <v/>
      </c>
      <c r="BT166">
        <f>IF(OR($D166="",AO166="",29&gt;$F166),0,IF(UPPER(TRIM(AO166))=IFERROR(INDEX(Key!$C$2:$C$263,MATCH($D166*100+29,Key!$G$2:$G$263,0)),"#"),1,0))</f>
        <v/>
      </c>
      <c r="BU166">
        <f>IF(OR($D166="",AP166="",30&gt;$F166),0,IF(UPPER(TRIM(AP166))=IFERROR(INDEX(Key!$C$2:$C$263,MATCH($D166*100+30,Key!$G$2:$G$263,0)),"#"),1,0))</f>
        <v/>
      </c>
    </row>
    <row r="167">
      <c r="A167" s="6" t="n"/>
      <c r="B167" s="6" t="n"/>
      <c r="C167" s="6" t="n"/>
      <c r="D167" s="6" t="n"/>
      <c r="E167" s="7">
        <f>IF($D167="","",IFERROR(INDEX(Papers!$B$2:$B$12,MATCH($D167,Papers!$A$2:$A$12,0)),"?"))</f>
        <v/>
      </c>
      <c r="F167" s="7">
        <f>IF($D167="","",IFERROR(INDEX(Papers!$C$2:$C$12,MATCH($D167,Papers!$A$2:$A$12,0)),0))</f>
        <v/>
      </c>
      <c r="G167" s="7">
        <f>IF($D167="","",COUNTIF(M167:AP167,"?*"))</f>
        <v/>
      </c>
      <c r="H167" s="7">
        <f>IF($D167="","",SUM(AR167:BU167))</f>
        <v/>
      </c>
      <c r="I167" s="7">
        <f>IF($D167="","",G167-H167)</f>
        <v/>
      </c>
      <c r="J167" s="7">
        <f>IF($D167="","",F167-G167)</f>
        <v/>
      </c>
      <c r="K167" s="7">
        <f>IF($D167="","",H167)</f>
        <v/>
      </c>
      <c r="L167" s="7">
        <f>IF($D167="","",IF(F167=0,"",ROUND(H167/F167*100,1)))</f>
        <v/>
      </c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R167">
        <f>IF(OR($D167="",M167="",1&gt;$F167),0,IF(UPPER(TRIM(M167))=IFERROR(INDEX(Key!$C$2:$C$263,MATCH($D167*100+1,Key!$G$2:$G$263,0)),"#"),1,0))</f>
        <v/>
      </c>
      <c r="AS167">
        <f>IF(OR($D167="",N167="",2&gt;$F167),0,IF(UPPER(TRIM(N167))=IFERROR(INDEX(Key!$C$2:$C$263,MATCH($D167*100+2,Key!$G$2:$G$263,0)),"#"),1,0))</f>
        <v/>
      </c>
      <c r="AT167">
        <f>IF(OR($D167="",O167="",3&gt;$F167),0,IF(UPPER(TRIM(O167))=IFERROR(INDEX(Key!$C$2:$C$263,MATCH($D167*100+3,Key!$G$2:$G$263,0)),"#"),1,0))</f>
        <v/>
      </c>
      <c r="AU167">
        <f>IF(OR($D167="",P167="",4&gt;$F167),0,IF(UPPER(TRIM(P167))=IFERROR(INDEX(Key!$C$2:$C$263,MATCH($D167*100+4,Key!$G$2:$G$263,0)),"#"),1,0))</f>
        <v/>
      </c>
      <c r="AV167">
        <f>IF(OR($D167="",Q167="",5&gt;$F167),0,IF(UPPER(TRIM(Q167))=IFERROR(INDEX(Key!$C$2:$C$263,MATCH($D167*100+5,Key!$G$2:$G$263,0)),"#"),1,0))</f>
        <v/>
      </c>
      <c r="AW167">
        <f>IF(OR($D167="",R167="",6&gt;$F167),0,IF(UPPER(TRIM(R167))=IFERROR(INDEX(Key!$C$2:$C$263,MATCH($D167*100+6,Key!$G$2:$G$263,0)),"#"),1,0))</f>
        <v/>
      </c>
      <c r="AX167">
        <f>IF(OR($D167="",S167="",7&gt;$F167),0,IF(UPPER(TRIM(S167))=IFERROR(INDEX(Key!$C$2:$C$263,MATCH($D167*100+7,Key!$G$2:$G$263,0)),"#"),1,0))</f>
        <v/>
      </c>
      <c r="AY167">
        <f>IF(OR($D167="",T167="",8&gt;$F167),0,IF(UPPER(TRIM(T167))=IFERROR(INDEX(Key!$C$2:$C$263,MATCH($D167*100+8,Key!$G$2:$G$263,0)),"#"),1,0))</f>
        <v/>
      </c>
      <c r="AZ167">
        <f>IF(OR($D167="",U167="",9&gt;$F167),0,IF(UPPER(TRIM(U167))=IFERROR(INDEX(Key!$C$2:$C$263,MATCH($D167*100+9,Key!$G$2:$G$263,0)),"#"),1,0))</f>
        <v/>
      </c>
      <c r="BA167">
        <f>IF(OR($D167="",V167="",10&gt;$F167),0,IF(UPPER(TRIM(V167))=IFERROR(INDEX(Key!$C$2:$C$263,MATCH($D167*100+10,Key!$G$2:$G$263,0)),"#"),1,0))</f>
        <v/>
      </c>
      <c r="BB167">
        <f>IF(OR($D167="",W167="",11&gt;$F167),0,IF(UPPER(TRIM(W167))=IFERROR(INDEX(Key!$C$2:$C$263,MATCH($D167*100+11,Key!$G$2:$G$263,0)),"#"),1,0))</f>
        <v/>
      </c>
      <c r="BC167">
        <f>IF(OR($D167="",X167="",12&gt;$F167),0,IF(UPPER(TRIM(X167))=IFERROR(INDEX(Key!$C$2:$C$263,MATCH($D167*100+12,Key!$G$2:$G$263,0)),"#"),1,0))</f>
        <v/>
      </c>
      <c r="BD167">
        <f>IF(OR($D167="",Y167="",13&gt;$F167),0,IF(UPPER(TRIM(Y167))=IFERROR(INDEX(Key!$C$2:$C$263,MATCH($D167*100+13,Key!$G$2:$G$263,0)),"#"),1,0))</f>
        <v/>
      </c>
      <c r="BE167">
        <f>IF(OR($D167="",Z167="",14&gt;$F167),0,IF(UPPER(TRIM(Z167))=IFERROR(INDEX(Key!$C$2:$C$263,MATCH($D167*100+14,Key!$G$2:$G$263,0)),"#"),1,0))</f>
        <v/>
      </c>
      <c r="BF167">
        <f>IF(OR($D167="",AA167="",15&gt;$F167),0,IF(UPPER(TRIM(AA167))=IFERROR(INDEX(Key!$C$2:$C$263,MATCH($D167*100+15,Key!$G$2:$G$263,0)),"#"),1,0))</f>
        <v/>
      </c>
      <c r="BG167">
        <f>IF(OR($D167="",AB167="",16&gt;$F167),0,IF(UPPER(TRIM(AB167))=IFERROR(INDEX(Key!$C$2:$C$263,MATCH($D167*100+16,Key!$G$2:$G$263,0)),"#"),1,0))</f>
        <v/>
      </c>
      <c r="BH167">
        <f>IF(OR($D167="",AC167="",17&gt;$F167),0,IF(UPPER(TRIM(AC167))=IFERROR(INDEX(Key!$C$2:$C$263,MATCH($D167*100+17,Key!$G$2:$G$263,0)),"#"),1,0))</f>
        <v/>
      </c>
      <c r="BI167">
        <f>IF(OR($D167="",AD167="",18&gt;$F167),0,IF(UPPER(TRIM(AD167))=IFERROR(INDEX(Key!$C$2:$C$263,MATCH($D167*100+18,Key!$G$2:$G$263,0)),"#"),1,0))</f>
        <v/>
      </c>
      <c r="BJ167">
        <f>IF(OR($D167="",AE167="",19&gt;$F167),0,IF(UPPER(TRIM(AE167))=IFERROR(INDEX(Key!$C$2:$C$263,MATCH($D167*100+19,Key!$G$2:$G$263,0)),"#"),1,0))</f>
        <v/>
      </c>
      <c r="BK167">
        <f>IF(OR($D167="",AF167="",20&gt;$F167),0,IF(UPPER(TRIM(AF167))=IFERROR(INDEX(Key!$C$2:$C$263,MATCH($D167*100+20,Key!$G$2:$G$263,0)),"#"),1,0))</f>
        <v/>
      </c>
      <c r="BL167">
        <f>IF(OR($D167="",AG167="",21&gt;$F167),0,IF(UPPER(TRIM(AG167))=IFERROR(INDEX(Key!$C$2:$C$263,MATCH($D167*100+21,Key!$G$2:$G$263,0)),"#"),1,0))</f>
        <v/>
      </c>
      <c r="BM167">
        <f>IF(OR($D167="",AH167="",22&gt;$F167),0,IF(UPPER(TRIM(AH167))=IFERROR(INDEX(Key!$C$2:$C$263,MATCH($D167*100+22,Key!$G$2:$G$263,0)),"#"),1,0))</f>
        <v/>
      </c>
      <c r="BN167">
        <f>IF(OR($D167="",AI167="",23&gt;$F167),0,IF(UPPER(TRIM(AI167))=IFERROR(INDEX(Key!$C$2:$C$263,MATCH($D167*100+23,Key!$G$2:$G$263,0)),"#"),1,0))</f>
        <v/>
      </c>
      <c r="BO167">
        <f>IF(OR($D167="",AJ167="",24&gt;$F167),0,IF(UPPER(TRIM(AJ167))=IFERROR(INDEX(Key!$C$2:$C$263,MATCH($D167*100+24,Key!$G$2:$G$263,0)),"#"),1,0))</f>
        <v/>
      </c>
      <c r="BP167">
        <f>IF(OR($D167="",AK167="",25&gt;$F167),0,IF(UPPER(TRIM(AK167))=IFERROR(INDEX(Key!$C$2:$C$263,MATCH($D167*100+25,Key!$G$2:$G$263,0)),"#"),1,0))</f>
        <v/>
      </c>
      <c r="BQ167">
        <f>IF(OR($D167="",AL167="",26&gt;$F167),0,IF(UPPER(TRIM(AL167))=IFERROR(INDEX(Key!$C$2:$C$263,MATCH($D167*100+26,Key!$G$2:$G$263,0)),"#"),1,0))</f>
        <v/>
      </c>
      <c r="BR167">
        <f>IF(OR($D167="",AM167="",27&gt;$F167),0,IF(UPPER(TRIM(AM167))=IFERROR(INDEX(Key!$C$2:$C$263,MATCH($D167*100+27,Key!$G$2:$G$263,0)),"#"),1,0))</f>
        <v/>
      </c>
      <c r="BS167">
        <f>IF(OR($D167="",AN167="",28&gt;$F167),0,IF(UPPER(TRIM(AN167))=IFERROR(INDEX(Key!$C$2:$C$263,MATCH($D167*100+28,Key!$G$2:$G$263,0)),"#"),1,0))</f>
        <v/>
      </c>
      <c r="BT167">
        <f>IF(OR($D167="",AO167="",29&gt;$F167),0,IF(UPPER(TRIM(AO167))=IFERROR(INDEX(Key!$C$2:$C$263,MATCH($D167*100+29,Key!$G$2:$G$263,0)),"#"),1,0))</f>
        <v/>
      </c>
      <c r="BU167">
        <f>IF(OR($D167="",AP167="",30&gt;$F167),0,IF(UPPER(TRIM(AP167))=IFERROR(INDEX(Key!$C$2:$C$263,MATCH($D167*100+30,Key!$G$2:$G$263,0)),"#"),1,0))</f>
        <v/>
      </c>
    </row>
    <row r="168">
      <c r="A168" s="6" t="n"/>
      <c r="B168" s="6" t="n"/>
      <c r="C168" s="6" t="n"/>
      <c r="D168" s="6" t="n"/>
      <c r="E168" s="7">
        <f>IF($D168="","",IFERROR(INDEX(Papers!$B$2:$B$12,MATCH($D168,Papers!$A$2:$A$12,0)),"?"))</f>
        <v/>
      </c>
      <c r="F168" s="7">
        <f>IF($D168="","",IFERROR(INDEX(Papers!$C$2:$C$12,MATCH($D168,Papers!$A$2:$A$12,0)),0))</f>
        <v/>
      </c>
      <c r="G168" s="7">
        <f>IF($D168="","",COUNTIF(M168:AP168,"?*"))</f>
        <v/>
      </c>
      <c r="H168" s="7">
        <f>IF($D168="","",SUM(AR168:BU168))</f>
        <v/>
      </c>
      <c r="I168" s="7">
        <f>IF($D168="","",G168-H168)</f>
        <v/>
      </c>
      <c r="J168" s="7">
        <f>IF($D168="","",F168-G168)</f>
        <v/>
      </c>
      <c r="K168" s="7">
        <f>IF($D168="","",H168)</f>
        <v/>
      </c>
      <c r="L168" s="7">
        <f>IF($D168="","",IF(F168=0,"",ROUND(H168/F168*100,1)))</f>
        <v/>
      </c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R168">
        <f>IF(OR($D168="",M168="",1&gt;$F168),0,IF(UPPER(TRIM(M168))=IFERROR(INDEX(Key!$C$2:$C$263,MATCH($D168*100+1,Key!$G$2:$G$263,0)),"#"),1,0))</f>
        <v/>
      </c>
      <c r="AS168">
        <f>IF(OR($D168="",N168="",2&gt;$F168),0,IF(UPPER(TRIM(N168))=IFERROR(INDEX(Key!$C$2:$C$263,MATCH($D168*100+2,Key!$G$2:$G$263,0)),"#"),1,0))</f>
        <v/>
      </c>
      <c r="AT168">
        <f>IF(OR($D168="",O168="",3&gt;$F168),0,IF(UPPER(TRIM(O168))=IFERROR(INDEX(Key!$C$2:$C$263,MATCH($D168*100+3,Key!$G$2:$G$263,0)),"#"),1,0))</f>
        <v/>
      </c>
      <c r="AU168">
        <f>IF(OR($D168="",P168="",4&gt;$F168),0,IF(UPPER(TRIM(P168))=IFERROR(INDEX(Key!$C$2:$C$263,MATCH($D168*100+4,Key!$G$2:$G$263,0)),"#"),1,0))</f>
        <v/>
      </c>
      <c r="AV168">
        <f>IF(OR($D168="",Q168="",5&gt;$F168),0,IF(UPPER(TRIM(Q168))=IFERROR(INDEX(Key!$C$2:$C$263,MATCH($D168*100+5,Key!$G$2:$G$263,0)),"#"),1,0))</f>
        <v/>
      </c>
      <c r="AW168">
        <f>IF(OR($D168="",R168="",6&gt;$F168),0,IF(UPPER(TRIM(R168))=IFERROR(INDEX(Key!$C$2:$C$263,MATCH($D168*100+6,Key!$G$2:$G$263,0)),"#"),1,0))</f>
        <v/>
      </c>
      <c r="AX168">
        <f>IF(OR($D168="",S168="",7&gt;$F168),0,IF(UPPER(TRIM(S168))=IFERROR(INDEX(Key!$C$2:$C$263,MATCH($D168*100+7,Key!$G$2:$G$263,0)),"#"),1,0))</f>
        <v/>
      </c>
      <c r="AY168">
        <f>IF(OR($D168="",T168="",8&gt;$F168),0,IF(UPPER(TRIM(T168))=IFERROR(INDEX(Key!$C$2:$C$263,MATCH($D168*100+8,Key!$G$2:$G$263,0)),"#"),1,0))</f>
        <v/>
      </c>
      <c r="AZ168">
        <f>IF(OR($D168="",U168="",9&gt;$F168),0,IF(UPPER(TRIM(U168))=IFERROR(INDEX(Key!$C$2:$C$263,MATCH($D168*100+9,Key!$G$2:$G$263,0)),"#"),1,0))</f>
        <v/>
      </c>
      <c r="BA168">
        <f>IF(OR($D168="",V168="",10&gt;$F168),0,IF(UPPER(TRIM(V168))=IFERROR(INDEX(Key!$C$2:$C$263,MATCH($D168*100+10,Key!$G$2:$G$263,0)),"#"),1,0))</f>
        <v/>
      </c>
      <c r="BB168">
        <f>IF(OR($D168="",W168="",11&gt;$F168),0,IF(UPPER(TRIM(W168))=IFERROR(INDEX(Key!$C$2:$C$263,MATCH($D168*100+11,Key!$G$2:$G$263,0)),"#"),1,0))</f>
        <v/>
      </c>
      <c r="BC168">
        <f>IF(OR($D168="",X168="",12&gt;$F168),0,IF(UPPER(TRIM(X168))=IFERROR(INDEX(Key!$C$2:$C$263,MATCH($D168*100+12,Key!$G$2:$G$263,0)),"#"),1,0))</f>
        <v/>
      </c>
      <c r="BD168">
        <f>IF(OR($D168="",Y168="",13&gt;$F168),0,IF(UPPER(TRIM(Y168))=IFERROR(INDEX(Key!$C$2:$C$263,MATCH($D168*100+13,Key!$G$2:$G$263,0)),"#"),1,0))</f>
        <v/>
      </c>
      <c r="BE168">
        <f>IF(OR($D168="",Z168="",14&gt;$F168),0,IF(UPPER(TRIM(Z168))=IFERROR(INDEX(Key!$C$2:$C$263,MATCH($D168*100+14,Key!$G$2:$G$263,0)),"#"),1,0))</f>
        <v/>
      </c>
      <c r="BF168">
        <f>IF(OR($D168="",AA168="",15&gt;$F168),0,IF(UPPER(TRIM(AA168))=IFERROR(INDEX(Key!$C$2:$C$263,MATCH($D168*100+15,Key!$G$2:$G$263,0)),"#"),1,0))</f>
        <v/>
      </c>
      <c r="BG168">
        <f>IF(OR($D168="",AB168="",16&gt;$F168),0,IF(UPPER(TRIM(AB168))=IFERROR(INDEX(Key!$C$2:$C$263,MATCH($D168*100+16,Key!$G$2:$G$263,0)),"#"),1,0))</f>
        <v/>
      </c>
      <c r="BH168">
        <f>IF(OR($D168="",AC168="",17&gt;$F168),0,IF(UPPER(TRIM(AC168))=IFERROR(INDEX(Key!$C$2:$C$263,MATCH($D168*100+17,Key!$G$2:$G$263,0)),"#"),1,0))</f>
        <v/>
      </c>
      <c r="BI168">
        <f>IF(OR($D168="",AD168="",18&gt;$F168),0,IF(UPPER(TRIM(AD168))=IFERROR(INDEX(Key!$C$2:$C$263,MATCH($D168*100+18,Key!$G$2:$G$263,0)),"#"),1,0))</f>
        <v/>
      </c>
      <c r="BJ168">
        <f>IF(OR($D168="",AE168="",19&gt;$F168),0,IF(UPPER(TRIM(AE168))=IFERROR(INDEX(Key!$C$2:$C$263,MATCH($D168*100+19,Key!$G$2:$G$263,0)),"#"),1,0))</f>
        <v/>
      </c>
      <c r="BK168">
        <f>IF(OR($D168="",AF168="",20&gt;$F168),0,IF(UPPER(TRIM(AF168))=IFERROR(INDEX(Key!$C$2:$C$263,MATCH($D168*100+20,Key!$G$2:$G$263,0)),"#"),1,0))</f>
        <v/>
      </c>
      <c r="BL168">
        <f>IF(OR($D168="",AG168="",21&gt;$F168),0,IF(UPPER(TRIM(AG168))=IFERROR(INDEX(Key!$C$2:$C$263,MATCH($D168*100+21,Key!$G$2:$G$263,0)),"#"),1,0))</f>
        <v/>
      </c>
      <c r="BM168">
        <f>IF(OR($D168="",AH168="",22&gt;$F168),0,IF(UPPER(TRIM(AH168))=IFERROR(INDEX(Key!$C$2:$C$263,MATCH($D168*100+22,Key!$G$2:$G$263,0)),"#"),1,0))</f>
        <v/>
      </c>
      <c r="BN168">
        <f>IF(OR($D168="",AI168="",23&gt;$F168),0,IF(UPPER(TRIM(AI168))=IFERROR(INDEX(Key!$C$2:$C$263,MATCH($D168*100+23,Key!$G$2:$G$263,0)),"#"),1,0))</f>
        <v/>
      </c>
      <c r="BO168">
        <f>IF(OR($D168="",AJ168="",24&gt;$F168),0,IF(UPPER(TRIM(AJ168))=IFERROR(INDEX(Key!$C$2:$C$263,MATCH($D168*100+24,Key!$G$2:$G$263,0)),"#"),1,0))</f>
        <v/>
      </c>
      <c r="BP168">
        <f>IF(OR($D168="",AK168="",25&gt;$F168),0,IF(UPPER(TRIM(AK168))=IFERROR(INDEX(Key!$C$2:$C$263,MATCH($D168*100+25,Key!$G$2:$G$263,0)),"#"),1,0))</f>
        <v/>
      </c>
      <c r="BQ168">
        <f>IF(OR($D168="",AL168="",26&gt;$F168),0,IF(UPPER(TRIM(AL168))=IFERROR(INDEX(Key!$C$2:$C$263,MATCH($D168*100+26,Key!$G$2:$G$263,0)),"#"),1,0))</f>
        <v/>
      </c>
      <c r="BR168">
        <f>IF(OR($D168="",AM168="",27&gt;$F168),0,IF(UPPER(TRIM(AM168))=IFERROR(INDEX(Key!$C$2:$C$263,MATCH($D168*100+27,Key!$G$2:$G$263,0)),"#"),1,0))</f>
        <v/>
      </c>
      <c r="BS168">
        <f>IF(OR($D168="",AN168="",28&gt;$F168),0,IF(UPPER(TRIM(AN168))=IFERROR(INDEX(Key!$C$2:$C$263,MATCH($D168*100+28,Key!$G$2:$G$263,0)),"#"),1,0))</f>
        <v/>
      </c>
      <c r="BT168">
        <f>IF(OR($D168="",AO168="",29&gt;$F168),0,IF(UPPER(TRIM(AO168))=IFERROR(INDEX(Key!$C$2:$C$263,MATCH($D168*100+29,Key!$G$2:$G$263,0)),"#"),1,0))</f>
        <v/>
      </c>
      <c r="BU168">
        <f>IF(OR($D168="",AP168="",30&gt;$F168),0,IF(UPPER(TRIM(AP168))=IFERROR(INDEX(Key!$C$2:$C$263,MATCH($D168*100+30,Key!$G$2:$G$263,0)),"#"),1,0))</f>
        <v/>
      </c>
    </row>
    <row r="169">
      <c r="A169" s="6" t="n"/>
      <c r="B169" s="6" t="n"/>
      <c r="C169" s="6" t="n"/>
      <c r="D169" s="6" t="n"/>
      <c r="E169" s="7">
        <f>IF($D169="","",IFERROR(INDEX(Papers!$B$2:$B$12,MATCH($D169,Papers!$A$2:$A$12,0)),"?"))</f>
        <v/>
      </c>
      <c r="F169" s="7">
        <f>IF($D169="","",IFERROR(INDEX(Papers!$C$2:$C$12,MATCH($D169,Papers!$A$2:$A$12,0)),0))</f>
        <v/>
      </c>
      <c r="G169" s="7">
        <f>IF($D169="","",COUNTIF(M169:AP169,"?*"))</f>
        <v/>
      </c>
      <c r="H169" s="7">
        <f>IF($D169="","",SUM(AR169:BU169))</f>
        <v/>
      </c>
      <c r="I169" s="7">
        <f>IF($D169="","",G169-H169)</f>
        <v/>
      </c>
      <c r="J169" s="7">
        <f>IF($D169="","",F169-G169)</f>
        <v/>
      </c>
      <c r="K169" s="7">
        <f>IF($D169="","",H169)</f>
        <v/>
      </c>
      <c r="L169" s="7">
        <f>IF($D169="","",IF(F169=0,"",ROUND(H169/F169*100,1)))</f>
        <v/>
      </c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R169">
        <f>IF(OR($D169="",M169="",1&gt;$F169),0,IF(UPPER(TRIM(M169))=IFERROR(INDEX(Key!$C$2:$C$263,MATCH($D169*100+1,Key!$G$2:$G$263,0)),"#"),1,0))</f>
        <v/>
      </c>
      <c r="AS169">
        <f>IF(OR($D169="",N169="",2&gt;$F169),0,IF(UPPER(TRIM(N169))=IFERROR(INDEX(Key!$C$2:$C$263,MATCH($D169*100+2,Key!$G$2:$G$263,0)),"#"),1,0))</f>
        <v/>
      </c>
      <c r="AT169">
        <f>IF(OR($D169="",O169="",3&gt;$F169),0,IF(UPPER(TRIM(O169))=IFERROR(INDEX(Key!$C$2:$C$263,MATCH($D169*100+3,Key!$G$2:$G$263,0)),"#"),1,0))</f>
        <v/>
      </c>
      <c r="AU169">
        <f>IF(OR($D169="",P169="",4&gt;$F169),0,IF(UPPER(TRIM(P169))=IFERROR(INDEX(Key!$C$2:$C$263,MATCH($D169*100+4,Key!$G$2:$G$263,0)),"#"),1,0))</f>
        <v/>
      </c>
      <c r="AV169">
        <f>IF(OR($D169="",Q169="",5&gt;$F169),0,IF(UPPER(TRIM(Q169))=IFERROR(INDEX(Key!$C$2:$C$263,MATCH($D169*100+5,Key!$G$2:$G$263,0)),"#"),1,0))</f>
        <v/>
      </c>
      <c r="AW169">
        <f>IF(OR($D169="",R169="",6&gt;$F169),0,IF(UPPER(TRIM(R169))=IFERROR(INDEX(Key!$C$2:$C$263,MATCH($D169*100+6,Key!$G$2:$G$263,0)),"#"),1,0))</f>
        <v/>
      </c>
      <c r="AX169">
        <f>IF(OR($D169="",S169="",7&gt;$F169),0,IF(UPPER(TRIM(S169))=IFERROR(INDEX(Key!$C$2:$C$263,MATCH($D169*100+7,Key!$G$2:$G$263,0)),"#"),1,0))</f>
        <v/>
      </c>
      <c r="AY169">
        <f>IF(OR($D169="",T169="",8&gt;$F169),0,IF(UPPER(TRIM(T169))=IFERROR(INDEX(Key!$C$2:$C$263,MATCH($D169*100+8,Key!$G$2:$G$263,0)),"#"),1,0))</f>
        <v/>
      </c>
      <c r="AZ169">
        <f>IF(OR($D169="",U169="",9&gt;$F169),0,IF(UPPER(TRIM(U169))=IFERROR(INDEX(Key!$C$2:$C$263,MATCH($D169*100+9,Key!$G$2:$G$263,0)),"#"),1,0))</f>
        <v/>
      </c>
      <c r="BA169">
        <f>IF(OR($D169="",V169="",10&gt;$F169),0,IF(UPPER(TRIM(V169))=IFERROR(INDEX(Key!$C$2:$C$263,MATCH($D169*100+10,Key!$G$2:$G$263,0)),"#"),1,0))</f>
        <v/>
      </c>
      <c r="BB169">
        <f>IF(OR($D169="",W169="",11&gt;$F169),0,IF(UPPER(TRIM(W169))=IFERROR(INDEX(Key!$C$2:$C$263,MATCH($D169*100+11,Key!$G$2:$G$263,0)),"#"),1,0))</f>
        <v/>
      </c>
      <c r="BC169">
        <f>IF(OR($D169="",X169="",12&gt;$F169),0,IF(UPPER(TRIM(X169))=IFERROR(INDEX(Key!$C$2:$C$263,MATCH($D169*100+12,Key!$G$2:$G$263,0)),"#"),1,0))</f>
        <v/>
      </c>
      <c r="BD169">
        <f>IF(OR($D169="",Y169="",13&gt;$F169),0,IF(UPPER(TRIM(Y169))=IFERROR(INDEX(Key!$C$2:$C$263,MATCH($D169*100+13,Key!$G$2:$G$263,0)),"#"),1,0))</f>
        <v/>
      </c>
      <c r="BE169">
        <f>IF(OR($D169="",Z169="",14&gt;$F169),0,IF(UPPER(TRIM(Z169))=IFERROR(INDEX(Key!$C$2:$C$263,MATCH($D169*100+14,Key!$G$2:$G$263,0)),"#"),1,0))</f>
        <v/>
      </c>
      <c r="BF169">
        <f>IF(OR($D169="",AA169="",15&gt;$F169),0,IF(UPPER(TRIM(AA169))=IFERROR(INDEX(Key!$C$2:$C$263,MATCH($D169*100+15,Key!$G$2:$G$263,0)),"#"),1,0))</f>
        <v/>
      </c>
      <c r="BG169">
        <f>IF(OR($D169="",AB169="",16&gt;$F169),0,IF(UPPER(TRIM(AB169))=IFERROR(INDEX(Key!$C$2:$C$263,MATCH($D169*100+16,Key!$G$2:$G$263,0)),"#"),1,0))</f>
        <v/>
      </c>
      <c r="BH169">
        <f>IF(OR($D169="",AC169="",17&gt;$F169),0,IF(UPPER(TRIM(AC169))=IFERROR(INDEX(Key!$C$2:$C$263,MATCH($D169*100+17,Key!$G$2:$G$263,0)),"#"),1,0))</f>
        <v/>
      </c>
      <c r="BI169">
        <f>IF(OR($D169="",AD169="",18&gt;$F169),0,IF(UPPER(TRIM(AD169))=IFERROR(INDEX(Key!$C$2:$C$263,MATCH($D169*100+18,Key!$G$2:$G$263,0)),"#"),1,0))</f>
        <v/>
      </c>
      <c r="BJ169">
        <f>IF(OR($D169="",AE169="",19&gt;$F169),0,IF(UPPER(TRIM(AE169))=IFERROR(INDEX(Key!$C$2:$C$263,MATCH($D169*100+19,Key!$G$2:$G$263,0)),"#"),1,0))</f>
        <v/>
      </c>
      <c r="BK169">
        <f>IF(OR($D169="",AF169="",20&gt;$F169),0,IF(UPPER(TRIM(AF169))=IFERROR(INDEX(Key!$C$2:$C$263,MATCH($D169*100+20,Key!$G$2:$G$263,0)),"#"),1,0))</f>
        <v/>
      </c>
      <c r="BL169">
        <f>IF(OR($D169="",AG169="",21&gt;$F169),0,IF(UPPER(TRIM(AG169))=IFERROR(INDEX(Key!$C$2:$C$263,MATCH($D169*100+21,Key!$G$2:$G$263,0)),"#"),1,0))</f>
        <v/>
      </c>
      <c r="BM169">
        <f>IF(OR($D169="",AH169="",22&gt;$F169),0,IF(UPPER(TRIM(AH169))=IFERROR(INDEX(Key!$C$2:$C$263,MATCH($D169*100+22,Key!$G$2:$G$263,0)),"#"),1,0))</f>
        <v/>
      </c>
      <c r="BN169">
        <f>IF(OR($D169="",AI169="",23&gt;$F169),0,IF(UPPER(TRIM(AI169))=IFERROR(INDEX(Key!$C$2:$C$263,MATCH($D169*100+23,Key!$G$2:$G$263,0)),"#"),1,0))</f>
        <v/>
      </c>
      <c r="BO169">
        <f>IF(OR($D169="",AJ169="",24&gt;$F169),0,IF(UPPER(TRIM(AJ169))=IFERROR(INDEX(Key!$C$2:$C$263,MATCH($D169*100+24,Key!$G$2:$G$263,0)),"#"),1,0))</f>
        <v/>
      </c>
      <c r="BP169">
        <f>IF(OR($D169="",AK169="",25&gt;$F169),0,IF(UPPER(TRIM(AK169))=IFERROR(INDEX(Key!$C$2:$C$263,MATCH($D169*100+25,Key!$G$2:$G$263,0)),"#"),1,0))</f>
        <v/>
      </c>
      <c r="BQ169">
        <f>IF(OR($D169="",AL169="",26&gt;$F169),0,IF(UPPER(TRIM(AL169))=IFERROR(INDEX(Key!$C$2:$C$263,MATCH($D169*100+26,Key!$G$2:$G$263,0)),"#"),1,0))</f>
        <v/>
      </c>
      <c r="BR169">
        <f>IF(OR($D169="",AM169="",27&gt;$F169),0,IF(UPPER(TRIM(AM169))=IFERROR(INDEX(Key!$C$2:$C$263,MATCH($D169*100+27,Key!$G$2:$G$263,0)),"#"),1,0))</f>
        <v/>
      </c>
      <c r="BS169">
        <f>IF(OR($D169="",AN169="",28&gt;$F169),0,IF(UPPER(TRIM(AN169))=IFERROR(INDEX(Key!$C$2:$C$263,MATCH($D169*100+28,Key!$G$2:$G$263,0)),"#"),1,0))</f>
        <v/>
      </c>
      <c r="BT169">
        <f>IF(OR($D169="",AO169="",29&gt;$F169),0,IF(UPPER(TRIM(AO169))=IFERROR(INDEX(Key!$C$2:$C$263,MATCH($D169*100+29,Key!$G$2:$G$263,0)),"#"),1,0))</f>
        <v/>
      </c>
      <c r="BU169">
        <f>IF(OR($D169="",AP169="",30&gt;$F169),0,IF(UPPER(TRIM(AP169))=IFERROR(INDEX(Key!$C$2:$C$263,MATCH($D169*100+30,Key!$G$2:$G$263,0)),"#"),1,0))</f>
        <v/>
      </c>
    </row>
    <row r="170">
      <c r="A170" s="6" t="n"/>
      <c r="B170" s="6" t="n"/>
      <c r="C170" s="6" t="n"/>
      <c r="D170" s="6" t="n"/>
      <c r="E170" s="7">
        <f>IF($D170="","",IFERROR(INDEX(Papers!$B$2:$B$12,MATCH($D170,Papers!$A$2:$A$12,0)),"?"))</f>
        <v/>
      </c>
      <c r="F170" s="7">
        <f>IF($D170="","",IFERROR(INDEX(Papers!$C$2:$C$12,MATCH($D170,Papers!$A$2:$A$12,0)),0))</f>
        <v/>
      </c>
      <c r="G170" s="7">
        <f>IF($D170="","",COUNTIF(M170:AP170,"?*"))</f>
        <v/>
      </c>
      <c r="H170" s="7">
        <f>IF($D170="","",SUM(AR170:BU170))</f>
        <v/>
      </c>
      <c r="I170" s="7">
        <f>IF($D170="","",G170-H170)</f>
        <v/>
      </c>
      <c r="J170" s="7">
        <f>IF($D170="","",F170-G170)</f>
        <v/>
      </c>
      <c r="K170" s="7">
        <f>IF($D170="","",H170)</f>
        <v/>
      </c>
      <c r="L170" s="7">
        <f>IF($D170="","",IF(F170=0,"",ROUND(H170/F170*100,1)))</f>
        <v/>
      </c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R170">
        <f>IF(OR($D170="",M170="",1&gt;$F170),0,IF(UPPER(TRIM(M170))=IFERROR(INDEX(Key!$C$2:$C$263,MATCH($D170*100+1,Key!$G$2:$G$263,0)),"#"),1,0))</f>
        <v/>
      </c>
      <c r="AS170">
        <f>IF(OR($D170="",N170="",2&gt;$F170),0,IF(UPPER(TRIM(N170))=IFERROR(INDEX(Key!$C$2:$C$263,MATCH($D170*100+2,Key!$G$2:$G$263,0)),"#"),1,0))</f>
        <v/>
      </c>
      <c r="AT170">
        <f>IF(OR($D170="",O170="",3&gt;$F170),0,IF(UPPER(TRIM(O170))=IFERROR(INDEX(Key!$C$2:$C$263,MATCH($D170*100+3,Key!$G$2:$G$263,0)),"#"),1,0))</f>
        <v/>
      </c>
      <c r="AU170">
        <f>IF(OR($D170="",P170="",4&gt;$F170),0,IF(UPPER(TRIM(P170))=IFERROR(INDEX(Key!$C$2:$C$263,MATCH($D170*100+4,Key!$G$2:$G$263,0)),"#"),1,0))</f>
        <v/>
      </c>
      <c r="AV170">
        <f>IF(OR($D170="",Q170="",5&gt;$F170),0,IF(UPPER(TRIM(Q170))=IFERROR(INDEX(Key!$C$2:$C$263,MATCH($D170*100+5,Key!$G$2:$G$263,0)),"#"),1,0))</f>
        <v/>
      </c>
      <c r="AW170">
        <f>IF(OR($D170="",R170="",6&gt;$F170),0,IF(UPPER(TRIM(R170))=IFERROR(INDEX(Key!$C$2:$C$263,MATCH($D170*100+6,Key!$G$2:$G$263,0)),"#"),1,0))</f>
        <v/>
      </c>
      <c r="AX170">
        <f>IF(OR($D170="",S170="",7&gt;$F170),0,IF(UPPER(TRIM(S170))=IFERROR(INDEX(Key!$C$2:$C$263,MATCH($D170*100+7,Key!$G$2:$G$263,0)),"#"),1,0))</f>
        <v/>
      </c>
      <c r="AY170">
        <f>IF(OR($D170="",T170="",8&gt;$F170),0,IF(UPPER(TRIM(T170))=IFERROR(INDEX(Key!$C$2:$C$263,MATCH($D170*100+8,Key!$G$2:$G$263,0)),"#"),1,0))</f>
        <v/>
      </c>
      <c r="AZ170">
        <f>IF(OR($D170="",U170="",9&gt;$F170),0,IF(UPPER(TRIM(U170))=IFERROR(INDEX(Key!$C$2:$C$263,MATCH($D170*100+9,Key!$G$2:$G$263,0)),"#"),1,0))</f>
        <v/>
      </c>
      <c r="BA170">
        <f>IF(OR($D170="",V170="",10&gt;$F170),0,IF(UPPER(TRIM(V170))=IFERROR(INDEX(Key!$C$2:$C$263,MATCH($D170*100+10,Key!$G$2:$G$263,0)),"#"),1,0))</f>
        <v/>
      </c>
      <c r="BB170">
        <f>IF(OR($D170="",W170="",11&gt;$F170),0,IF(UPPER(TRIM(W170))=IFERROR(INDEX(Key!$C$2:$C$263,MATCH($D170*100+11,Key!$G$2:$G$263,0)),"#"),1,0))</f>
        <v/>
      </c>
      <c r="BC170">
        <f>IF(OR($D170="",X170="",12&gt;$F170),0,IF(UPPER(TRIM(X170))=IFERROR(INDEX(Key!$C$2:$C$263,MATCH($D170*100+12,Key!$G$2:$G$263,0)),"#"),1,0))</f>
        <v/>
      </c>
      <c r="BD170">
        <f>IF(OR($D170="",Y170="",13&gt;$F170),0,IF(UPPER(TRIM(Y170))=IFERROR(INDEX(Key!$C$2:$C$263,MATCH($D170*100+13,Key!$G$2:$G$263,0)),"#"),1,0))</f>
        <v/>
      </c>
      <c r="BE170">
        <f>IF(OR($D170="",Z170="",14&gt;$F170),0,IF(UPPER(TRIM(Z170))=IFERROR(INDEX(Key!$C$2:$C$263,MATCH($D170*100+14,Key!$G$2:$G$263,0)),"#"),1,0))</f>
        <v/>
      </c>
      <c r="BF170">
        <f>IF(OR($D170="",AA170="",15&gt;$F170),0,IF(UPPER(TRIM(AA170))=IFERROR(INDEX(Key!$C$2:$C$263,MATCH($D170*100+15,Key!$G$2:$G$263,0)),"#"),1,0))</f>
        <v/>
      </c>
      <c r="BG170">
        <f>IF(OR($D170="",AB170="",16&gt;$F170),0,IF(UPPER(TRIM(AB170))=IFERROR(INDEX(Key!$C$2:$C$263,MATCH($D170*100+16,Key!$G$2:$G$263,0)),"#"),1,0))</f>
        <v/>
      </c>
      <c r="BH170">
        <f>IF(OR($D170="",AC170="",17&gt;$F170),0,IF(UPPER(TRIM(AC170))=IFERROR(INDEX(Key!$C$2:$C$263,MATCH($D170*100+17,Key!$G$2:$G$263,0)),"#"),1,0))</f>
        <v/>
      </c>
      <c r="BI170">
        <f>IF(OR($D170="",AD170="",18&gt;$F170),0,IF(UPPER(TRIM(AD170))=IFERROR(INDEX(Key!$C$2:$C$263,MATCH($D170*100+18,Key!$G$2:$G$263,0)),"#"),1,0))</f>
        <v/>
      </c>
      <c r="BJ170">
        <f>IF(OR($D170="",AE170="",19&gt;$F170),0,IF(UPPER(TRIM(AE170))=IFERROR(INDEX(Key!$C$2:$C$263,MATCH($D170*100+19,Key!$G$2:$G$263,0)),"#"),1,0))</f>
        <v/>
      </c>
      <c r="BK170">
        <f>IF(OR($D170="",AF170="",20&gt;$F170),0,IF(UPPER(TRIM(AF170))=IFERROR(INDEX(Key!$C$2:$C$263,MATCH($D170*100+20,Key!$G$2:$G$263,0)),"#"),1,0))</f>
        <v/>
      </c>
      <c r="BL170">
        <f>IF(OR($D170="",AG170="",21&gt;$F170),0,IF(UPPER(TRIM(AG170))=IFERROR(INDEX(Key!$C$2:$C$263,MATCH($D170*100+21,Key!$G$2:$G$263,0)),"#"),1,0))</f>
        <v/>
      </c>
      <c r="BM170">
        <f>IF(OR($D170="",AH170="",22&gt;$F170),0,IF(UPPER(TRIM(AH170))=IFERROR(INDEX(Key!$C$2:$C$263,MATCH($D170*100+22,Key!$G$2:$G$263,0)),"#"),1,0))</f>
        <v/>
      </c>
      <c r="BN170">
        <f>IF(OR($D170="",AI170="",23&gt;$F170),0,IF(UPPER(TRIM(AI170))=IFERROR(INDEX(Key!$C$2:$C$263,MATCH($D170*100+23,Key!$G$2:$G$263,0)),"#"),1,0))</f>
        <v/>
      </c>
      <c r="BO170">
        <f>IF(OR($D170="",AJ170="",24&gt;$F170),0,IF(UPPER(TRIM(AJ170))=IFERROR(INDEX(Key!$C$2:$C$263,MATCH($D170*100+24,Key!$G$2:$G$263,0)),"#"),1,0))</f>
        <v/>
      </c>
      <c r="BP170">
        <f>IF(OR($D170="",AK170="",25&gt;$F170),0,IF(UPPER(TRIM(AK170))=IFERROR(INDEX(Key!$C$2:$C$263,MATCH($D170*100+25,Key!$G$2:$G$263,0)),"#"),1,0))</f>
        <v/>
      </c>
      <c r="BQ170">
        <f>IF(OR($D170="",AL170="",26&gt;$F170),0,IF(UPPER(TRIM(AL170))=IFERROR(INDEX(Key!$C$2:$C$263,MATCH($D170*100+26,Key!$G$2:$G$263,0)),"#"),1,0))</f>
        <v/>
      </c>
      <c r="BR170">
        <f>IF(OR($D170="",AM170="",27&gt;$F170),0,IF(UPPER(TRIM(AM170))=IFERROR(INDEX(Key!$C$2:$C$263,MATCH($D170*100+27,Key!$G$2:$G$263,0)),"#"),1,0))</f>
        <v/>
      </c>
      <c r="BS170">
        <f>IF(OR($D170="",AN170="",28&gt;$F170),0,IF(UPPER(TRIM(AN170))=IFERROR(INDEX(Key!$C$2:$C$263,MATCH($D170*100+28,Key!$G$2:$G$263,0)),"#"),1,0))</f>
        <v/>
      </c>
      <c r="BT170">
        <f>IF(OR($D170="",AO170="",29&gt;$F170),0,IF(UPPER(TRIM(AO170))=IFERROR(INDEX(Key!$C$2:$C$263,MATCH($D170*100+29,Key!$G$2:$G$263,0)),"#"),1,0))</f>
        <v/>
      </c>
      <c r="BU170">
        <f>IF(OR($D170="",AP170="",30&gt;$F170),0,IF(UPPER(TRIM(AP170))=IFERROR(INDEX(Key!$C$2:$C$263,MATCH($D170*100+30,Key!$G$2:$G$263,0)),"#"),1,0))</f>
        <v/>
      </c>
    </row>
    <row r="171">
      <c r="A171" s="6" t="n"/>
      <c r="B171" s="6" t="n"/>
      <c r="C171" s="6" t="n"/>
      <c r="D171" s="6" t="n"/>
      <c r="E171" s="7">
        <f>IF($D171="","",IFERROR(INDEX(Papers!$B$2:$B$12,MATCH($D171,Papers!$A$2:$A$12,0)),"?"))</f>
        <v/>
      </c>
      <c r="F171" s="7">
        <f>IF($D171="","",IFERROR(INDEX(Papers!$C$2:$C$12,MATCH($D171,Papers!$A$2:$A$12,0)),0))</f>
        <v/>
      </c>
      <c r="G171" s="7">
        <f>IF($D171="","",COUNTIF(M171:AP171,"?*"))</f>
        <v/>
      </c>
      <c r="H171" s="7">
        <f>IF($D171="","",SUM(AR171:BU171))</f>
        <v/>
      </c>
      <c r="I171" s="7">
        <f>IF($D171="","",G171-H171)</f>
        <v/>
      </c>
      <c r="J171" s="7">
        <f>IF($D171="","",F171-G171)</f>
        <v/>
      </c>
      <c r="K171" s="7">
        <f>IF($D171="","",H171)</f>
        <v/>
      </c>
      <c r="L171" s="7">
        <f>IF($D171="","",IF(F171=0,"",ROUND(H171/F171*100,1)))</f>
        <v/>
      </c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R171">
        <f>IF(OR($D171="",M171="",1&gt;$F171),0,IF(UPPER(TRIM(M171))=IFERROR(INDEX(Key!$C$2:$C$263,MATCH($D171*100+1,Key!$G$2:$G$263,0)),"#"),1,0))</f>
        <v/>
      </c>
      <c r="AS171">
        <f>IF(OR($D171="",N171="",2&gt;$F171),0,IF(UPPER(TRIM(N171))=IFERROR(INDEX(Key!$C$2:$C$263,MATCH($D171*100+2,Key!$G$2:$G$263,0)),"#"),1,0))</f>
        <v/>
      </c>
      <c r="AT171">
        <f>IF(OR($D171="",O171="",3&gt;$F171),0,IF(UPPER(TRIM(O171))=IFERROR(INDEX(Key!$C$2:$C$263,MATCH($D171*100+3,Key!$G$2:$G$263,0)),"#"),1,0))</f>
        <v/>
      </c>
      <c r="AU171">
        <f>IF(OR($D171="",P171="",4&gt;$F171),0,IF(UPPER(TRIM(P171))=IFERROR(INDEX(Key!$C$2:$C$263,MATCH($D171*100+4,Key!$G$2:$G$263,0)),"#"),1,0))</f>
        <v/>
      </c>
      <c r="AV171">
        <f>IF(OR($D171="",Q171="",5&gt;$F171),0,IF(UPPER(TRIM(Q171))=IFERROR(INDEX(Key!$C$2:$C$263,MATCH($D171*100+5,Key!$G$2:$G$263,0)),"#"),1,0))</f>
        <v/>
      </c>
      <c r="AW171">
        <f>IF(OR($D171="",R171="",6&gt;$F171),0,IF(UPPER(TRIM(R171))=IFERROR(INDEX(Key!$C$2:$C$263,MATCH($D171*100+6,Key!$G$2:$G$263,0)),"#"),1,0))</f>
        <v/>
      </c>
      <c r="AX171">
        <f>IF(OR($D171="",S171="",7&gt;$F171),0,IF(UPPER(TRIM(S171))=IFERROR(INDEX(Key!$C$2:$C$263,MATCH($D171*100+7,Key!$G$2:$G$263,0)),"#"),1,0))</f>
        <v/>
      </c>
      <c r="AY171">
        <f>IF(OR($D171="",T171="",8&gt;$F171),0,IF(UPPER(TRIM(T171))=IFERROR(INDEX(Key!$C$2:$C$263,MATCH($D171*100+8,Key!$G$2:$G$263,0)),"#"),1,0))</f>
        <v/>
      </c>
      <c r="AZ171">
        <f>IF(OR($D171="",U171="",9&gt;$F171),0,IF(UPPER(TRIM(U171))=IFERROR(INDEX(Key!$C$2:$C$263,MATCH($D171*100+9,Key!$G$2:$G$263,0)),"#"),1,0))</f>
        <v/>
      </c>
      <c r="BA171">
        <f>IF(OR($D171="",V171="",10&gt;$F171),0,IF(UPPER(TRIM(V171))=IFERROR(INDEX(Key!$C$2:$C$263,MATCH($D171*100+10,Key!$G$2:$G$263,0)),"#"),1,0))</f>
        <v/>
      </c>
      <c r="BB171">
        <f>IF(OR($D171="",W171="",11&gt;$F171),0,IF(UPPER(TRIM(W171))=IFERROR(INDEX(Key!$C$2:$C$263,MATCH($D171*100+11,Key!$G$2:$G$263,0)),"#"),1,0))</f>
        <v/>
      </c>
      <c r="BC171">
        <f>IF(OR($D171="",X171="",12&gt;$F171),0,IF(UPPER(TRIM(X171))=IFERROR(INDEX(Key!$C$2:$C$263,MATCH($D171*100+12,Key!$G$2:$G$263,0)),"#"),1,0))</f>
        <v/>
      </c>
      <c r="BD171">
        <f>IF(OR($D171="",Y171="",13&gt;$F171),0,IF(UPPER(TRIM(Y171))=IFERROR(INDEX(Key!$C$2:$C$263,MATCH($D171*100+13,Key!$G$2:$G$263,0)),"#"),1,0))</f>
        <v/>
      </c>
      <c r="BE171">
        <f>IF(OR($D171="",Z171="",14&gt;$F171),0,IF(UPPER(TRIM(Z171))=IFERROR(INDEX(Key!$C$2:$C$263,MATCH($D171*100+14,Key!$G$2:$G$263,0)),"#"),1,0))</f>
        <v/>
      </c>
      <c r="BF171">
        <f>IF(OR($D171="",AA171="",15&gt;$F171),0,IF(UPPER(TRIM(AA171))=IFERROR(INDEX(Key!$C$2:$C$263,MATCH($D171*100+15,Key!$G$2:$G$263,0)),"#"),1,0))</f>
        <v/>
      </c>
      <c r="BG171">
        <f>IF(OR($D171="",AB171="",16&gt;$F171),0,IF(UPPER(TRIM(AB171))=IFERROR(INDEX(Key!$C$2:$C$263,MATCH($D171*100+16,Key!$G$2:$G$263,0)),"#"),1,0))</f>
        <v/>
      </c>
      <c r="BH171">
        <f>IF(OR($D171="",AC171="",17&gt;$F171),0,IF(UPPER(TRIM(AC171))=IFERROR(INDEX(Key!$C$2:$C$263,MATCH($D171*100+17,Key!$G$2:$G$263,0)),"#"),1,0))</f>
        <v/>
      </c>
      <c r="BI171">
        <f>IF(OR($D171="",AD171="",18&gt;$F171),0,IF(UPPER(TRIM(AD171))=IFERROR(INDEX(Key!$C$2:$C$263,MATCH($D171*100+18,Key!$G$2:$G$263,0)),"#"),1,0))</f>
        <v/>
      </c>
      <c r="BJ171">
        <f>IF(OR($D171="",AE171="",19&gt;$F171),0,IF(UPPER(TRIM(AE171))=IFERROR(INDEX(Key!$C$2:$C$263,MATCH($D171*100+19,Key!$G$2:$G$263,0)),"#"),1,0))</f>
        <v/>
      </c>
      <c r="BK171">
        <f>IF(OR($D171="",AF171="",20&gt;$F171),0,IF(UPPER(TRIM(AF171))=IFERROR(INDEX(Key!$C$2:$C$263,MATCH($D171*100+20,Key!$G$2:$G$263,0)),"#"),1,0))</f>
        <v/>
      </c>
      <c r="BL171">
        <f>IF(OR($D171="",AG171="",21&gt;$F171),0,IF(UPPER(TRIM(AG171))=IFERROR(INDEX(Key!$C$2:$C$263,MATCH($D171*100+21,Key!$G$2:$G$263,0)),"#"),1,0))</f>
        <v/>
      </c>
      <c r="BM171">
        <f>IF(OR($D171="",AH171="",22&gt;$F171),0,IF(UPPER(TRIM(AH171))=IFERROR(INDEX(Key!$C$2:$C$263,MATCH($D171*100+22,Key!$G$2:$G$263,0)),"#"),1,0))</f>
        <v/>
      </c>
      <c r="BN171">
        <f>IF(OR($D171="",AI171="",23&gt;$F171),0,IF(UPPER(TRIM(AI171))=IFERROR(INDEX(Key!$C$2:$C$263,MATCH($D171*100+23,Key!$G$2:$G$263,0)),"#"),1,0))</f>
        <v/>
      </c>
      <c r="BO171">
        <f>IF(OR($D171="",AJ171="",24&gt;$F171),0,IF(UPPER(TRIM(AJ171))=IFERROR(INDEX(Key!$C$2:$C$263,MATCH($D171*100+24,Key!$G$2:$G$263,0)),"#"),1,0))</f>
        <v/>
      </c>
      <c r="BP171">
        <f>IF(OR($D171="",AK171="",25&gt;$F171),0,IF(UPPER(TRIM(AK171))=IFERROR(INDEX(Key!$C$2:$C$263,MATCH($D171*100+25,Key!$G$2:$G$263,0)),"#"),1,0))</f>
        <v/>
      </c>
      <c r="BQ171">
        <f>IF(OR($D171="",AL171="",26&gt;$F171),0,IF(UPPER(TRIM(AL171))=IFERROR(INDEX(Key!$C$2:$C$263,MATCH($D171*100+26,Key!$G$2:$G$263,0)),"#"),1,0))</f>
        <v/>
      </c>
      <c r="BR171">
        <f>IF(OR($D171="",AM171="",27&gt;$F171),0,IF(UPPER(TRIM(AM171))=IFERROR(INDEX(Key!$C$2:$C$263,MATCH($D171*100+27,Key!$G$2:$G$263,0)),"#"),1,0))</f>
        <v/>
      </c>
      <c r="BS171">
        <f>IF(OR($D171="",AN171="",28&gt;$F171),0,IF(UPPER(TRIM(AN171))=IFERROR(INDEX(Key!$C$2:$C$263,MATCH($D171*100+28,Key!$G$2:$G$263,0)),"#"),1,0))</f>
        <v/>
      </c>
      <c r="BT171">
        <f>IF(OR($D171="",AO171="",29&gt;$F171),0,IF(UPPER(TRIM(AO171))=IFERROR(INDEX(Key!$C$2:$C$263,MATCH($D171*100+29,Key!$G$2:$G$263,0)),"#"),1,0))</f>
        <v/>
      </c>
      <c r="BU171">
        <f>IF(OR($D171="",AP171="",30&gt;$F171),0,IF(UPPER(TRIM(AP171))=IFERROR(INDEX(Key!$C$2:$C$263,MATCH($D171*100+30,Key!$G$2:$G$263,0)),"#"),1,0))</f>
        <v/>
      </c>
    </row>
    <row r="172">
      <c r="A172" s="6" t="n"/>
      <c r="B172" s="6" t="n"/>
      <c r="C172" s="6" t="n"/>
      <c r="D172" s="6" t="n"/>
      <c r="E172" s="7">
        <f>IF($D172="","",IFERROR(INDEX(Papers!$B$2:$B$12,MATCH($D172,Papers!$A$2:$A$12,0)),"?"))</f>
        <v/>
      </c>
      <c r="F172" s="7">
        <f>IF($D172="","",IFERROR(INDEX(Papers!$C$2:$C$12,MATCH($D172,Papers!$A$2:$A$12,0)),0))</f>
        <v/>
      </c>
      <c r="G172" s="7">
        <f>IF($D172="","",COUNTIF(M172:AP172,"?*"))</f>
        <v/>
      </c>
      <c r="H172" s="7">
        <f>IF($D172="","",SUM(AR172:BU172))</f>
        <v/>
      </c>
      <c r="I172" s="7">
        <f>IF($D172="","",G172-H172)</f>
        <v/>
      </c>
      <c r="J172" s="7">
        <f>IF($D172="","",F172-G172)</f>
        <v/>
      </c>
      <c r="K172" s="7">
        <f>IF($D172="","",H172)</f>
        <v/>
      </c>
      <c r="L172" s="7">
        <f>IF($D172="","",IF(F172=0,"",ROUND(H172/F172*100,1)))</f>
        <v/>
      </c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R172">
        <f>IF(OR($D172="",M172="",1&gt;$F172),0,IF(UPPER(TRIM(M172))=IFERROR(INDEX(Key!$C$2:$C$263,MATCH($D172*100+1,Key!$G$2:$G$263,0)),"#"),1,0))</f>
        <v/>
      </c>
      <c r="AS172">
        <f>IF(OR($D172="",N172="",2&gt;$F172),0,IF(UPPER(TRIM(N172))=IFERROR(INDEX(Key!$C$2:$C$263,MATCH($D172*100+2,Key!$G$2:$G$263,0)),"#"),1,0))</f>
        <v/>
      </c>
      <c r="AT172">
        <f>IF(OR($D172="",O172="",3&gt;$F172),0,IF(UPPER(TRIM(O172))=IFERROR(INDEX(Key!$C$2:$C$263,MATCH($D172*100+3,Key!$G$2:$G$263,0)),"#"),1,0))</f>
        <v/>
      </c>
      <c r="AU172">
        <f>IF(OR($D172="",P172="",4&gt;$F172),0,IF(UPPER(TRIM(P172))=IFERROR(INDEX(Key!$C$2:$C$263,MATCH($D172*100+4,Key!$G$2:$G$263,0)),"#"),1,0))</f>
        <v/>
      </c>
      <c r="AV172">
        <f>IF(OR($D172="",Q172="",5&gt;$F172),0,IF(UPPER(TRIM(Q172))=IFERROR(INDEX(Key!$C$2:$C$263,MATCH($D172*100+5,Key!$G$2:$G$263,0)),"#"),1,0))</f>
        <v/>
      </c>
      <c r="AW172">
        <f>IF(OR($D172="",R172="",6&gt;$F172),0,IF(UPPER(TRIM(R172))=IFERROR(INDEX(Key!$C$2:$C$263,MATCH($D172*100+6,Key!$G$2:$G$263,0)),"#"),1,0))</f>
        <v/>
      </c>
      <c r="AX172">
        <f>IF(OR($D172="",S172="",7&gt;$F172),0,IF(UPPER(TRIM(S172))=IFERROR(INDEX(Key!$C$2:$C$263,MATCH($D172*100+7,Key!$G$2:$G$263,0)),"#"),1,0))</f>
        <v/>
      </c>
      <c r="AY172">
        <f>IF(OR($D172="",T172="",8&gt;$F172),0,IF(UPPER(TRIM(T172))=IFERROR(INDEX(Key!$C$2:$C$263,MATCH($D172*100+8,Key!$G$2:$G$263,0)),"#"),1,0))</f>
        <v/>
      </c>
      <c r="AZ172">
        <f>IF(OR($D172="",U172="",9&gt;$F172),0,IF(UPPER(TRIM(U172))=IFERROR(INDEX(Key!$C$2:$C$263,MATCH($D172*100+9,Key!$G$2:$G$263,0)),"#"),1,0))</f>
        <v/>
      </c>
      <c r="BA172">
        <f>IF(OR($D172="",V172="",10&gt;$F172),0,IF(UPPER(TRIM(V172))=IFERROR(INDEX(Key!$C$2:$C$263,MATCH($D172*100+10,Key!$G$2:$G$263,0)),"#"),1,0))</f>
        <v/>
      </c>
      <c r="BB172">
        <f>IF(OR($D172="",W172="",11&gt;$F172),0,IF(UPPER(TRIM(W172))=IFERROR(INDEX(Key!$C$2:$C$263,MATCH($D172*100+11,Key!$G$2:$G$263,0)),"#"),1,0))</f>
        <v/>
      </c>
      <c r="BC172">
        <f>IF(OR($D172="",X172="",12&gt;$F172),0,IF(UPPER(TRIM(X172))=IFERROR(INDEX(Key!$C$2:$C$263,MATCH($D172*100+12,Key!$G$2:$G$263,0)),"#"),1,0))</f>
        <v/>
      </c>
      <c r="BD172">
        <f>IF(OR($D172="",Y172="",13&gt;$F172),0,IF(UPPER(TRIM(Y172))=IFERROR(INDEX(Key!$C$2:$C$263,MATCH($D172*100+13,Key!$G$2:$G$263,0)),"#"),1,0))</f>
        <v/>
      </c>
      <c r="BE172">
        <f>IF(OR($D172="",Z172="",14&gt;$F172),0,IF(UPPER(TRIM(Z172))=IFERROR(INDEX(Key!$C$2:$C$263,MATCH($D172*100+14,Key!$G$2:$G$263,0)),"#"),1,0))</f>
        <v/>
      </c>
      <c r="BF172">
        <f>IF(OR($D172="",AA172="",15&gt;$F172),0,IF(UPPER(TRIM(AA172))=IFERROR(INDEX(Key!$C$2:$C$263,MATCH($D172*100+15,Key!$G$2:$G$263,0)),"#"),1,0))</f>
        <v/>
      </c>
      <c r="BG172">
        <f>IF(OR($D172="",AB172="",16&gt;$F172),0,IF(UPPER(TRIM(AB172))=IFERROR(INDEX(Key!$C$2:$C$263,MATCH($D172*100+16,Key!$G$2:$G$263,0)),"#"),1,0))</f>
        <v/>
      </c>
      <c r="BH172">
        <f>IF(OR($D172="",AC172="",17&gt;$F172),0,IF(UPPER(TRIM(AC172))=IFERROR(INDEX(Key!$C$2:$C$263,MATCH($D172*100+17,Key!$G$2:$G$263,0)),"#"),1,0))</f>
        <v/>
      </c>
      <c r="BI172">
        <f>IF(OR($D172="",AD172="",18&gt;$F172),0,IF(UPPER(TRIM(AD172))=IFERROR(INDEX(Key!$C$2:$C$263,MATCH($D172*100+18,Key!$G$2:$G$263,0)),"#"),1,0))</f>
        <v/>
      </c>
      <c r="BJ172">
        <f>IF(OR($D172="",AE172="",19&gt;$F172),0,IF(UPPER(TRIM(AE172))=IFERROR(INDEX(Key!$C$2:$C$263,MATCH($D172*100+19,Key!$G$2:$G$263,0)),"#"),1,0))</f>
        <v/>
      </c>
      <c r="BK172">
        <f>IF(OR($D172="",AF172="",20&gt;$F172),0,IF(UPPER(TRIM(AF172))=IFERROR(INDEX(Key!$C$2:$C$263,MATCH($D172*100+20,Key!$G$2:$G$263,0)),"#"),1,0))</f>
        <v/>
      </c>
      <c r="BL172">
        <f>IF(OR($D172="",AG172="",21&gt;$F172),0,IF(UPPER(TRIM(AG172))=IFERROR(INDEX(Key!$C$2:$C$263,MATCH($D172*100+21,Key!$G$2:$G$263,0)),"#"),1,0))</f>
        <v/>
      </c>
      <c r="BM172">
        <f>IF(OR($D172="",AH172="",22&gt;$F172),0,IF(UPPER(TRIM(AH172))=IFERROR(INDEX(Key!$C$2:$C$263,MATCH($D172*100+22,Key!$G$2:$G$263,0)),"#"),1,0))</f>
        <v/>
      </c>
      <c r="BN172">
        <f>IF(OR($D172="",AI172="",23&gt;$F172),0,IF(UPPER(TRIM(AI172))=IFERROR(INDEX(Key!$C$2:$C$263,MATCH($D172*100+23,Key!$G$2:$G$263,0)),"#"),1,0))</f>
        <v/>
      </c>
      <c r="BO172">
        <f>IF(OR($D172="",AJ172="",24&gt;$F172),0,IF(UPPER(TRIM(AJ172))=IFERROR(INDEX(Key!$C$2:$C$263,MATCH($D172*100+24,Key!$G$2:$G$263,0)),"#"),1,0))</f>
        <v/>
      </c>
      <c r="BP172">
        <f>IF(OR($D172="",AK172="",25&gt;$F172),0,IF(UPPER(TRIM(AK172))=IFERROR(INDEX(Key!$C$2:$C$263,MATCH($D172*100+25,Key!$G$2:$G$263,0)),"#"),1,0))</f>
        <v/>
      </c>
      <c r="BQ172">
        <f>IF(OR($D172="",AL172="",26&gt;$F172),0,IF(UPPER(TRIM(AL172))=IFERROR(INDEX(Key!$C$2:$C$263,MATCH($D172*100+26,Key!$G$2:$G$263,0)),"#"),1,0))</f>
        <v/>
      </c>
      <c r="BR172">
        <f>IF(OR($D172="",AM172="",27&gt;$F172),0,IF(UPPER(TRIM(AM172))=IFERROR(INDEX(Key!$C$2:$C$263,MATCH($D172*100+27,Key!$G$2:$G$263,0)),"#"),1,0))</f>
        <v/>
      </c>
      <c r="BS172">
        <f>IF(OR($D172="",AN172="",28&gt;$F172),0,IF(UPPER(TRIM(AN172))=IFERROR(INDEX(Key!$C$2:$C$263,MATCH($D172*100+28,Key!$G$2:$G$263,0)),"#"),1,0))</f>
        <v/>
      </c>
      <c r="BT172">
        <f>IF(OR($D172="",AO172="",29&gt;$F172),0,IF(UPPER(TRIM(AO172))=IFERROR(INDEX(Key!$C$2:$C$263,MATCH($D172*100+29,Key!$G$2:$G$263,0)),"#"),1,0))</f>
        <v/>
      </c>
      <c r="BU172">
        <f>IF(OR($D172="",AP172="",30&gt;$F172),0,IF(UPPER(TRIM(AP172))=IFERROR(INDEX(Key!$C$2:$C$263,MATCH($D172*100+30,Key!$G$2:$G$263,0)),"#"),1,0))</f>
        <v/>
      </c>
    </row>
    <row r="173">
      <c r="A173" s="6" t="n"/>
      <c r="B173" s="6" t="n"/>
      <c r="C173" s="6" t="n"/>
      <c r="D173" s="6" t="n"/>
      <c r="E173" s="7">
        <f>IF($D173="","",IFERROR(INDEX(Papers!$B$2:$B$12,MATCH($D173,Papers!$A$2:$A$12,0)),"?"))</f>
        <v/>
      </c>
      <c r="F173" s="7">
        <f>IF($D173="","",IFERROR(INDEX(Papers!$C$2:$C$12,MATCH($D173,Papers!$A$2:$A$12,0)),0))</f>
        <v/>
      </c>
      <c r="G173" s="7">
        <f>IF($D173="","",COUNTIF(M173:AP173,"?*"))</f>
        <v/>
      </c>
      <c r="H173" s="7">
        <f>IF($D173="","",SUM(AR173:BU173))</f>
        <v/>
      </c>
      <c r="I173" s="7">
        <f>IF($D173="","",G173-H173)</f>
        <v/>
      </c>
      <c r="J173" s="7">
        <f>IF($D173="","",F173-G173)</f>
        <v/>
      </c>
      <c r="K173" s="7">
        <f>IF($D173="","",H173)</f>
        <v/>
      </c>
      <c r="L173" s="7">
        <f>IF($D173="","",IF(F173=0,"",ROUND(H173/F173*100,1)))</f>
        <v/>
      </c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R173">
        <f>IF(OR($D173="",M173="",1&gt;$F173),0,IF(UPPER(TRIM(M173))=IFERROR(INDEX(Key!$C$2:$C$263,MATCH($D173*100+1,Key!$G$2:$G$263,0)),"#"),1,0))</f>
        <v/>
      </c>
      <c r="AS173">
        <f>IF(OR($D173="",N173="",2&gt;$F173),0,IF(UPPER(TRIM(N173))=IFERROR(INDEX(Key!$C$2:$C$263,MATCH($D173*100+2,Key!$G$2:$G$263,0)),"#"),1,0))</f>
        <v/>
      </c>
      <c r="AT173">
        <f>IF(OR($D173="",O173="",3&gt;$F173),0,IF(UPPER(TRIM(O173))=IFERROR(INDEX(Key!$C$2:$C$263,MATCH($D173*100+3,Key!$G$2:$G$263,0)),"#"),1,0))</f>
        <v/>
      </c>
      <c r="AU173">
        <f>IF(OR($D173="",P173="",4&gt;$F173),0,IF(UPPER(TRIM(P173))=IFERROR(INDEX(Key!$C$2:$C$263,MATCH($D173*100+4,Key!$G$2:$G$263,0)),"#"),1,0))</f>
        <v/>
      </c>
      <c r="AV173">
        <f>IF(OR($D173="",Q173="",5&gt;$F173),0,IF(UPPER(TRIM(Q173))=IFERROR(INDEX(Key!$C$2:$C$263,MATCH($D173*100+5,Key!$G$2:$G$263,0)),"#"),1,0))</f>
        <v/>
      </c>
      <c r="AW173">
        <f>IF(OR($D173="",R173="",6&gt;$F173),0,IF(UPPER(TRIM(R173))=IFERROR(INDEX(Key!$C$2:$C$263,MATCH($D173*100+6,Key!$G$2:$G$263,0)),"#"),1,0))</f>
        <v/>
      </c>
      <c r="AX173">
        <f>IF(OR($D173="",S173="",7&gt;$F173),0,IF(UPPER(TRIM(S173))=IFERROR(INDEX(Key!$C$2:$C$263,MATCH($D173*100+7,Key!$G$2:$G$263,0)),"#"),1,0))</f>
        <v/>
      </c>
      <c r="AY173">
        <f>IF(OR($D173="",T173="",8&gt;$F173),0,IF(UPPER(TRIM(T173))=IFERROR(INDEX(Key!$C$2:$C$263,MATCH($D173*100+8,Key!$G$2:$G$263,0)),"#"),1,0))</f>
        <v/>
      </c>
      <c r="AZ173">
        <f>IF(OR($D173="",U173="",9&gt;$F173),0,IF(UPPER(TRIM(U173))=IFERROR(INDEX(Key!$C$2:$C$263,MATCH($D173*100+9,Key!$G$2:$G$263,0)),"#"),1,0))</f>
        <v/>
      </c>
      <c r="BA173">
        <f>IF(OR($D173="",V173="",10&gt;$F173),0,IF(UPPER(TRIM(V173))=IFERROR(INDEX(Key!$C$2:$C$263,MATCH($D173*100+10,Key!$G$2:$G$263,0)),"#"),1,0))</f>
        <v/>
      </c>
      <c r="BB173">
        <f>IF(OR($D173="",W173="",11&gt;$F173),0,IF(UPPER(TRIM(W173))=IFERROR(INDEX(Key!$C$2:$C$263,MATCH($D173*100+11,Key!$G$2:$G$263,0)),"#"),1,0))</f>
        <v/>
      </c>
      <c r="BC173">
        <f>IF(OR($D173="",X173="",12&gt;$F173),0,IF(UPPER(TRIM(X173))=IFERROR(INDEX(Key!$C$2:$C$263,MATCH($D173*100+12,Key!$G$2:$G$263,0)),"#"),1,0))</f>
        <v/>
      </c>
      <c r="BD173">
        <f>IF(OR($D173="",Y173="",13&gt;$F173),0,IF(UPPER(TRIM(Y173))=IFERROR(INDEX(Key!$C$2:$C$263,MATCH($D173*100+13,Key!$G$2:$G$263,0)),"#"),1,0))</f>
        <v/>
      </c>
      <c r="BE173">
        <f>IF(OR($D173="",Z173="",14&gt;$F173),0,IF(UPPER(TRIM(Z173))=IFERROR(INDEX(Key!$C$2:$C$263,MATCH($D173*100+14,Key!$G$2:$G$263,0)),"#"),1,0))</f>
        <v/>
      </c>
      <c r="BF173">
        <f>IF(OR($D173="",AA173="",15&gt;$F173),0,IF(UPPER(TRIM(AA173))=IFERROR(INDEX(Key!$C$2:$C$263,MATCH($D173*100+15,Key!$G$2:$G$263,0)),"#"),1,0))</f>
        <v/>
      </c>
      <c r="BG173">
        <f>IF(OR($D173="",AB173="",16&gt;$F173),0,IF(UPPER(TRIM(AB173))=IFERROR(INDEX(Key!$C$2:$C$263,MATCH($D173*100+16,Key!$G$2:$G$263,0)),"#"),1,0))</f>
        <v/>
      </c>
      <c r="BH173">
        <f>IF(OR($D173="",AC173="",17&gt;$F173),0,IF(UPPER(TRIM(AC173))=IFERROR(INDEX(Key!$C$2:$C$263,MATCH($D173*100+17,Key!$G$2:$G$263,0)),"#"),1,0))</f>
        <v/>
      </c>
      <c r="BI173">
        <f>IF(OR($D173="",AD173="",18&gt;$F173),0,IF(UPPER(TRIM(AD173))=IFERROR(INDEX(Key!$C$2:$C$263,MATCH($D173*100+18,Key!$G$2:$G$263,0)),"#"),1,0))</f>
        <v/>
      </c>
      <c r="BJ173">
        <f>IF(OR($D173="",AE173="",19&gt;$F173),0,IF(UPPER(TRIM(AE173))=IFERROR(INDEX(Key!$C$2:$C$263,MATCH($D173*100+19,Key!$G$2:$G$263,0)),"#"),1,0))</f>
        <v/>
      </c>
      <c r="BK173">
        <f>IF(OR($D173="",AF173="",20&gt;$F173),0,IF(UPPER(TRIM(AF173))=IFERROR(INDEX(Key!$C$2:$C$263,MATCH($D173*100+20,Key!$G$2:$G$263,0)),"#"),1,0))</f>
        <v/>
      </c>
      <c r="BL173">
        <f>IF(OR($D173="",AG173="",21&gt;$F173),0,IF(UPPER(TRIM(AG173))=IFERROR(INDEX(Key!$C$2:$C$263,MATCH($D173*100+21,Key!$G$2:$G$263,0)),"#"),1,0))</f>
        <v/>
      </c>
      <c r="BM173">
        <f>IF(OR($D173="",AH173="",22&gt;$F173),0,IF(UPPER(TRIM(AH173))=IFERROR(INDEX(Key!$C$2:$C$263,MATCH($D173*100+22,Key!$G$2:$G$263,0)),"#"),1,0))</f>
        <v/>
      </c>
      <c r="BN173">
        <f>IF(OR($D173="",AI173="",23&gt;$F173),0,IF(UPPER(TRIM(AI173))=IFERROR(INDEX(Key!$C$2:$C$263,MATCH($D173*100+23,Key!$G$2:$G$263,0)),"#"),1,0))</f>
        <v/>
      </c>
      <c r="BO173">
        <f>IF(OR($D173="",AJ173="",24&gt;$F173),0,IF(UPPER(TRIM(AJ173))=IFERROR(INDEX(Key!$C$2:$C$263,MATCH($D173*100+24,Key!$G$2:$G$263,0)),"#"),1,0))</f>
        <v/>
      </c>
      <c r="BP173">
        <f>IF(OR($D173="",AK173="",25&gt;$F173),0,IF(UPPER(TRIM(AK173))=IFERROR(INDEX(Key!$C$2:$C$263,MATCH($D173*100+25,Key!$G$2:$G$263,0)),"#"),1,0))</f>
        <v/>
      </c>
      <c r="BQ173">
        <f>IF(OR($D173="",AL173="",26&gt;$F173),0,IF(UPPER(TRIM(AL173))=IFERROR(INDEX(Key!$C$2:$C$263,MATCH($D173*100+26,Key!$G$2:$G$263,0)),"#"),1,0))</f>
        <v/>
      </c>
      <c r="BR173">
        <f>IF(OR($D173="",AM173="",27&gt;$F173),0,IF(UPPER(TRIM(AM173))=IFERROR(INDEX(Key!$C$2:$C$263,MATCH($D173*100+27,Key!$G$2:$G$263,0)),"#"),1,0))</f>
        <v/>
      </c>
      <c r="BS173">
        <f>IF(OR($D173="",AN173="",28&gt;$F173),0,IF(UPPER(TRIM(AN173))=IFERROR(INDEX(Key!$C$2:$C$263,MATCH($D173*100+28,Key!$G$2:$G$263,0)),"#"),1,0))</f>
        <v/>
      </c>
      <c r="BT173">
        <f>IF(OR($D173="",AO173="",29&gt;$F173),0,IF(UPPER(TRIM(AO173))=IFERROR(INDEX(Key!$C$2:$C$263,MATCH($D173*100+29,Key!$G$2:$G$263,0)),"#"),1,0))</f>
        <v/>
      </c>
      <c r="BU173">
        <f>IF(OR($D173="",AP173="",30&gt;$F173),0,IF(UPPER(TRIM(AP173))=IFERROR(INDEX(Key!$C$2:$C$263,MATCH($D173*100+30,Key!$G$2:$G$263,0)),"#"),1,0))</f>
        <v/>
      </c>
    </row>
    <row r="174">
      <c r="A174" s="6" t="n"/>
      <c r="B174" s="6" t="n"/>
      <c r="C174" s="6" t="n"/>
      <c r="D174" s="6" t="n"/>
      <c r="E174" s="7">
        <f>IF($D174="","",IFERROR(INDEX(Papers!$B$2:$B$12,MATCH($D174,Papers!$A$2:$A$12,0)),"?"))</f>
        <v/>
      </c>
      <c r="F174" s="7">
        <f>IF($D174="","",IFERROR(INDEX(Papers!$C$2:$C$12,MATCH($D174,Papers!$A$2:$A$12,0)),0))</f>
        <v/>
      </c>
      <c r="G174" s="7">
        <f>IF($D174="","",COUNTIF(M174:AP174,"?*"))</f>
        <v/>
      </c>
      <c r="H174" s="7">
        <f>IF($D174="","",SUM(AR174:BU174))</f>
        <v/>
      </c>
      <c r="I174" s="7">
        <f>IF($D174="","",G174-H174)</f>
        <v/>
      </c>
      <c r="J174" s="7">
        <f>IF($D174="","",F174-G174)</f>
        <v/>
      </c>
      <c r="K174" s="7">
        <f>IF($D174="","",H174)</f>
        <v/>
      </c>
      <c r="L174" s="7">
        <f>IF($D174="","",IF(F174=0,"",ROUND(H174/F174*100,1)))</f>
        <v/>
      </c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R174">
        <f>IF(OR($D174="",M174="",1&gt;$F174),0,IF(UPPER(TRIM(M174))=IFERROR(INDEX(Key!$C$2:$C$263,MATCH($D174*100+1,Key!$G$2:$G$263,0)),"#"),1,0))</f>
        <v/>
      </c>
      <c r="AS174">
        <f>IF(OR($D174="",N174="",2&gt;$F174),0,IF(UPPER(TRIM(N174))=IFERROR(INDEX(Key!$C$2:$C$263,MATCH($D174*100+2,Key!$G$2:$G$263,0)),"#"),1,0))</f>
        <v/>
      </c>
      <c r="AT174">
        <f>IF(OR($D174="",O174="",3&gt;$F174),0,IF(UPPER(TRIM(O174))=IFERROR(INDEX(Key!$C$2:$C$263,MATCH($D174*100+3,Key!$G$2:$G$263,0)),"#"),1,0))</f>
        <v/>
      </c>
      <c r="AU174">
        <f>IF(OR($D174="",P174="",4&gt;$F174),0,IF(UPPER(TRIM(P174))=IFERROR(INDEX(Key!$C$2:$C$263,MATCH($D174*100+4,Key!$G$2:$G$263,0)),"#"),1,0))</f>
        <v/>
      </c>
      <c r="AV174">
        <f>IF(OR($D174="",Q174="",5&gt;$F174),0,IF(UPPER(TRIM(Q174))=IFERROR(INDEX(Key!$C$2:$C$263,MATCH($D174*100+5,Key!$G$2:$G$263,0)),"#"),1,0))</f>
        <v/>
      </c>
      <c r="AW174">
        <f>IF(OR($D174="",R174="",6&gt;$F174),0,IF(UPPER(TRIM(R174))=IFERROR(INDEX(Key!$C$2:$C$263,MATCH($D174*100+6,Key!$G$2:$G$263,0)),"#"),1,0))</f>
        <v/>
      </c>
      <c r="AX174">
        <f>IF(OR($D174="",S174="",7&gt;$F174),0,IF(UPPER(TRIM(S174))=IFERROR(INDEX(Key!$C$2:$C$263,MATCH($D174*100+7,Key!$G$2:$G$263,0)),"#"),1,0))</f>
        <v/>
      </c>
      <c r="AY174">
        <f>IF(OR($D174="",T174="",8&gt;$F174),0,IF(UPPER(TRIM(T174))=IFERROR(INDEX(Key!$C$2:$C$263,MATCH($D174*100+8,Key!$G$2:$G$263,0)),"#"),1,0))</f>
        <v/>
      </c>
      <c r="AZ174">
        <f>IF(OR($D174="",U174="",9&gt;$F174),0,IF(UPPER(TRIM(U174))=IFERROR(INDEX(Key!$C$2:$C$263,MATCH($D174*100+9,Key!$G$2:$G$263,0)),"#"),1,0))</f>
        <v/>
      </c>
      <c r="BA174">
        <f>IF(OR($D174="",V174="",10&gt;$F174),0,IF(UPPER(TRIM(V174))=IFERROR(INDEX(Key!$C$2:$C$263,MATCH($D174*100+10,Key!$G$2:$G$263,0)),"#"),1,0))</f>
        <v/>
      </c>
      <c r="BB174">
        <f>IF(OR($D174="",W174="",11&gt;$F174),0,IF(UPPER(TRIM(W174))=IFERROR(INDEX(Key!$C$2:$C$263,MATCH($D174*100+11,Key!$G$2:$G$263,0)),"#"),1,0))</f>
        <v/>
      </c>
      <c r="BC174">
        <f>IF(OR($D174="",X174="",12&gt;$F174),0,IF(UPPER(TRIM(X174))=IFERROR(INDEX(Key!$C$2:$C$263,MATCH($D174*100+12,Key!$G$2:$G$263,0)),"#"),1,0))</f>
        <v/>
      </c>
      <c r="BD174">
        <f>IF(OR($D174="",Y174="",13&gt;$F174),0,IF(UPPER(TRIM(Y174))=IFERROR(INDEX(Key!$C$2:$C$263,MATCH($D174*100+13,Key!$G$2:$G$263,0)),"#"),1,0))</f>
        <v/>
      </c>
      <c r="BE174">
        <f>IF(OR($D174="",Z174="",14&gt;$F174),0,IF(UPPER(TRIM(Z174))=IFERROR(INDEX(Key!$C$2:$C$263,MATCH($D174*100+14,Key!$G$2:$G$263,0)),"#"),1,0))</f>
        <v/>
      </c>
      <c r="BF174">
        <f>IF(OR($D174="",AA174="",15&gt;$F174),0,IF(UPPER(TRIM(AA174))=IFERROR(INDEX(Key!$C$2:$C$263,MATCH($D174*100+15,Key!$G$2:$G$263,0)),"#"),1,0))</f>
        <v/>
      </c>
      <c r="BG174">
        <f>IF(OR($D174="",AB174="",16&gt;$F174),0,IF(UPPER(TRIM(AB174))=IFERROR(INDEX(Key!$C$2:$C$263,MATCH($D174*100+16,Key!$G$2:$G$263,0)),"#"),1,0))</f>
        <v/>
      </c>
      <c r="BH174">
        <f>IF(OR($D174="",AC174="",17&gt;$F174),0,IF(UPPER(TRIM(AC174))=IFERROR(INDEX(Key!$C$2:$C$263,MATCH($D174*100+17,Key!$G$2:$G$263,0)),"#"),1,0))</f>
        <v/>
      </c>
      <c r="BI174">
        <f>IF(OR($D174="",AD174="",18&gt;$F174),0,IF(UPPER(TRIM(AD174))=IFERROR(INDEX(Key!$C$2:$C$263,MATCH($D174*100+18,Key!$G$2:$G$263,0)),"#"),1,0))</f>
        <v/>
      </c>
      <c r="BJ174">
        <f>IF(OR($D174="",AE174="",19&gt;$F174),0,IF(UPPER(TRIM(AE174))=IFERROR(INDEX(Key!$C$2:$C$263,MATCH($D174*100+19,Key!$G$2:$G$263,0)),"#"),1,0))</f>
        <v/>
      </c>
      <c r="BK174">
        <f>IF(OR($D174="",AF174="",20&gt;$F174),0,IF(UPPER(TRIM(AF174))=IFERROR(INDEX(Key!$C$2:$C$263,MATCH($D174*100+20,Key!$G$2:$G$263,0)),"#"),1,0))</f>
        <v/>
      </c>
      <c r="BL174">
        <f>IF(OR($D174="",AG174="",21&gt;$F174),0,IF(UPPER(TRIM(AG174))=IFERROR(INDEX(Key!$C$2:$C$263,MATCH($D174*100+21,Key!$G$2:$G$263,0)),"#"),1,0))</f>
        <v/>
      </c>
      <c r="BM174">
        <f>IF(OR($D174="",AH174="",22&gt;$F174),0,IF(UPPER(TRIM(AH174))=IFERROR(INDEX(Key!$C$2:$C$263,MATCH($D174*100+22,Key!$G$2:$G$263,0)),"#"),1,0))</f>
        <v/>
      </c>
      <c r="BN174">
        <f>IF(OR($D174="",AI174="",23&gt;$F174),0,IF(UPPER(TRIM(AI174))=IFERROR(INDEX(Key!$C$2:$C$263,MATCH($D174*100+23,Key!$G$2:$G$263,0)),"#"),1,0))</f>
        <v/>
      </c>
      <c r="BO174">
        <f>IF(OR($D174="",AJ174="",24&gt;$F174),0,IF(UPPER(TRIM(AJ174))=IFERROR(INDEX(Key!$C$2:$C$263,MATCH($D174*100+24,Key!$G$2:$G$263,0)),"#"),1,0))</f>
        <v/>
      </c>
      <c r="BP174">
        <f>IF(OR($D174="",AK174="",25&gt;$F174),0,IF(UPPER(TRIM(AK174))=IFERROR(INDEX(Key!$C$2:$C$263,MATCH($D174*100+25,Key!$G$2:$G$263,0)),"#"),1,0))</f>
        <v/>
      </c>
      <c r="BQ174">
        <f>IF(OR($D174="",AL174="",26&gt;$F174),0,IF(UPPER(TRIM(AL174))=IFERROR(INDEX(Key!$C$2:$C$263,MATCH($D174*100+26,Key!$G$2:$G$263,0)),"#"),1,0))</f>
        <v/>
      </c>
      <c r="BR174">
        <f>IF(OR($D174="",AM174="",27&gt;$F174),0,IF(UPPER(TRIM(AM174))=IFERROR(INDEX(Key!$C$2:$C$263,MATCH($D174*100+27,Key!$G$2:$G$263,0)),"#"),1,0))</f>
        <v/>
      </c>
      <c r="BS174">
        <f>IF(OR($D174="",AN174="",28&gt;$F174),0,IF(UPPER(TRIM(AN174))=IFERROR(INDEX(Key!$C$2:$C$263,MATCH($D174*100+28,Key!$G$2:$G$263,0)),"#"),1,0))</f>
        <v/>
      </c>
      <c r="BT174">
        <f>IF(OR($D174="",AO174="",29&gt;$F174),0,IF(UPPER(TRIM(AO174))=IFERROR(INDEX(Key!$C$2:$C$263,MATCH($D174*100+29,Key!$G$2:$G$263,0)),"#"),1,0))</f>
        <v/>
      </c>
      <c r="BU174">
        <f>IF(OR($D174="",AP174="",30&gt;$F174),0,IF(UPPER(TRIM(AP174))=IFERROR(INDEX(Key!$C$2:$C$263,MATCH($D174*100+30,Key!$G$2:$G$263,0)),"#"),1,0))</f>
        <v/>
      </c>
    </row>
    <row r="175">
      <c r="A175" s="6" t="n"/>
      <c r="B175" s="6" t="n"/>
      <c r="C175" s="6" t="n"/>
      <c r="D175" s="6" t="n"/>
      <c r="E175" s="7">
        <f>IF($D175="","",IFERROR(INDEX(Papers!$B$2:$B$12,MATCH($D175,Papers!$A$2:$A$12,0)),"?"))</f>
        <v/>
      </c>
      <c r="F175" s="7">
        <f>IF($D175="","",IFERROR(INDEX(Papers!$C$2:$C$12,MATCH($D175,Papers!$A$2:$A$12,0)),0))</f>
        <v/>
      </c>
      <c r="G175" s="7">
        <f>IF($D175="","",COUNTIF(M175:AP175,"?*"))</f>
        <v/>
      </c>
      <c r="H175" s="7">
        <f>IF($D175="","",SUM(AR175:BU175))</f>
        <v/>
      </c>
      <c r="I175" s="7">
        <f>IF($D175="","",G175-H175)</f>
        <v/>
      </c>
      <c r="J175" s="7">
        <f>IF($D175="","",F175-G175)</f>
        <v/>
      </c>
      <c r="K175" s="7">
        <f>IF($D175="","",H175)</f>
        <v/>
      </c>
      <c r="L175" s="7">
        <f>IF($D175="","",IF(F175=0,"",ROUND(H175/F175*100,1)))</f>
        <v/>
      </c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R175">
        <f>IF(OR($D175="",M175="",1&gt;$F175),0,IF(UPPER(TRIM(M175))=IFERROR(INDEX(Key!$C$2:$C$263,MATCH($D175*100+1,Key!$G$2:$G$263,0)),"#"),1,0))</f>
        <v/>
      </c>
      <c r="AS175">
        <f>IF(OR($D175="",N175="",2&gt;$F175),0,IF(UPPER(TRIM(N175))=IFERROR(INDEX(Key!$C$2:$C$263,MATCH($D175*100+2,Key!$G$2:$G$263,0)),"#"),1,0))</f>
        <v/>
      </c>
      <c r="AT175">
        <f>IF(OR($D175="",O175="",3&gt;$F175),0,IF(UPPER(TRIM(O175))=IFERROR(INDEX(Key!$C$2:$C$263,MATCH($D175*100+3,Key!$G$2:$G$263,0)),"#"),1,0))</f>
        <v/>
      </c>
      <c r="AU175">
        <f>IF(OR($D175="",P175="",4&gt;$F175),0,IF(UPPER(TRIM(P175))=IFERROR(INDEX(Key!$C$2:$C$263,MATCH($D175*100+4,Key!$G$2:$G$263,0)),"#"),1,0))</f>
        <v/>
      </c>
      <c r="AV175">
        <f>IF(OR($D175="",Q175="",5&gt;$F175),0,IF(UPPER(TRIM(Q175))=IFERROR(INDEX(Key!$C$2:$C$263,MATCH($D175*100+5,Key!$G$2:$G$263,0)),"#"),1,0))</f>
        <v/>
      </c>
      <c r="AW175">
        <f>IF(OR($D175="",R175="",6&gt;$F175),0,IF(UPPER(TRIM(R175))=IFERROR(INDEX(Key!$C$2:$C$263,MATCH($D175*100+6,Key!$G$2:$G$263,0)),"#"),1,0))</f>
        <v/>
      </c>
      <c r="AX175">
        <f>IF(OR($D175="",S175="",7&gt;$F175),0,IF(UPPER(TRIM(S175))=IFERROR(INDEX(Key!$C$2:$C$263,MATCH($D175*100+7,Key!$G$2:$G$263,0)),"#"),1,0))</f>
        <v/>
      </c>
      <c r="AY175">
        <f>IF(OR($D175="",T175="",8&gt;$F175),0,IF(UPPER(TRIM(T175))=IFERROR(INDEX(Key!$C$2:$C$263,MATCH($D175*100+8,Key!$G$2:$G$263,0)),"#"),1,0))</f>
        <v/>
      </c>
      <c r="AZ175">
        <f>IF(OR($D175="",U175="",9&gt;$F175),0,IF(UPPER(TRIM(U175))=IFERROR(INDEX(Key!$C$2:$C$263,MATCH($D175*100+9,Key!$G$2:$G$263,0)),"#"),1,0))</f>
        <v/>
      </c>
      <c r="BA175">
        <f>IF(OR($D175="",V175="",10&gt;$F175),0,IF(UPPER(TRIM(V175))=IFERROR(INDEX(Key!$C$2:$C$263,MATCH($D175*100+10,Key!$G$2:$G$263,0)),"#"),1,0))</f>
        <v/>
      </c>
      <c r="BB175">
        <f>IF(OR($D175="",W175="",11&gt;$F175),0,IF(UPPER(TRIM(W175))=IFERROR(INDEX(Key!$C$2:$C$263,MATCH($D175*100+11,Key!$G$2:$G$263,0)),"#"),1,0))</f>
        <v/>
      </c>
      <c r="BC175">
        <f>IF(OR($D175="",X175="",12&gt;$F175),0,IF(UPPER(TRIM(X175))=IFERROR(INDEX(Key!$C$2:$C$263,MATCH($D175*100+12,Key!$G$2:$G$263,0)),"#"),1,0))</f>
        <v/>
      </c>
      <c r="BD175">
        <f>IF(OR($D175="",Y175="",13&gt;$F175),0,IF(UPPER(TRIM(Y175))=IFERROR(INDEX(Key!$C$2:$C$263,MATCH($D175*100+13,Key!$G$2:$G$263,0)),"#"),1,0))</f>
        <v/>
      </c>
      <c r="BE175">
        <f>IF(OR($D175="",Z175="",14&gt;$F175),0,IF(UPPER(TRIM(Z175))=IFERROR(INDEX(Key!$C$2:$C$263,MATCH($D175*100+14,Key!$G$2:$G$263,0)),"#"),1,0))</f>
        <v/>
      </c>
      <c r="BF175">
        <f>IF(OR($D175="",AA175="",15&gt;$F175),0,IF(UPPER(TRIM(AA175))=IFERROR(INDEX(Key!$C$2:$C$263,MATCH($D175*100+15,Key!$G$2:$G$263,0)),"#"),1,0))</f>
        <v/>
      </c>
      <c r="BG175">
        <f>IF(OR($D175="",AB175="",16&gt;$F175),0,IF(UPPER(TRIM(AB175))=IFERROR(INDEX(Key!$C$2:$C$263,MATCH($D175*100+16,Key!$G$2:$G$263,0)),"#"),1,0))</f>
        <v/>
      </c>
      <c r="BH175">
        <f>IF(OR($D175="",AC175="",17&gt;$F175),0,IF(UPPER(TRIM(AC175))=IFERROR(INDEX(Key!$C$2:$C$263,MATCH($D175*100+17,Key!$G$2:$G$263,0)),"#"),1,0))</f>
        <v/>
      </c>
      <c r="BI175">
        <f>IF(OR($D175="",AD175="",18&gt;$F175),0,IF(UPPER(TRIM(AD175))=IFERROR(INDEX(Key!$C$2:$C$263,MATCH($D175*100+18,Key!$G$2:$G$263,0)),"#"),1,0))</f>
        <v/>
      </c>
      <c r="BJ175">
        <f>IF(OR($D175="",AE175="",19&gt;$F175),0,IF(UPPER(TRIM(AE175))=IFERROR(INDEX(Key!$C$2:$C$263,MATCH($D175*100+19,Key!$G$2:$G$263,0)),"#"),1,0))</f>
        <v/>
      </c>
      <c r="BK175">
        <f>IF(OR($D175="",AF175="",20&gt;$F175),0,IF(UPPER(TRIM(AF175))=IFERROR(INDEX(Key!$C$2:$C$263,MATCH($D175*100+20,Key!$G$2:$G$263,0)),"#"),1,0))</f>
        <v/>
      </c>
      <c r="BL175">
        <f>IF(OR($D175="",AG175="",21&gt;$F175),0,IF(UPPER(TRIM(AG175))=IFERROR(INDEX(Key!$C$2:$C$263,MATCH($D175*100+21,Key!$G$2:$G$263,0)),"#"),1,0))</f>
        <v/>
      </c>
      <c r="BM175">
        <f>IF(OR($D175="",AH175="",22&gt;$F175),0,IF(UPPER(TRIM(AH175))=IFERROR(INDEX(Key!$C$2:$C$263,MATCH($D175*100+22,Key!$G$2:$G$263,0)),"#"),1,0))</f>
        <v/>
      </c>
      <c r="BN175">
        <f>IF(OR($D175="",AI175="",23&gt;$F175),0,IF(UPPER(TRIM(AI175))=IFERROR(INDEX(Key!$C$2:$C$263,MATCH($D175*100+23,Key!$G$2:$G$263,0)),"#"),1,0))</f>
        <v/>
      </c>
      <c r="BO175">
        <f>IF(OR($D175="",AJ175="",24&gt;$F175),0,IF(UPPER(TRIM(AJ175))=IFERROR(INDEX(Key!$C$2:$C$263,MATCH($D175*100+24,Key!$G$2:$G$263,0)),"#"),1,0))</f>
        <v/>
      </c>
      <c r="BP175">
        <f>IF(OR($D175="",AK175="",25&gt;$F175),0,IF(UPPER(TRIM(AK175))=IFERROR(INDEX(Key!$C$2:$C$263,MATCH($D175*100+25,Key!$G$2:$G$263,0)),"#"),1,0))</f>
        <v/>
      </c>
      <c r="BQ175">
        <f>IF(OR($D175="",AL175="",26&gt;$F175),0,IF(UPPER(TRIM(AL175))=IFERROR(INDEX(Key!$C$2:$C$263,MATCH($D175*100+26,Key!$G$2:$G$263,0)),"#"),1,0))</f>
        <v/>
      </c>
      <c r="BR175">
        <f>IF(OR($D175="",AM175="",27&gt;$F175),0,IF(UPPER(TRIM(AM175))=IFERROR(INDEX(Key!$C$2:$C$263,MATCH($D175*100+27,Key!$G$2:$G$263,0)),"#"),1,0))</f>
        <v/>
      </c>
      <c r="BS175">
        <f>IF(OR($D175="",AN175="",28&gt;$F175),0,IF(UPPER(TRIM(AN175))=IFERROR(INDEX(Key!$C$2:$C$263,MATCH($D175*100+28,Key!$G$2:$G$263,0)),"#"),1,0))</f>
        <v/>
      </c>
      <c r="BT175">
        <f>IF(OR($D175="",AO175="",29&gt;$F175),0,IF(UPPER(TRIM(AO175))=IFERROR(INDEX(Key!$C$2:$C$263,MATCH($D175*100+29,Key!$G$2:$G$263,0)),"#"),1,0))</f>
        <v/>
      </c>
      <c r="BU175">
        <f>IF(OR($D175="",AP175="",30&gt;$F175),0,IF(UPPER(TRIM(AP175))=IFERROR(INDEX(Key!$C$2:$C$263,MATCH($D175*100+30,Key!$G$2:$G$263,0)),"#"),1,0))</f>
        <v/>
      </c>
    </row>
    <row r="176">
      <c r="A176" s="6" t="n"/>
      <c r="B176" s="6" t="n"/>
      <c r="C176" s="6" t="n"/>
      <c r="D176" s="6" t="n"/>
      <c r="E176" s="7">
        <f>IF($D176="","",IFERROR(INDEX(Papers!$B$2:$B$12,MATCH($D176,Papers!$A$2:$A$12,0)),"?"))</f>
        <v/>
      </c>
      <c r="F176" s="7">
        <f>IF($D176="","",IFERROR(INDEX(Papers!$C$2:$C$12,MATCH($D176,Papers!$A$2:$A$12,0)),0))</f>
        <v/>
      </c>
      <c r="G176" s="7">
        <f>IF($D176="","",COUNTIF(M176:AP176,"?*"))</f>
        <v/>
      </c>
      <c r="H176" s="7">
        <f>IF($D176="","",SUM(AR176:BU176))</f>
        <v/>
      </c>
      <c r="I176" s="7">
        <f>IF($D176="","",G176-H176)</f>
        <v/>
      </c>
      <c r="J176" s="7">
        <f>IF($D176="","",F176-G176)</f>
        <v/>
      </c>
      <c r="K176" s="7">
        <f>IF($D176="","",H176)</f>
        <v/>
      </c>
      <c r="L176" s="7">
        <f>IF($D176="","",IF(F176=0,"",ROUND(H176/F176*100,1)))</f>
        <v/>
      </c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R176">
        <f>IF(OR($D176="",M176="",1&gt;$F176),0,IF(UPPER(TRIM(M176))=IFERROR(INDEX(Key!$C$2:$C$263,MATCH($D176*100+1,Key!$G$2:$G$263,0)),"#"),1,0))</f>
        <v/>
      </c>
      <c r="AS176">
        <f>IF(OR($D176="",N176="",2&gt;$F176),0,IF(UPPER(TRIM(N176))=IFERROR(INDEX(Key!$C$2:$C$263,MATCH($D176*100+2,Key!$G$2:$G$263,0)),"#"),1,0))</f>
        <v/>
      </c>
      <c r="AT176">
        <f>IF(OR($D176="",O176="",3&gt;$F176),0,IF(UPPER(TRIM(O176))=IFERROR(INDEX(Key!$C$2:$C$263,MATCH($D176*100+3,Key!$G$2:$G$263,0)),"#"),1,0))</f>
        <v/>
      </c>
      <c r="AU176">
        <f>IF(OR($D176="",P176="",4&gt;$F176),0,IF(UPPER(TRIM(P176))=IFERROR(INDEX(Key!$C$2:$C$263,MATCH($D176*100+4,Key!$G$2:$G$263,0)),"#"),1,0))</f>
        <v/>
      </c>
      <c r="AV176">
        <f>IF(OR($D176="",Q176="",5&gt;$F176),0,IF(UPPER(TRIM(Q176))=IFERROR(INDEX(Key!$C$2:$C$263,MATCH($D176*100+5,Key!$G$2:$G$263,0)),"#"),1,0))</f>
        <v/>
      </c>
      <c r="AW176">
        <f>IF(OR($D176="",R176="",6&gt;$F176),0,IF(UPPER(TRIM(R176))=IFERROR(INDEX(Key!$C$2:$C$263,MATCH($D176*100+6,Key!$G$2:$G$263,0)),"#"),1,0))</f>
        <v/>
      </c>
      <c r="AX176">
        <f>IF(OR($D176="",S176="",7&gt;$F176),0,IF(UPPER(TRIM(S176))=IFERROR(INDEX(Key!$C$2:$C$263,MATCH($D176*100+7,Key!$G$2:$G$263,0)),"#"),1,0))</f>
        <v/>
      </c>
      <c r="AY176">
        <f>IF(OR($D176="",T176="",8&gt;$F176),0,IF(UPPER(TRIM(T176))=IFERROR(INDEX(Key!$C$2:$C$263,MATCH($D176*100+8,Key!$G$2:$G$263,0)),"#"),1,0))</f>
        <v/>
      </c>
      <c r="AZ176">
        <f>IF(OR($D176="",U176="",9&gt;$F176),0,IF(UPPER(TRIM(U176))=IFERROR(INDEX(Key!$C$2:$C$263,MATCH($D176*100+9,Key!$G$2:$G$263,0)),"#"),1,0))</f>
        <v/>
      </c>
      <c r="BA176">
        <f>IF(OR($D176="",V176="",10&gt;$F176),0,IF(UPPER(TRIM(V176))=IFERROR(INDEX(Key!$C$2:$C$263,MATCH($D176*100+10,Key!$G$2:$G$263,0)),"#"),1,0))</f>
        <v/>
      </c>
      <c r="BB176">
        <f>IF(OR($D176="",W176="",11&gt;$F176),0,IF(UPPER(TRIM(W176))=IFERROR(INDEX(Key!$C$2:$C$263,MATCH($D176*100+11,Key!$G$2:$G$263,0)),"#"),1,0))</f>
        <v/>
      </c>
      <c r="BC176">
        <f>IF(OR($D176="",X176="",12&gt;$F176),0,IF(UPPER(TRIM(X176))=IFERROR(INDEX(Key!$C$2:$C$263,MATCH($D176*100+12,Key!$G$2:$G$263,0)),"#"),1,0))</f>
        <v/>
      </c>
      <c r="BD176">
        <f>IF(OR($D176="",Y176="",13&gt;$F176),0,IF(UPPER(TRIM(Y176))=IFERROR(INDEX(Key!$C$2:$C$263,MATCH($D176*100+13,Key!$G$2:$G$263,0)),"#"),1,0))</f>
        <v/>
      </c>
      <c r="BE176">
        <f>IF(OR($D176="",Z176="",14&gt;$F176),0,IF(UPPER(TRIM(Z176))=IFERROR(INDEX(Key!$C$2:$C$263,MATCH($D176*100+14,Key!$G$2:$G$263,0)),"#"),1,0))</f>
        <v/>
      </c>
      <c r="BF176">
        <f>IF(OR($D176="",AA176="",15&gt;$F176),0,IF(UPPER(TRIM(AA176))=IFERROR(INDEX(Key!$C$2:$C$263,MATCH($D176*100+15,Key!$G$2:$G$263,0)),"#"),1,0))</f>
        <v/>
      </c>
      <c r="BG176">
        <f>IF(OR($D176="",AB176="",16&gt;$F176),0,IF(UPPER(TRIM(AB176))=IFERROR(INDEX(Key!$C$2:$C$263,MATCH($D176*100+16,Key!$G$2:$G$263,0)),"#"),1,0))</f>
        <v/>
      </c>
      <c r="BH176">
        <f>IF(OR($D176="",AC176="",17&gt;$F176),0,IF(UPPER(TRIM(AC176))=IFERROR(INDEX(Key!$C$2:$C$263,MATCH($D176*100+17,Key!$G$2:$G$263,0)),"#"),1,0))</f>
        <v/>
      </c>
      <c r="BI176">
        <f>IF(OR($D176="",AD176="",18&gt;$F176),0,IF(UPPER(TRIM(AD176))=IFERROR(INDEX(Key!$C$2:$C$263,MATCH($D176*100+18,Key!$G$2:$G$263,0)),"#"),1,0))</f>
        <v/>
      </c>
      <c r="BJ176">
        <f>IF(OR($D176="",AE176="",19&gt;$F176),0,IF(UPPER(TRIM(AE176))=IFERROR(INDEX(Key!$C$2:$C$263,MATCH($D176*100+19,Key!$G$2:$G$263,0)),"#"),1,0))</f>
        <v/>
      </c>
      <c r="BK176">
        <f>IF(OR($D176="",AF176="",20&gt;$F176),0,IF(UPPER(TRIM(AF176))=IFERROR(INDEX(Key!$C$2:$C$263,MATCH($D176*100+20,Key!$G$2:$G$263,0)),"#"),1,0))</f>
        <v/>
      </c>
      <c r="BL176">
        <f>IF(OR($D176="",AG176="",21&gt;$F176),0,IF(UPPER(TRIM(AG176))=IFERROR(INDEX(Key!$C$2:$C$263,MATCH($D176*100+21,Key!$G$2:$G$263,0)),"#"),1,0))</f>
        <v/>
      </c>
      <c r="BM176">
        <f>IF(OR($D176="",AH176="",22&gt;$F176),0,IF(UPPER(TRIM(AH176))=IFERROR(INDEX(Key!$C$2:$C$263,MATCH($D176*100+22,Key!$G$2:$G$263,0)),"#"),1,0))</f>
        <v/>
      </c>
      <c r="BN176">
        <f>IF(OR($D176="",AI176="",23&gt;$F176),0,IF(UPPER(TRIM(AI176))=IFERROR(INDEX(Key!$C$2:$C$263,MATCH($D176*100+23,Key!$G$2:$G$263,0)),"#"),1,0))</f>
        <v/>
      </c>
      <c r="BO176">
        <f>IF(OR($D176="",AJ176="",24&gt;$F176),0,IF(UPPER(TRIM(AJ176))=IFERROR(INDEX(Key!$C$2:$C$263,MATCH($D176*100+24,Key!$G$2:$G$263,0)),"#"),1,0))</f>
        <v/>
      </c>
      <c r="BP176">
        <f>IF(OR($D176="",AK176="",25&gt;$F176),0,IF(UPPER(TRIM(AK176))=IFERROR(INDEX(Key!$C$2:$C$263,MATCH($D176*100+25,Key!$G$2:$G$263,0)),"#"),1,0))</f>
        <v/>
      </c>
      <c r="BQ176">
        <f>IF(OR($D176="",AL176="",26&gt;$F176),0,IF(UPPER(TRIM(AL176))=IFERROR(INDEX(Key!$C$2:$C$263,MATCH($D176*100+26,Key!$G$2:$G$263,0)),"#"),1,0))</f>
        <v/>
      </c>
      <c r="BR176">
        <f>IF(OR($D176="",AM176="",27&gt;$F176),0,IF(UPPER(TRIM(AM176))=IFERROR(INDEX(Key!$C$2:$C$263,MATCH($D176*100+27,Key!$G$2:$G$263,0)),"#"),1,0))</f>
        <v/>
      </c>
      <c r="BS176">
        <f>IF(OR($D176="",AN176="",28&gt;$F176),0,IF(UPPER(TRIM(AN176))=IFERROR(INDEX(Key!$C$2:$C$263,MATCH($D176*100+28,Key!$G$2:$G$263,0)),"#"),1,0))</f>
        <v/>
      </c>
      <c r="BT176">
        <f>IF(OR($D176="",AO176="",29&gt;$F176),0,IF(UPPER(TRIM(AO176))=IFERROR(INDEX(Key!$C$2:$C$263,MATCH($D176*100+29,Key!$G$2:$G$263,0)),"#"),1,0))</f>
        <v/>
      </c>
      <c r="BU176">
        <f>IF(OR($D176="",AP176="",30&gt;$F176),0,IF(UPPER(TRIM(AP176))=IFERROR(INDEX(Key!$C$2:$C$263,MATCH($D176*100+30,Key!$G$2:$G$263,0)),"#"),1,0))</f>
        <v/>
      </c>
    </row>
    <row r="177">
      <c r="A177" s="6" t="n"/>
      <c r="B177" s="6" t="n"/>
      <c r="C177" s="6" t="n"/>
      <c r="D177" s="6" t="n"/>
      <c r="E177" s="7">
        <f>IF($D177="","",IFERROR(INDEX(Papers!$B$2:$B$12,MATCH($D177,Papers!$A$2:$A$12,0)),"?"))</f>
        <v/>
      </c>
      <c r="F177" s="7">
        <f>IF($D177="","",IFERROR(INDEX(Papers!$C$2:$C$12,MATCH($D177,Papers!$A$2:$A$12,0)),0))</f>
        <v/>
      </c>
      <c r="G177" s="7">
        <f>IF($D177="","",COUNTIF(M177:AP177,"?*"))</f>
        <v/>
      </c>
      <c r="H177" s="7">
        <f>IF($D177="","",SUM(AR177:BU177))</f>
        <v/>
      </c>
      <c r="I177" s="7">
        <f>IF($D177="","",G177-H177)</f>
        <v/>
      </c>
      <c r="J177" s="7">
        <f>IF($D177="","",F177-G177)</f>
        <v/>
      </c>
      <c r="K177" s="7">
        <f>IF($D177="","",H177)</f>
        <v/>
      </c>
      <c r="L177" s="7">
        <f>IF($D177="","",IF(F177=0,"",ROUND(H177/F177*100,1)))</f>
        <v/>
      </c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R177">
        <f>IF(OR($D177="",M177="",1&gt;$F177),0,IF(UPPER(TRIM(M177))=IFERROR(INDEX(Key!$C$2:$C$263,MATCH($D177*100+1,Key!$G$2:$G$263,0)),"#"),1,0))</f>
        <v/>
      </c>
      <c r="AS177">
        <f>IF(OR($D177="",N177="",2&gt;$F177),0,IF(UPPER(TRIM(N177))=IFERROR(INDEX(Key!$C$2:$C$263,MATCH($D177*100+2,Key!$G$2:$G$263,0)),"#"),1,0))</f>
        <v/>
      </c>
      <c r="AT177">
        <f>IF(OR($D177="",O177="",3&gt;$F177),0,IF(UPPER(TRIM(O177))=IFERROR(INDEX(Key!$C$2:$C$263,MATCH($D177*100+3,Key!$G$2:$G$263,0)),"#"),1,0))</f>
        <v/>
      </c>
      <c r="AU177">
        <f>IF(OR($D177="",P177="",4&gt;$F177),0,IF(UPPER(TRIM(P177))=IFERROR(INDEX(Key!$C$2:$C$263,MATCH($D177*100+4,Key!$G$2:$G$263,0)),"#"),1,0))</f>
        <v/>
      </c>
      <c r="AV177">
        <f>IF(OR($D177="",Q177="",5&gt;$F177),0,IF(UPPER(TRIM(Q177))=IFERROR(INDEX(Key!$C$2:$C$263,MATCH($D177*100+5,Key!$G$2:$G$263,0)),"#"),1,0))</f>
        <v/>
      </c>
      <c r="AW177">
        <f>IF(OR($D177="",R177="",6&gt;$F177),0,IF(UPPER(TRIM(R177))=IFERROR(INDEX(Key!$C$2:$C$263,MATCH($D177*100+6,Key!$G$2:$G$263,0)),"#"),1,0))</f>
        <v/>
      </c>
      <c r="AX177">
        <f>IF(OR($D177="",S177="",7&gt;$F177),0,IF(UPPER(TRIM(S177))=IFERROR(INDEX(Key!$C$2:$C$263,MATCH($D177*100+7,Key!$G$2:$G$263,0)),"#"),1,0))</f>
        <v/>
      </c>
      <c r="AY177">
        <f>IF(OR($D177="",T177="",8&gt;$F177),0,IF(UPPER(TRIM(T177))=IFERROR(INDEX(Key!$C$2:$C$263,MATCH($D177*100+8,Key!$G$2:$G$263,0)),"#"),1,0))</f>
        <v/>
      </c>
      <c r="AZ177">
        <f>IF(OR($D177="",U177="",9&gt;$F177),0,IF(UPPER(TRIM(U177))=IFERROR(INDEX(Key!$C$2:$C$263,MATCH($D177*100+9,Key!$G$2:$G$263,0)),"#"),1,0))</f>
        <v/>
      </c>
      <c r="BA177">
        <f>IF(OR($D177="",V177="",10&gt;$F177),0,IF(UPPER(TRIM(V177))=IFERROR(INDEX(Key!$C$2:$C$263,MATCH($D177*100+10,Key!$G$2:$G$263,0)),"#"),1,0))</f>
        <v/>
      </c>
      <c r="BB177">
        <f>IF(OR($D177="",W177="",11&gt;$F177),0,IF(UPPER(TRIM(W177))=IFERROR(INDEX(Key!$C$2:$C$263,MATCH($D177*100+11,Key!$G$2:$G$263,0)),"#"),1,0))</f>
        <v/>
      </c>
      <c r="BC177">
        <f>IF(OR($D177="",X177="",12&gt;$F177),0,IF(UPPER(TRIM(X177))=IFERROR(INDEX(Key!$C$2:$C$263,MATCH($D177*100+12,Key!$G$2:$G$263,0)),"#"),1,0))</f>
        <v/>
      </c>
      <c r="BD177">
        <f>IF(OR($D177="",Y177="",13&gt;$F177),0,IF(UPPER(TRIM(Y177))=IFERROR(INDEX(Key!$C$2:$C$263,MATCH($D177*100+13,Key!$G$2:$G$263,0)),"#"),1,0))</f>
        <v/>
      </c>
      <c r="BE177">
        <f>IF(OR($D177="",Z177="",14&gt;$F177),0,IF(UPPER(TRIM(Z177))=IFERROR(INDEX(Key!$C$2:$C$263,MATCH($D177*100+14,Key!$G$2:$G$263,0)),"#"),1,0))</f>
        <v/>
      </c>
      <c r="BF177">
        <f>IF(OR($D177="",AA177="",15&gt;$F177),0,IF(UPPER(TRIM(AA177))=IFERROR(INDEX(Key!$C$2:$C$263,MATCH($D177*100+15,Key!$G$2:$G$263,0)),"#"),1,0))</f>
        <v/>
      </c>
      <c r="BG177">
        <f>IF(OR($D177="",AB177="",16&gt;$F177),0,IF(UPPER(TRIM(AB177))=IFERROR(INDEX(Key!$C$2:$C$263,MATCH($D177*100+16,Key!$G$2:$G$263,0)),"#"),1,0))</f>
        <v/>
      </c>
      <c r="BH177">
        <f>IF(OR($D177="",AC177="",17&gt;$F177),0,IF(UPPER(TRIM(AC177))=IFERROR(INDEX(Key!$C$2:$C$263,MATCH($D177*100+17,Key!$G$2:$G$263,0)),"#"),1,0))</f>
        <v/>
      </c>
      <c r="BI177">
        <f>IF(OR($D177="",AD177="",18&gt;$F177),0,IF(UPPER(TRIM(AD177))=IFERROR(INDEX(Key!$C$2:$C$263,MATCH($D177*100+18,Key!$G$2:$G$263,0)),"#"),1,0))</f>
        <v/>
      </c>
      <c r="BJ177">
        <f>IF(OR($D177="",AE177="",19&gt;$F177),0,IF(UPPER(TRIM(AE177))=IFERROR(INDEX(Key!$C$2:$C$263,MATCH($D177*100+19,Key!$G$2:$G$263,0)),"#"),1,0))</f>
        <v/>
      </c>
      <c r="BK177">
        <f>IF(OR($D177="",AF177="",20&gt;$F177),0,IF(UPPER(TRIM(AF177))=IFERROR(INDEX(Key!$C$2:$C$263,MATCH($D177*100+20,Key!$G$2:$G$263,0)),"#"),1,0))</f>
        <v/>
      </c>
      <c r="BL177">
        <f>IF(OR($D177="",AG177="",21&gt;$F177),0,IF(UPPER(TRIM(AG177))=IFERROR(INDEX(Key!$C$2:$C$263,MATCH($D177*100+21,Key!$G$2:$G$263,0)),"#"),1,0))</f>
        <v/>
      </c>
      <c r="BM177">
        <f>IF(OR($D177="",AH177="",22&gt;$F177),0,IF(UPPER(TRIM(AH177))=IFERROR(INDEX(Key!$C$2:$C$263,MATCH($D177*100+22,Key!$G$2:$G$263,0)),"#"),1,0))</f>
        <v/>
      </c>
      <c r="BN177">
        <f>IF(OR($D177="",AI177="",23&gt;$F177),0,IF(UPPER(TRIM(AI177))=IFERROR(INDEX(Key!$C$2:$C$263,MATCH($D177*100+23,Key!$G$2:$G$263,0)),"#"),1,0))</f>
        <v/>
      </c>
      <c r="BO177">
        <f>IF(OR($D177="",AJ177="",24&gt;$F177),0,IF(UPPER(TRIM(AJ177))=IFERROR(INDEX(Key!$C$2:$C$263,MATCH($D177*100+24,Key!$G$2:$G$263,0)),"#"),1,0))</f>
        <v/>
      </c>
      <c r="BP177">
        <f>IF(OR($D177="",AK177="",25&gt;$F177),0,IF(UPPER(TRIM(AK177))=IFERROR(INDEX(Key!$C$2:$C$263,MATCH($D177*100+25,Key!$G$2:$G$263,0)),"#"),1,0))</f>
        <v/>
      </c>
      <c r="BQ177">
        <f>IF(OR($D177="",AL177="",26&gt;$F177),0,IF(UPPER(TRIM(AL177))=IFERROR(INDEX(Key!$C$2:$C$263,MATCH($D177*100+26,Key!$G$2:$G$263,0)),"#"),1,0))</f>
        <v/>
      </c>
      <c r="BR177">
        <f>IF(OR($D177="",AM177="",27&gt;$F177),0,IF(UPPER(TRIM(AM177))=IFERROR(INDEX(Key!$C$2:$C$263,MATCH($D177*100+27,Key!$G$2:$G$263,0)),"#"),1,0))</f>
        <v/>
      </c>
      <c r="BS177">
        <f>IF(OR($D177="",AN177="",28&gt;$F177),0,IF(UPPER(TRIM(AN177))=IFERROR(INDEX(Key!$C$2:$C$263,MATCH($D177*100+28,Key!$G$2:$G$263,0)),"#"),1,0))</f>
        <v/>
      </c>
      <c r="BT177">
        <f>IF(OR($D177="",AO177="",29&gt;$F177),0,IF(UPPER(TRIM(AO177))=IFERROR(INDEX(Key!$C$2:$C$263,MATCH($D177*100+29,Key!$G$2:$G$263,0)),"#"),1,0))</f>
        <v/>
      </c>
      <c r="BU177">
        <f>IF(OR($D177="",AP177="",30&gt;$F177),0,IF(UPPER(TRIM(AP177))=IFERROR(INDEX(Key!$C$2:$C$263,MATCH($D177*100+30,Key!$G$2:$G$263,0)),"#"),1,0))</f>
        <v/>
      </c>
    </row>
    <row r="178">
      <c r="A178" s="6" t="n"/>
      <c r="B178" s="6" t="n"/>
      <c r="C178" s="6" t="n"/>
      <c r="D178" s="6" t="n"/>
      <c r="E178" s="7">
        <f>IF($D178="","",IFERROR(INDEX(Papers!$B$2:$B$12,MATCH($D178,Papers!$A$2:$A$12,0)),"?"))</f>
        <v/>
      </c>
      <c r="F178" s="7">
        <f>IF($D178="","",IFERROR(INDEX(Papers!$C$2:$C$12,MATCH($D178,Papers!$A$2:$A$12,0)),0))</f>
        <v/>
      </c>
      <c r="G178" s="7">
        <f>IF($D178="","",COUNTIF(M178:AP178,"?*"))</f>
        <v/>
      </c>
      <c r="H178" s="7">
        <f>IF($D178="","",SUM(AR178:BU178))</f>
        <v/>
      </c>
      <c r="I178" s="7">
        <f>IF($D178="","",G178-H178)</f>
        <v/>
      </c>
      <c r="J178" s="7">
        <f>IF($D178="","",F178-G178)</f>
        <v/>
      </c>
      <c r="K178" s="7">
        <f>IF($D178="","",H178)</f>
        <v/>
      </c>
      <c r="L178" s="7">
        <f>IF($D178="","",IF(F178=0,"",ROUND(H178/F178*100,1)))</f>
        <v/>
      </c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R178">
        <f>IF(OR($D178="",M178="",1&gt;$F178),0,IF(UPPER(TRIM(M178))=IFERROR(INDEX(Key!$C$2:$C$263,MATCH($D178*100+1,Key!$G$2:$G$263,0)),"#"),1,0))</f>
        <v/>
      </c>
      <c r="AS178">
        <f>IF(OR($D178="",N178="",2&gt;$F178),0,IF(UPPER(TRIM(N178))=IFERROR(INDEX(Key!$C$2:$C$263,MATCH($D178*100+2,Key!$G$2:$G$263,0)),"#"),1,0))</f>
        <v/>
      </c>
      <c r="AT178">
        <f>IF(OR($D178="",O178="",3&gt;$F178),0,IF(UPPER(TRIM(O178))=IFERROR(INDEX(Key!$C$2:$C$263,MATCH($D178*100+3,Key!$G$2:$G$263,0)),"#"),1,0))</f>
        <v/>
      </c>
      <c r="AU178">
        <f>IF(OR($D178="",P178="",4&gt;$F178),0,IF(UPPER(TRIM(P178))=IFERROR(INDEX(Key!$C$2:$C$263,MATCH($D178*100+4,Key!$G$2:$G$263,0)),"#"),1,0))</f>
        <v/>
      </c>
      <c r="AV178">
        <f>IF(OR($D178="",Q178="",5&gt;$F178),0,IF(UPPER(TRIM(Q178))=IFERROR(INDEX(Key!$C$2:$C$263,MATCH($D178*100+5,Key!$G$2:$G$263,0)),"#"),1,0))</f>
        <v/>
      </c>
      <c r="AW178">
        <f>IF(OR($D178="",R178="",6&gt;$F178),0,IF(UPPER(TRIM(R178))=IFERROR(INDEX(Key!$C$2:$C$263,MATCH($D178*100+6,Key!$G$2:$G$263,0)),"#"),1,0))</f>
        <v/>
      </c>
      <c r="AX178">
        <f>IF(OR($D178="",S178="",7&gt;$F178),0,IF(UPPER(TRIM(S178))=IFERROR(INDEX(Key!$C$2:$C$263,MATCH($D178*100+7,Key!$G$2:$G$263,0)),"#"),1,0))</f>
        <v/>
      </c>
      <c r="AY178">
        <f>IF(OR($D178="",T178="",8&gt;$F178),0,IF(UPPER(TRIM(T178))=IFERROR(INDEX(Key!$C$2:$C$263,MATCH($D178*100+8,Key!$G$2:$G$263,0)),"#"),1,0))</f>
        <v/>
      </c>
      <c r="AZ178">
        <f>IF(OR($D178="",U178="",9&gt;$F178),0,IF(UPPER(TRIM(U178))=IFERROR(INDEX(Key!$C$2:$C$263,MATCH($D178*100+9,Key!$G$2:$G$263,0)),"#"),1,0))</f>
        <v/>
      </c>
      <c r="BA178">
        <f>IF(OR($D178="",V178="",10&gt;$F178),0,IF(UPPER(TRIM(V178))=IFERROR(INDEX(Key!$C$2:$C$263,MATCH($D178*100+10,Key!$G$2:$G$263,0)),"#"),1,0))</f>
        <v/>
      </c>
      <c r="BB178">
        <f>IF(OR($D178="",W178="",11&gt;$F178),0,IF(UPPER(TRIM(W178))=IFERROR(INDEX(Key!$C$2:$C$263,MATCH($D178*100+11,Key!$G$2:$G$263,0)),"#"),1,0))</f>
        <v/>
      </c>
      <c r="BC178">
        <f>IF(OR($D178="",X178="",12&gt;$F178),0,IF(UPPER(TRIM(X178))=IFERROR(INDEX(Key!$C$2:$C$263,MATCH($D178*100+12,Key!$G$2:$G$263,0)),"#"),1,0))</f>
        <v/>
      </c>
      <c r="BD178">
        <f>IF(OR($D178="",Y178="",13&gt;$F178),0,IF(UPPER(TRIM(Y178))=IFERROR(INDEX(Key!$C$2:$C$263,MATCH($D178*100+13,Key!$G$2:$G$263,0)),"#"),1,0))</f>
        <v/>
      </c>
      <c r="BE178">
        <f>IF(OR($D178="",Z178="",14&gt;$F178),0,IF(UPPER(TRIM(Z178))=IFERROR(INDEX(Key!$C$2:$C$263,MATCH($D178*100+14,Key!$G$2:$G$263,0)),"#"),1,0))</f>
        <v/>
      </c>
      <c r="BF178">
        <f>IF(OR($D178="",AA178="",15&gt;$F178),0,IF(UPPER(TRIM(AA178))=IFERROR(INDEX(Key!$C$2:$C$263,MATCH($D178*100+15,Key!$G$2:$G$263,0)),"#"),1,0))</f>
        <v/>
      </c>
      <c r="BG178">
        <f>IF(OR($D178="",AB178="",16&gt;$F178),0,IF(UPPER(TRIM(AB178))=IFERROR(INDEX(Key!$C$2:$C$263,MATCH($D178*100+16,Key!$G$2:$G$263,0)),"#"),1,0))</f>
        <v/>
      </c>
      <c r="BH178">
        <f>IF(OR($D178="",AC178="",17&gt;$F178),0,IF(UPPER(TRIM(AC178))=IFERROR(INDEX(Key!$C$2:$C$263,MATCH($D178*100+17,Key!$G$2:$G$263,0)),"#"),1,0))</f>
        <v/>
      </c>
      <c r="BI178">
        <f>IF(OR($D178="",AD178="",18&gt;$F178),0,IF(UPPER(TRIM(AD178))=IFERROR(INDEX(Key!$C$2:$C$263,MATCH($D178*100+18,Key!$G$2:$G$263,0)),"#"),1,0))</f>
        <v/>
      </c>
      <c r="BJ178">
        <f>IF(OR($D178="",AE178="",19&gt;$F178),0,IF(UPPER(TRIM(AE178))=IFERROR(INDEX(Key!$C$2:$C$263,MATCH($D178*100+19,Key!$G$2:$G$263,0)),"#"),1,0))</f>
        <v/>
      </c>
      <c r="BK178">
        <f>IF(OR($D178="",AF178="",20&gt;$F178),0,IF(UPPER(TRIM(AF178))=IFERROR(INDEX(Key!$C$2:$C$263,MATCH($D178*100+20,Key!$G$2:$G$263,0)),"#"),1,0))</f>
        <v/>
      </c>
      <c r="BL178">
        <f>IF(OR($D178="",AG178="",21&gt;$F178),0,IF(UPPER(TRIM(AG178))=IFERROR(INDEX(Key!$C$2:$C$263,MATCH($D178*100+21,Key!$G$2:$G$263,0)),"#"),1,0))</f>
        <v/>
      </c>
      <c r="BM178">
        <f>IF(OR($D178="",AH178="",22&gt;$F178),0,IF(UPPER(TRIM(AH178))=IFERROR(INDEX(Key!$C$2:$C$263,MATCH($D178*100+22,Key!$G$2:$G$263,0)),"#"),1,0))</f>
        <v/>
      </c>
      <c r="BN178">
        <f>IF(OR($D178="",AI178="",23&gt;$F178),0,IF(UPPER(TRIM(AI178))=IFERROR(INDEX(Key!$C$2:$C$263,MATCH($D178*100+23,Key!$G$2:$G$263,0)),"#"),1,0))</f>
        <v/>
      </c>
      <c r="BO178">
        <f>IF(OR($D178="",AJ178="",24&gt;$F178),0,IF(UPPER(TRIM(AJ178))=IFERROR(INDEX(Key!$C$2:$C$263,MATCH($D178*100+24,Key!$G$2:$G$263,0)),"#"),1,0))</f>
        <v/>
      </c>
      <c r="BP178">
        <f>IF(OR($D178="",AK178="",25&gt;$F178),0,IF(UPPER(TRIM(AK178))=IFERROR(INDEX(Key!$C$2:$C$263,MATCH($D178*100+25,Key!$G$2:$G$263,0)),"#"),1,0))</f>
        <v/>
      </c>
      <c r="BQ178">
        <f>IF(OR($D178="",AL178="",26&gt;$F178),0,IF(UPPER(TRIM(AL178))=IFERROR(INDEX(Key!$C$2:$C$263,MATCH($D178*100+26,Key!$G$2:$G$263,0)),"#"),1,0))</f>
        <v/>
      </c>
      <c r="BR178">
        <f>IF(OR($D178="",AM178="",27&gt;$F178),0,IF(UPPER(TRIM(AM178))=IFERROR(INDEX(Key!$C$2:$C$263,MATCH($D178*100+27,Key!$G$2:$G$263,0)),"#"),1,0))</f>
        <v/>
      </c>
      <c r="BS178">
        <f>IF(OR($D178="",AN178="",28&gt;$F178),0,IF(UPPER(TRIM(AN178))=IFERROR(INDEX(Key!$C$2:$C$263,MATCH($D178*100+28,Key!$G$2:$G$263,0)),"#"),1,0))</f>
        <v/>
      </c>
      <c r="BT178">
        <f>IF(OR($D178="",AO178="",29&gt;$F178),0,IF(UPPER(TRIM(AO178))=IFERROR(INDEX(Key!$C$2:$C$263,MATCH($D178*100+29,Key!$G$2:$G$263,0)),"#"),1,0))</f>
        <v/>
      </c>
      <c r="BU178">
        <f>IF(OR($D178="",AP178="",30&gt;$F178),0,IF(UPPER(TRIM(AP178))=IFERROR(INDEX(Key!$C$2:$C$263,MATCH($D178*100+30,Key!$G$2:$G$263,0)),"#"),1,0))</f>
        <v/>
      </c>
    </row>
    <row r="179">
      <c r="A179" s="6" t="n"/>
      <c r="B179" s="6" t="n"/>
      <c r="C179" s="6" t="n"/>
      <c r="D179" s="6" t="n"/>
      <c r="E179" s="7">
        <f>IF($D179="","",IFERROR(INDEX(Papers!$B$2:$B$12,MATCH($D179,Papers!$A$2:$A$12,0)),"?"))</f>
        <v/>
      </c>
      <c r="F179" s="7">
        <f>IF($D179="","",IFERROR(INDEX(Papers!$C$2:$C$12,MATCH($D179,Papers!$A$2:$A$12,0)),0))</f>
        <v/>
      </c>
      <c r="G179" s="7">
        <f>IF($D179="","",COUNTIF(M179:AP179,"?*"))</f>
        <v/>
      </c>
      <c r="H179" s="7">
        <f>IF($D179="","",SUM(AR179:BU179))</f>
        <v/>
      </c>
      <c r="I179" s="7">
        <f>IF($D179="","",G179-H179)</f>
        <v/>
      </c>
      <c r="J179" s="7">
        <f>IF($D179="","",F179-G179)</f>
        <v/>
      </c>
      <c r="K179" s="7">
        <f>IF($D179="","",H179)</f>
        <v/>
      </c>
      <c r="L179" s="7">
        <f>IF($D179="","",IF(F179=0,"",ROUND(H179/F179*100,1)))</f>
        <v/>
      </c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R179">
        <f>IF(OR($D179="",M179="",1&gt;$F179),0,IF(UPPER(TRIM(M179))=IFERROR(INDEX(Key!$C$2:$C$263,MATCH($D179*100+1,Key!$G$2:$G$263,0)),"#"),1,0))</f>
        <v/>
      </c>
      <c r="AS179">
        <f>IF(OR($D179="",N179="",2&gt;$F179),0,IF(UPPER(TRIM(N179))=IFERROR(INDEX(Key!$C$2:$C$263,MATCH($D179*100+2,Key!$G$2:$G$263,0)),"#"),1,0))</f>
        <v/>
      </c>
      <c r="AT179">
        <f>IF(OR($D179="",O179="",3&gt;$F179),0,IF(UPPER(TRIM(O179))=IFERROR(INDEX(Key!$C$2:$C$263,MATCH($D179*100+3,Key!$G$2:$G$263,0)),"#"),1,0))</f>
        <v/>
      </c>
      <c r="AU179">
        <f>IF(OR($D179="",P179="",4&gt;$F179),0,IF(UPPER(TRIM(P179))=IFERROR(INDEX(Key!$C$2:$C$263,MATCH($D179*100+4,Key!$G$2:$G$263,0)),"#"),1,0))</f>
        <v/>
      </c>
      <c r="AV179">
        <f>IF(OR($D179="",Q179="",5&gt;$F179),0,IF(UPPER(TRIM(Q179))=IFERROR(INDEX(Key!$C$2:$C$263,MATCH($D179*100+5,Key!$G$2:$G$263,0)),"#"),1,0))</f>
        <v/>
      </c>
      <c r="AW179">
        <f>IF(OR($D179="",R179="",6&gt;$F179),0,IF(UPPER(TRIM(R179))=IFERROR(INDEX(Key!$C$2:$C$263,MATCH($D179*100+6,Key!$G$2:$G$263,0)),"#"),1,0))</f>
        <v/>
      </c>
      <c r="AX179">
        <f>IF(OR($D179="",S179="",7&gt;$F179),0,IF(UPPER(TRIM(S179))=IFERROR(INDEX(Key!$C$2:$C$263,MATCH($D179*100+7,Key!$G$2:$G$263,0)),"#"),1,0))</f>
        <v/>
      </c>
      <c r="AY179">
        <f>IF(OR($D179="",T179="",8&gt;$F179),0,IF(UPPER(TRIM(T179))=IFERROR(INDEX(Key!$C$2:$C$263,MATCH($D179*100+8,Key!$G$2:$G$263,0)),"#"),1,0))</f>
        <v/>
      </c>
      <c r="AZ179">
        <f>IF(OR($D179="",U179="",9&gt;$F179),0,IF(UPPER(TRIM(U179))=IFERROR(INDEX(Key!$C$2:$C$263,MATCH($D179*100+9,Key!$G$2:$G$263,0)),"#"),1,0))</f>
        <v/>
      </c>
      <c r="BA179">
        <f>IF(OR($D179="",V179="",10&gt;$F179),0,IF(UPPER(TRIM(V179))=IFERROR(INDEX(Key!$C$2:$C$263,MATCH($D179*100+10,Key!$G$2:$G$263,0)),"#"),1,0))</f>
        <v/>
      </c>
      <c r="BB179">
        <f>IF(OR($D179="",W179="",11&gt;$F179),0,IF(UPPER(TRIM(W179))=IFERROR(INDEX(Key!$C$2:$C$263,MATCH($D179*100+11,Key!$G$2:$G$263,0)),"#"),1,0))</f>
        <v/>
      </c>
      <c r="BC179">
        <f>IF(OR($D179="",X179="",12&gt;$F179),0,IF(UPPER(TRIM(X179))=IFERROR(INDEX(Key!$C$2:$C$263,MATCH($D179*100+12,Key!$G$2:$G$263,0)),"#"),1,0))</f>
        <v/>
      </c>
      <c r="BD179">
        <f>IF(OR($D179="",Y179="",13&gt;$F179),0,IF(UPPER(TRIM(Y179))=IFERROR(INDEX(Key!$C$2:$C$263,MATCH($D179*100+13,Key!$G$2:$G$263,0)),"#"),1,0))</f>
        <v/>
      </c>
      <c r="BE179">
        <f>IF(OR($D179="",Z179="",14&gt;$F179),0,IF(UPPER(TRIM(Z179))=IFERROR(INDEX(Key!$C$2:$C$263,MATCH($D179*100+14,Key!$G$2:$G$263,0)),"#"),1,0))</f>
        <v/>
      </c>
      <c r="BF179">
        <f>IF(OR($D179="",AA179="",15&gt;$F179),0,IF(UPPER(TRIM(AA179))=IFERROR(INDEX(Key!$C$2:$C$263,MATCH($D179*100+15,Key!$G$2:$G$263,0)),"#"),1,0))</f>
        <v/>
      </c>
      <c r="BG179">
        <f>IF(OR($D179="",AB179="",16&gt;$F179),0,IF(UPPER(TRIM(AB179))=IFERROR(INDEX(Key!$C$2:$C$263,MATCH($D179*100+16,Key!$G$2:$G$263,0)),"#"),1,0))</f>
        <v/>
      </c>
      <c r="BH179">
        <f>IF(OR($D179="",AC179="",17&gt;$F179),0,IF(UPPER(TRIM(AC179))=IFERROR(INDEX(Key!$C$2:$C$263,MATCH($D179*100+17,Key!$G$2:$G$263,0)),"#"),1,0))</f>
        <v/>
      </c>
      <c r="BI179">
        <f>IF(OR($D179="",AD179="",18&gt;$F179),0,IF(UPPER(TRIM(AD179))=IFERROR(INDEX(Key!$C$2:$C$263,MATCH($D179*100+18,Key!$G$2:$G$263,0)),"#"),1,0))</f>
        <v/>
      </c>
      <c r="BJ179">
        <f>IF(OR($D179="",AE179="",19&gt;$F179),0,IF(UPPER(TRIM(AE179))=IFERROR(INDEX(Key!$C$2:$C$263,MATCH($D179*100+19,Key!$G$2:$G$263,0)),"#"),1,0))</f>
        <v/>
      </c>
      <c r="BK179">
        <f>IF(OR($D179="",AF179="",20&gt;$F179),0,IF(UPPER(TRIM(AF179))=IFERROR(INDEX(Key!$C$2:$C$263,MATCH($D179*100+20,Key!$G$2:$G$263,0)),"#"),1,0))</f>
        <v/>
      </c>
      <c r="BL179">
        <f>IF(OR($D179="",AG179="",21&gt;$F179),0,IF(UPPER(TRIM(AG179))=IFERROR(INDEX(Key!$C$2:$C$263,MATCH($D179*100+21,Key!$G$2:$G$263,0)),"#"),1,0))</f>
        <v/>
      </c>
      <c r="BM179">
        <f>IF(OR($D179="",AH179="",22&gt;$F179),0,IF(UPPER(TRIM(AH179))=IFERROR(INDEX(Key!$C$2:$C$263,MATCH($D179*100+22,Key!$G$2:$G$263,0)),"#"),1,0))</f>
        <v/>
      </c>
      <c r="BN179">
        <f>IF(OR($D179="",AI179="",23&gt;$F179),0,IF(UPPER(TRIM(AI179))=IFERROR(INDEX(Key!$C$2:$C$263,MATCH($D179*100+23,Key!$G$2:$G$263,0)),"#"),1,0))</f>
        <v/>
      </c>
      <c r="BO179">
        <f>IF(OR($D179="",AJ179="",24&gt;$F179),0,IF(UPPER(TRIM(AJ179))=IFERROR(INDEX(Key!$C$2:$C$263,MATCH($D179*100+24,Key!$G$2:$G$263,0)),"#"),1,0))</f>
        <v/>
      </c>
      <c r="BP179">
        <f>IF(OR($D179="",AK179="",25&gt;$F179),0,IF(UPPER(TRIM(AK179))=IFERROR(INDEX(Key!$C$2:$C$263,MATCH($D179*100+25,Key!$G$2:$G$263,0)),"#"),1,0))</f>
        <v/>
      </c>
      <c r="BQ179">
        <f>IF(OR($D179="",AL179="",26&gt;$F179),0,IF(UPPER(TRIM(AL179))=IFERROR(INDEX(Key!$C$2:$C$263,MATCH($D179*100+26,Key!$G$2:$G$263,0)),"#"),1,0))</f>
        <v/>
      </c>
      <c r="BR179">
        <f>IF(OR($D179="",AM179="",27&gt;$F179),0,IF(UPPER(TRIM(AM179))=IFERROR(INDEX(Key!$C$2:$C$263,MATCH($D179*100+27,Key!$G$2:$G$263,0)),"#"),1,0))</f>
        <v/>
      </c>
      <c r="BS179">
        <f>IF(OR($D179="",AN179="",28&gt;$F179),0,IF(UPPER(TRIM(AN179))=IFERROR(INDEX(Key!$C$2:$C$263,MATCH($D179*100+28,Key!$G$2:$G$263,0)),"#"),1,0))</f>
        <v/>
      </c>
      <c r="BT179">
        <f>IF(OR($D179="",AO179="",29&gt;$F179),0,IF(UPPER(TRIM(AO179))=IFERROR(INDEX(Key!$C$2:$C$263,MATCH($D179*100+29,Key!$G$2:$G$263,0)),"#"),1,0))</f>
        <v/>
      </c>
      <c r="BU179">
        <f>IF(OR($D179="",AP179="",30&gt;$F179),0,IF(UPPER(TRIM(AP179))=IFERROR(INDEX(Key!$C$2:$C$263,MATCH($D179*100+30,Key!$G$2:$G$263,0)),"#"),1,0))</f>
        <v/>
      </c>
    </row>
    <row r="180">
      <c r="A180" s="6" t="n"/>
      <c r="B180" s="6" t="n"/>
      <c r="C180" s="6" t="n"/>
      <c r="D180" s="6" t="n"/>
      <c r="E180" s="7">
        <f>IF($D180="","",IFERROR(INDEX(Papers!$B$2:$B$12,MATCH($D180,Papers!$A$2:$A$12,0)),"?"))</f>
        <v/>
      </c>
      <c r="F180" s="7">
        <f>IF($D180="","",IFERROR(INDEX(Papers!$C$2:$C$12,MATCH($D180,Papers!$A$2:$A$12,0)),0))</f>
        <v/>
      </c>
      <c r="G180" s="7">
        <f>IF($D180="","",COUNTIF(M180:AP180,"?*"))</f>
        <v/>
      </c>
      <c r="H180" s="7">
        <f>IF($D180="","",SUM(AR180:BU180))</f>
        <v/>
      </c>
      <c r="I180" s="7">
        <f>IF($D180="","",G180-H180)</f>
        <v/>
      </c>
      <c r="J180" s="7">
        <f>IF($D180="","",F180-G180)</f>
        <v/>
      </c>
      <c r="K180" s="7">
        <f>IF($D180="","",H180)</f>
        <v/>
      </c>
      <c r="L180" s="7">
        <f>IF($D180="","",IF(F180=0,"",ROUND(H180/F180*100,1)))</f>
        <v/>
      </c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R180">
        <f>IF(OR($D180="",M180="",1&gt;$F180),0,IF(UPPER(TRIM(M180))=IFERROR(INDEX(Key!$C$2:$C$263,MATCH($D180*100+1,Key!$G$2:$G$263,0)),"#"),1,0))</f>
        <v/>
      </c>
      <c r="AS180">
        <f>IF(OR($D180="",N180="",2&gt;$F180),0,IF(UPPER(TRIM(N180))=IFERROR(INDEX(Key!$C$2:$C$263,MATCH($D180*100+2,Key!$G$2:$G$263,0)),"#"),1,0))</f>
        <v/>
      </c>
      <c r="AT180">
        <f>IF(OR($D180="",O180="",3&gt;$F180),0,IF(UPPER(TRIM(O180))=IFERROR(INDEX(Key!$C$2:$C$263,MATCH($D180*100+3,Key!$G$2:$G$263,0)),"#"),1,0))</f>
        <v/>
      </c>
      <c r="AU180">
        <f>IF(OR($D180="",P180="",4&gt;$F180),0,IF(UPPER(TRIM(P180))=IFERROR(INDEX(Key!$C$2:$C$263,MATCH($D180*100+4,Key!$G$2:$G$263,0)),"#"),1,0))</f>
        <v/>
      </c>
      <c r="AV180">
        <f>IF(OR($D180="",Q180="",5&gt;$F180),0,IF(UPPER(TRIM(Q180))=IFERROR(INDEX(Key!$C$2:$C$263,MATCH($D180*100+5,Key!$G$2:$G$263,0)),"#"),1,0))</f>
        <v/>
      </c>
      <c r="AW180">
        <f>IF(OR($D180="",R180="",6&gt;$F180),0,IF(UPPER(TRIM(R180))=IFERROR(INDEX(Key!$C$2:$C$263,MATCH($D180*100+6,Key!$G$2:$G$263,0)),"#"),1,0))</f>
        <v/>
      </c>
      <c r="AX180">
        <f>IF(OR($D180="",S180="",7&gt;$F180),0,IF(UPPER(TRIM(S180))=IFERROR(INDEX(Key!$C$2:$C$263,MATCH($D180*100+7,Key!$G$2:$G$263,0)),"#"),1,0))</f>
        <v/>
      </c>
      <c r="AY180">
        <f>IF(OR($D180="",T180="",8&gt;$F180),0,IF(UPPER(TRIM(T180))=IFERROR(INDEX(Key!$C$2:$C$263,MATCH($D180*100+8,Key!$G$2:$G$263,0)),"#"),1,0))</f>
        <v/>
      </c>
      <c r="AZ180">
        <f>IF(OR($D180="",U180="",9&gt;$F180),0,IF(UPPER(TRIM(U180))=IFERROR(INDEX(Key!$C$2:$C$263,MATCH($D180*100+9,Key!$G$2:$G$263,0)),"#"),1,0))</f>
        <v/>
      </c>
      <c r="BA180">
        <f>IF(OR($D180="",V180="",10&gt;$F180),0,IF(UPPER(TRIM(V180))=IFERROR(INDEX(Key!$C$2:$C$263,MATCH($D180*100+10,Key!$G$2:$G$263,0)),"#"),1,0))</f>
        <v/>
      </c>
      <c r="BB180">
        <f>IF(OR($D180="",W180="",11&gt;$F180),0,IF(UPPER(TRIM(W180))=IFERROR(INDEX(Key!$C$2:$C$263,MATCH($D180*100+11,Key!$G$2:$G$263,0)),"#"),1,0))</f>
        <v/>
      </c>
      <c r="BC180">
        <f>IF(OR($D180="",X180="",12&gt;$F180),0,IF(UPPER(TRIM(X180))=IFERROR(INDEX(Key!$C$2:$C$263,MATCH($D180*100+12,Key!$G$2:$G$263,0)),"#"),1,0))</f>
        <v/>
      </c>
      <c r="BD180">
        <f>IF(OR($D180="",Y180="",13&gt;$F180),0,IF(UPPER(TRIM(Y180))=IFERROR(INDEX(Key!$C$2:$C$263,MATCH($D180*100+13,Key!$G$2:$G$263,0)),"#"),1,0))</f>
        <v/>
      </c>
      <c r="BE180">
        <f>IF(OR($D180="",Z180="",14&gt;$F180),0,IF(UPPER(TRIM(Z180))=IFERROR(INDEX(Key!$C$2:$C$263,MATCH($D180*100+14,Key!$G$2:$G$263,0)),"#"),1,0))</f>
        <v/>
      </c>
      <c r="BF180">
        <f>IF(OR($D180="",AA180="",15&gt;$F180),0,IF(UPPER(TRIM(AA180))=IFERROR(INDEX(Key!$C$2:$C$263,MATCH($D180*100+15,Key!$G$2:$G$263,0)),"#"),1,0))</f>
        <v/>
      </c>
      <c r="BG180">
        <f>IF(OR($D180="",AB180="",16&gt;$F180),0,IF(UPPER(TRIM(AB180))=IFERROR(INDEX(Key!$C$2:$C$263,MATCH($D180*100+16,Key!$G$2:$G$263,0)),"#"),1,0))</f>
        <v/>
      </c>
      <c r="BH180">
        <f>IF(OR($D180="",AC180="",17&gt;$F180),0,IF(UPPER(TRIM(AC180))=IFERROR(INDEX(Key!$C$2:$C$263,MATCH($D180*100+17,Key!$G$2:$G$263,0)),"#"),1,0))</f>
        <v/>
      </c>
      <c r="BI180">
        <f>IF(OR($D180="",AD180="",18&gt;$F180),0,IF(UPPER(TRIM(AD180))=IFERROR(INDEX(Key!$C$2:$C$263,MATCH($D180*100+18,Key!$G$2:$G$263,0)),"#"),1,0))</f>
        <v/>
      </c>
      <c r="BJ180">
        <f>IF(OR($D180="",AE180="",19&gt;$F180),0,IF(UPPER(TRIM(AE180))=IFERROR(INDEX(Key!$C$2:$C$263,MATCH($D180*100+19,Key!$G$2:$G$263,0)),"#"),1,0))</f>
        <v/>
      </c>
      <c r="BK180">
        <f>IF(OR($D180="",AF180="",20&gt;$F180),0,IF(UPPER(TRIM(AF180))=IFERROR(INDEX(Key!$C$2:$C$263,MATCH($D180*100+20,Key!$G$2:$G$263,0)),"#"),1,0))</f>
        <v/>
      </c>
      <c r="BL180">
        <f>IF(OR($D180="",AG180="",21&gt;$F180),0,IF(UPPER(TRIM(AG180))=IFERROR(INDEX(Key!$C$2:$C$263,MATCH($D180*100+21,Key!$G$2:$G$263,0)),"#"),1,0))</f>
        <v/>
      </c>
      <c r="BM180">
        <f>IF(OR($D180="",AH180="",22&gt;$F180),0,IF(UPPER(TRIM(AH180))=IFERROR(INDEX(Key!$C$2:$C$263,MATCH($D180*100+22,Key!$G$2:$G$263,0)),"#"),1,0))</f>
        <v/>
      </c>
      <c r="BN180">
        <f>IF(OR($D180="",AI180="",23&gt;$F180),0,IF(UPPER(TRIM(AI180))=IFERROR(INDEX(Key!$C$2:$C$263,MATCH($D180*100+23,Key!$G$2:$G$263,0)),"#"),1,0))</f>
        <v/>
      </c>
      <c r="BO180">
        <f>IF(OR($D180="",AJ180="",24&gt;$F180),0,IF(UPPER(TRIM(AJ180))=IFERROR(INDEX(Key!$C$2:$C$263,MATCH($D180*100+24,Key!$G$2:$G$263,0)),"#"),1,0))</f>
        <v/>
      </c>
      <c r="BP180">
        <f>IF(OR($D180="",AK180="",25&gt;$F180),0,IF(UPPER(TRIM(AK180))=IFERROR(INDEX(Key!$C$2:$C$263,MATCH($D180*100+25,Key!$G$2:$G$263,0)),"#"),1,0))</f>
        <v/>
      </c>
      <c r="BQ180">
        <f>IF(OR($D180="",AL180="",26&gt;$F180),0,IF(UPPER(TRIM(AL180))=IFERROR(INDEX(Key!$C$2:$C$263,MATCH($D180*100+26,Key!$G$2:$G$263,0)),"#"),1,0))</f>
        <v/>
      </c>
      <c r="BR180">
        <f>IF(OR($D180="",AM180="",27&gt;$F180),0,IF(UPPER(TRIM(AM180))=IFERROR(INDEX(Key!$C$2:$C$263,MATCH($D180*100+27,Key!$G$2:$G$263,0)),"#"),1,0))</f>
        <v/>
      </c>
      <c r="BS180">
        <f>IF(OR($D180="",AN180="",28&gt;$F180),0,IF(UPPER(TRIM(AN180))=IFERROR(INDEX(Key!$C$2:$C$263,MATCH($D180*100+28,Key!$G$2:$G$263,0)),"#"),1,0))</f>
        <v/>
      </c>
      <c r="BT180">
        <f>IF(OR($D180="",AO180="",29&gt;$F180),0,IF(UPPER(TRIM(AO180))=IFERROR(INDEX(Key!$C$2:$C$263,MATCH($D180*100+29,Key!$G$2:$G$263,0)),"#"),1,0))</f>
        <v/>
      </c>
      <c r="BU180">
        <f>IF(OR($D180="",AP180="",30&gt;$F180),0,IF(UPPER(TRIM(AP180))=IFERROR(INDEX(Key!$C$2:$C$263,MATCH($D180*100+30,Key!$G$2:$G$263,0)),"#"),1,0))</f>
        <v/>
      </c>
    </row>
    <row r="181">
      <c r="A181" s="6" t="n"/>
      <c r="B181" s="6" t="n"/>
      <c r="C181" s="6" t="n"/>
      <c r="D181" s="6" t="n"/>
      <c r="E181" s="7">
        <f>IF($D181="","",IFERROR(INDEX(Papers!$B$2:$B$12,MATCH($D181,Papers!$A$2:$A$12,0)),"?"))</f>
        <v/>
      </c>
      <c r="F181" s="7">
        <f>IF($D181="","",IFERROR(INDEX(Papers!$C$2:$C$12,MATCH($D181,Papers!$A$2:$A$12,0)),0))</f>
        <v/>
      </c>
      <c r="G181" s="7">
        <f>IF($D181="","",COUNTIF(M181:AP181,"?*"))</f>
        <v/>
      </c>
      <c r="H181" s="7">
        <f>IF($D181="","",SUM(AR181:BU181))</f>
        <v/>
      </c>
      <c r="I181" s="7">
        <f>IF($D181="","",G181-H181)</f>
        <v/>
      </c>
      <c r="J181" s="7">
        <f>IF($D181="","",F181-G181)</f>
        <v/>
      </c>
      <c r="K181" s="7">
        <f>IF($D181="","",H181)</f>
        <v/>
      </c>
      <c r="L181" s="7">
        <f>IF($D181="","",IF(F181=0,"",ROUND(H181/F181*100,1)))</f>
        <v/>
      </c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R181">
        <f>IF(OR($D181="",M181="",1&gt;$F181),0,IF(UPPER(TRIM(M181))=IFERROR(INDEX(Key!$C$2:$C$263,MATCH($D181*100+1,Key!$G$2:$G$263,0)),"#"),1,0))</f>
        <v/>
      </c>
      <c r="AS181">
        <f>IF(OR($D181="",N181="",2&gt;$F181),0,IF(UPPER(TRIM(N181))=IFERROR(INDEX(Key!$C$2:$C$263,MATCH($D181*100+2,Key!$G$2:$G$263,0)),"#"),1,0))</f>
        <v/>
      </c>
      <c r="AT181">
        <f>IF(OR($D181="",O181="",3&gt;$F181),0,IF(UPPER(TRIM(O181))=IFERROR(INDEX(Key!$C$2:$C$263,MATCH($D181*100+3,Key!$G$2:$G$263,0)),"#"),1,0))</f>
        <v/>
      </c>
      <c r="AU181">
        <f>IF(OR($D181="",P181="",4&gt;$F181),0,IF(UPPER(TRIM(P181))=IFERROR(INDEX(Key!$C$2:$C$263,MATCH($D181*100+4,Key!$G$2:$G$263,0)),"#"),1,0))</f>
        <v/>
      </c>
      <c r="AV181">
        <f>IF(OR($D181="",Q181="",5&gt;$F181),0,IF(UPPER(TRIM(Q181))=IFERROR(INDEX(Key!$C$2:$C$263,MATCH($D181*100+5,Key!$G$2:$G$263,0)),"#"),1,0))</f>
        <v/>
      </c>
      <c r="AW181">
        <f>IF(OR($D181="",R181="",6&gt;$F181),0,IF(UPPER(TRIM(R181))=IFERROR(INDEX(Key!$C$2:$C$263,MATCH($D181*100+6,Key!$G$2:$G$263,0)),"#"),1,0))</f>
        <v/>
      </c>
      <c r="AX181">
        <f>IF(OR($D181="",S181="",7&gt;$F181),0,IF(UPPER(TRIM(S181))=IFERROR(INDEX(Key!$C$2:$C$263,MATCH($D181*100+7,Key!$G$2:$G$263,0)),"#"),1,0))</f>
        <v/>
      </c>
      <c r="AY181">
        <f>IF(OR($D181="",T181="",8&gt;$F181),0,IF(UPPER(TRIM(T181))=IFERROR(INDEX(Key!$C$2:$C$263,MATCH($D181*100+8,Key!$G$2:$G$263,0)),"#"),1,0))</f>
        <v/>
      </c>
      <c r="AZ181">
        <f>IF(OR($D181="",U181="",9&gt;$F181),0,IF(UPPER(TRIM(U181))=IFERROR(INDEX(Key!$C$2:$C$263,MATCH($D181*100+9,Key!$G$2:$G$263,0)),"#"),1,0))</f>
        <v/>
      </c>
      <c r="BA181">
        <f>IF(OR($D181="",V181="",10&gt;$F181),0,IF(UPPER(TRIM(V181))=IFERROR(INDEX(Key!$C$2:$C$263,MATCH($D181*100+10,Key!$G$2:$G$263,0)),"#"),1,0))</f>
        <v/>
      </c>
      <c r="BB181">
        <f>IF(OR($D181="",W181="",11&gt;$F181),0,IF(UPPER(TRIM(W181))=IFERROR(INDEX(Key!$C$2:$C$263,MATCH($D181*100+11,Key!$G$2:$G$263,0)),"#"),1,0))</f>
        <v/>
      </c>
      <c r="BC181">
        <f>IF(OR($D181="",X181="",12&gt;$F181),0,IF(UPPER(TRIM(X181))=IFERROR(INDEX(Key!$C$2:$C$263,MATCH($D181*100+12,Key!$G$2:$G$263,0)),"#"),1,0))</f>
        <v/>
      </c>
      <c r="BD181">
        <f>IF(OR($D181="",Y181="",13&gt;$F181),0,IF(UPPER(TRIM(Y181))=IFERROR(INDEX(Key!$C$2:$C$263,MATCH($D181*100+13,Key!$G$2:$G$263,0)),"#"),1,0))</f>
        <v/>
      </c>
      <c r="BE181">
        <f>IF(OR($D181="",Z181="",14&gt;$F181),0,IF(UPPER(TRIM(Z181))=IFERROR(INDEX(Key!$C$2:$C$263,MATCH($D181*100+14,Key!$G$2:$G$263,0)),"#"),1,0))</f>
        <v/>
      </c>
      <c r="BF181">
        <f>IF(OR($D181="",AA181="",15&gt;$F181),0,IF(UPPER(TRIM(AA181))=IFERROR(INDEX(Key!$C$2:$C$263,MATCH($D181*100+15,Key!$G$2:$G$263,0)),"#"),1,0))</f>
        <v/>
      </c>
      <c r="BG181">
        <f>IF(OR($D181="",AB181="",16&gt;$F181),0,IF(UPPER(TRIM(AB181))=IFERROR(INDEX(Key!$C$2:$C$263,MATCH($D181*100+16,Key!$G$2:$G$263,0)),"#"),1,0))</f>
        <v/>
      </c>
      <c r="BH181">
        <f>IF(OR($D181="",AC181="",17&gt;$F181),0,IF(UPPER(TRIM(AC181))=IFERROR(INDEX(Key!$C$2:$C$263,MATCH($D181*100+17,Key!$G$2:$G$263,0)),"#"),1,0))</f>
        <v/>
      </c>
      <c r="BI181">
        <f>IF(OR($D181="",AD181="",18&gt;$F181),0,IF(UPPER(TRIM(AD181))=IFERROR(INDEX(Key!$C$2:$C$263,MATCH($D181*100+18,Key!$G$2:$G$263,0)),"#"),1,0))</f>
        <v/>
      </c>
      <c r="BJ181">
        <f>IF(OR($D181="",AE181="",19&gt;$F181),0,IF(UPPER(TRIM(AE181))=IFERROR(INDEX(Key!$C$2:$C$263,MATCH($D181*100+19,Key!$G$2:$G$263,0)),"#"),1,0))</f>
        <v/>
      </c>
      <c r="BK181">
        <f>IF(OR($D181="",AF181="",20&gt;$F181),0,IF(UPPER(TRIM(AF181))=IFERROR(INDEX(Key!$C$2:$C$263,MATCH($D181*100+20,Key!$G$2:$G$263,0)),"#"),1,0))</f>
        <v/>
      </c>
      <c r="BL181">
        <f>IF(OR($D181="",AG181="",21&gt;$F181),0,IF(UPPER(TRIM(AG181))=IFERROR(INDEX(Key!$C$2:$C$263,MATCH($D181*100+21,Key!$G$2:$G$263,0)),"#"),1,0))</f>
        <v/>
      </c>
      <c r="BM181">
        <f>IF(OR($D181="",AH181="",22&gt;$F181),0,IF(UPPER(TRIM(AH181))=IFERROR(INDEX(Key!$C$2:$C$263,MATCH($D181*100+22,Key!$G$2:$G$263,0)),"#"),1,0))</f>
        <v/>
      </c>
      <c r="BN181">
        <f>IF(OR($D181="",AI181="",23&gt;$F181),0,IF(UPPER(TRIM(AI181))=IFERROR(INDEX(Key!$C$2:$C$263,MATCH($D181*100+23,Key!$G$2:$G$263,0)),"#"),1,0))</f>
        <v/>
      </c>
      <c r="BO181">
        <f>IF(OR($D181="",AJ181="",24&gt;$F181),0,IF(UPPER(TRIM(AJ181))=IFERROR(INDEX(Key!$C$2:$C$263,MATCH($D181*100+24,Key!$G$2:$G$263,0)),"#"),1,0))</f>
        <v/>
      </c>
      <c r="BP181">
        <f>IF(OR($D181="",AK181="",25&gt;$F181),0,IF(UPPER(TRIM(AK181))=IFERROR(INDEX(Key!$C$2:$C$263,MATCH($D181*100+25,Key!$G$2:$G$263,0)),"#"),1,0))</f>
        <v/>
      </c>
      <c r="BQ181">
        <f>IF(OR($D181="",AL181="",26&gt;$F181),0,IF(UPPER(TRIM(AL181))=IFERROR(INDEX(Key!$C$2:$C$263,MATCH($D181*100+26,Key!$G$2:$G$263,0)),"#"),1,0))</f>
        <v/>
      </c>
      <c r="BR181">
        <f>IF(OR($D181="",AM181="",27&gt;$F181),0,IF(UPPER(TRIM(AM181))=IFERROR(INDEX(Key!$C$2:$C$263,MATCH($D181*100+27,Key!$G$2:$G$263,0)),"#"),1,0))</f>
        <v/>
      </c>
      <c r="BS181">
        <f>IF(OR($D181="",AN181="",28&gt;$F181),0,IF(UPPER(TRIM(AN181))=IFERROR(INDEX(Key!$C$2:$C$263,MATCH($D181*100+28,Key!$G$2:$G$263,0)),"#"),1,0))</f>
        <v/>
      </c>
      <c r="BT181">
        <f>IF(OR($D181="",AO181="",29&gt;$F181),0,IF(UPPER(TRIM(AO181))=IFERROR(INDEX(Key!$C$2:$C$263,MATCH($D181*100+29,Key!$G$2:$G$263,0)),"#"),1,0))</f>
        <v/>
      </c>
      <c r="BU181">
        <f>IF(OR($D181="",AP181="",30&gt;$F181),0,IF(UPPER(TRIM(AP181))=IFERROR(INDEX(Key!$C$2:$C$263,MATCH($D181*100+30,Key!$G$2:$G$263,0)),"#"),1,0))</f>
        <v/>
      </c>
    </row>
    <row r="182">
      <c r="A182" s="6" t="n"/>
      <c r="B182" s="6" t="n"/>
      <c r="C182" s="6" t="n"/>
      <c r="D182" s="6" t="n"/>
      <c r="E182" s="7">
        <f>IF($D182="","",IFERROR(INDEX(Papers!$B$2:$B$12,MATCH($D182,Papers!$A$2:$A$12,0)),"?"))</f>
        <v/>
      </c>
      <c r="F182" s="7">
        <f>IF($D182="","",IFERROR(INDEX(Papers!$C$2:$C$12,MATCH($D182,Papers!$A$2:$A$12,0)),0))</f>
        <v/>
      </c>
      <c r="G182" s="7">
        <f>IF($D182="","",COUNTIF(M182:AP182,"?*"))</f>
        <v/>
      </c>
      <c r="H182" s="7">
        <f>IF($D182="","",SUM(AR182:BU182))</f>
        <v/>
      </c>
      <c r="I182" s="7">
        <f>IF($D182="","",G182-H182)</f>
        <v/>
      </c>
      <c r="J182" s="7">
        <f>IF($D182="","",F182-G182)</f>
        <v/>
      </c>
      <c r="K182" s="7">
        <f>IF($D182="","",H182)</f>
        <v/>
      </c>
      <c r="L182" s="7">
        <f>IF($D182="","",IF(F182=0,"",ROUND(H182/F182*100,1)))</f>
        <v/>
      </c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R182">
        <f>IF(OR($D182="",M182="",1&gt;$F182),0,IF(UPPER(TRIM(M182))=IFERROR(INDEX(Key!$C$2:$C$263,MATCH($D182*100+1,Key!$G$2:$G$263,0)),"#"),1,0))</f>
        <v/>
      </c>
      <c r="AS182">
        <f>IF(OR($D182="",N182="",2&gt;$F182),0,IF(UPPER(TRIM(N182))=IFERROR(INDEX(Key!$C$2:$C$263,MATCH($D182*100+2,Key!$G$2:$G$263,0)),"#"),1,0))</f>
        <v/>
      </c>
      <c r="AT182">
        <f>IF(OR($D182="",O182="",3&gt;$F182),0,IF(UPPER(TRIM(O182))=IFERROR(INDEX(Key!$C$2:$C$263,MATCH($D182*100+3,Key!$G$2:$G$263,0)),"#"),1,0))</f>
        <v/>
      </c>
      <c r="AU182">
        <f>IF(OR($D182="",P182="",4&gt;$F182),0,IF(UPPER(TRIM(P182))=IFERROR(INDEX(Key!$C$2:$C$263,MATCH($D182*100+4,Key!$G$2:$G$263,0)),"#"),1,0))</f>
        <v/>
      </c>
      <c r="AV182">
        <f>IF(OR($D182="",Q182="",5&gt;$F182),0,IF(UPPER(TRIM(Q182))=IFERROR(INDEX(Key!$C$2:$C$263,MATCH($D182*100+5,Key!$G$2:$G$263,0)),"#"),1,0))</f>
        <v/>
      </c>
      <c r="AW182">
        <f>IF(OR($D182="",R182="",6&gt;$F182),0,IF(UPPER(TRIM(R182))=IFERROR(INDEX(Key!$C$2:$C$263,MATCH($D182*100+6,Key!$G$2:$G$263,0)),"#"),1,0))</f>
        <v/>
      </c>
      <c r="AX182">
        <f>IF(OR($D182="",S182="",7&gt;$F182),0,IF(UPPER(TRIM(S182))=IFERROR(INDEX(Key!$C$2:$C$263,MATCH($D182*100+7,Key!$G$2:$G$263,0)),"#"),1,0))</f>
        <v/>
      </c>
      <c r="AY182">
        <f>IF(OR($D182="",T182="",8&gt;$F182),0,IF(UPPER(TRIM(T182))=IFERROR(INDEX(Key!$C$2:$C$263,MATCH($D182*100+8,Key!$G$2:$G$263,0)),"#"),1,0))</f>
        <v/>
      </c>
      <c r="AZ182">
        <f>IF(OR($D182="",U182="",9&gt;$F182),0,IF(UPPER(TRIM(U182))=IFERROR(INDEX(Key!$C$2:$C$263,MATCH($D182*100+9,Key!$G$2:$G$263,0)),"#"),1,0))</f>
        <v/>
      </c>
      <c r="BA182">
        <f>IF(OR($D182="",V182="",10&gt;$F182),0,IF(UPPER(TRIM(V182))=IFERROR(INDEX(Key!$C$2:$C$263,MATCH($D182*100+10,Key!$G$2:$G$263,0)),"#"),1,0))</f>
        <v/>
      </c>
      <c r="BB182">
        <f>IF(OR($D182="",W182="",11&gt;$F182),0,IF(UPPER(TRIM(W182))=IFERROR(INDEX(Key!$C$2:$C$263,MATCH($D182*100+11,Key!$G$2:$G$263,0)),"#"),1,0))</f>
        <v/>
      </c>
      <c r="BC182">
        <f>IF(OR($D182="",X182="",12&gt;$F182),0,IF(UPPER(TRIM(X182))=IFERROR(INDEX(Key!$C$2:$C$263,MATCH($D182*100+12,Key!$G$2:$G$263,0)),"#"),1,0))</f>
        <v/>
      </c>
      <c r="BD182">
        <f>IF(OR($D182="",Y182="",13&gt;$F182),0,IF(UPPER(TRIM(Y182))=IFERROR(INDEX(Key!$C$2:$C$263,MATCH($D182*100+13,Key!$G$2:$G$263,0)),"#"),1,0))</f>
        <v/>
      </c>
      <c r="BE182">
        <f>IF(OR($D182="",Z182="",14&gt;$F182),0,IF(UPPER(TRIM(Z182))=IFERROR(INDEX(Key!$C$2:$C$263,MATCH($D182*100+14,Key!$G$2:$G$263,0)),"#"),1,0))</f>
        <v/>
      </c>
      <c r="BF182">
        <f>IF(OR($D182="",AA182="",15&gt;$F182),0,IF(UPPER(TRIM(AA182))=IFERROR(INDEX(Key!$C$2:$C$263,MATCH($D182*100+15,Key!$G$2:$G$263,0)),"#"),1,0))</f>
        <v/>
      </c>
      <c r="BG182">
        <f>IF(OR($D182="",AB182="",16&gt;$F182),0,IF(UPPER(TRIM(AB182))=IFERROR(INDEX(Key!$C$2:$C$263,MATCH($D182*100+16,Key!$G$2:$G$263,0)),"#"),1,0))</f>
        <v/>
      </c>
      <c r="BH182">
        <f>IF(OR($D182="",AC182="",17&gt;$F182),0,IF(UPPER(TRIM(AC182))=IFERROR(INDEX(Key!$C$2:$C$263,MATCH($D182*100+17,Key!$G$2:$G$263,0)),"#"),1,0))</f>
        <v/>
      </c>
      <c r="BI182">
        <f>IF(OR($D182="",AD182="",18&gt;$F182),0,IF(UPPER(TRIM(AD182))=IFERROR(INDEX(Key!$C$2:$C$263,MATCH($D182*100+18,Key!$G$2:$G$263,0)),"#"),1,0))</f>
        <v/>
      </c>
      <c r="BJ182">
        <f>IF(OR($D182="",AE182="",19&gt;$F182),0,IF(UPPER(TRIM(AE182))=IFERROR(INDEX(Key!$C$2:$C$263,MATCH($D182*100+19,Key!$G$2:$G$263,0)),"#"),1,0))</f>
        <v/>
      </c>
      <c r="BK182">
        <f>IF(OR($D182="",AF182="",20&gt;$F182),0,IF(UPPER(TRIM(AF182))=IFERROR(INDEX(Key!$C$2:$C$263,MATCH($D182*100+20,Key!$G$2:$G$263,0)),"#"),1,0))</f>
        <v/>
      </c>
      <c r="BL182">
        <f>IF(OR($D182="",AG182="",21&gt;$F182),0,IF(UPPER(TRIM(AG182))=IFERROR(INDEX(Key!$C$2:$C$263,MATCH($D182*100+21,Key!$G$2:$G$263,0)),"#"),1,0))</f>
        <v/>
      </c>
      <c r="BM182">
        <f>IF(OR($D182="",AH182="",22&gt;$F182),0,IF(UPPER(TRIM(AH182))=IFERROR(INDEX(Key!$C$2:$C$263,MATCH($D182*100+22,Key!$G$2:$G$263,0)),"#"),1,0))</f>
        <v/>
      </c>
      <c r="BN182">
        <f>IF(OR($D182="",AI182="",23&gt;$F182),0,IF(UPPER(TRIM(AI182))=IFERROR(INDEX(Key!$C$2:$C$263,MATCH($D182*100+23,Key!$G$2:$G$263,0)),"#"),1,0))</f>
        <v/>
      </c>
      <c r="BO182">
        <f>IF(OR($D182="",AJ182="",24&gt;$F182),0,IF(UPPER(TRIM(AJ182))=IFERROR(INDEX(Key!$C$2:$C$263,MATCH($D182*100+24,Key!$G$2:$G$263,0)),"#"),1,0))</f>
        <v/>
      </c>
      <c r="BP182">
        <f>IF(OR($D182="",AK182="",25&gt;$F182),0,IF(UPPER(TRIM(AK182))=IFERROR(INDEX(Key!$C$2:$C$263,MATCH($D182*100+25,Key!$G$2:$G$263,0)),"#"),1,0))</f>
        <v/>
      </c>
      <c r="BQ182">
        <f>IF(OR($D182="",AL182="",26&gt;$F182),0,IF(UPPER(TRIM(AL182))=IFERROR(INDEX(Key!$C$2:$C$263,MATCH($D182*100+26,Key!$G$2:$G$263,0)),"#"),1,0))</f>
        <v/>
      </c>
      <c r="BR182">
        <f>IF(OR($D182="",AM182="",27&gt;$F182),0,IF(UPPER(TRIM(AM182))=IFERROR(INDEX(Key!$C$2:$C$263,MATCH($D182*100+27,Key!$G$2:$G$263,0)),"#"),1,0))</f>
        <v/>
      </c>
      <c r="BS182">
        <f>IF(OR($D182="",AN182="",28&gt;$F182),0,IF(UPPER(TRIM(AN182))=IFERROR(INDEX(Key!$C$2:$C$263,MATCH($D182*100+28,Key!$G$2:$G$263,0)),"#"),1,0))</f>
        <v/>
      </c>
      <c r="BT182">
        <f>IF(OR($D182="",AO182="",29&gt;$F182),0,IF(UPPER(TRIM(AO182))=IFERROR(INDEX(Key!$C$2:$C$263,MATCH($D182*100+29,Key!$G$2:$G$263,0)),"#"),1,0))</f>
        <v/>
      </c>
      <c r="BU182">
        <f>IF(OR($D182="",AP182="",30&gt;$F182),0,IF(UPPER(TRIM(AP182))=IFERROR(INDEX(Key!$C$2:$C$263,MATCH($D182*100+30,Key!$G$2:$G$263,0)),"#"),1,0))</f>
        <v/>
      </c>
    </row>
    <row r="183">
      <c r="A183" s="6" t="n"/>
      <c r="B183" s="6" t="n"/>
      <c r="C183" s="6" t="n"/>
      <c r="D183" s="6" t="n"/>
      <c r="E183" s="7">
        <f>IF($D183="","",IFERROR(INDEX(Papers!$B$2:$B$12,MATCH($D183,Papers!$A$2:$A$12,0)),"?"))</f>
        <v/>
      </c>
      <c r="F183" s="7">
        <f>IF($D183="","",IFERROR(INDEX(Papers!$C$2:$C$12,MATCH($D183,Papers!$A$2:$A$12,0)),0))</f>
        <v/>
      </c>
      <c r="G183" s="7">
        <f>IF($D183="","",COUNTIF(M183:AP183,"?*"))</f>
        <v/>
      </c>
      <c r="H183" s="7">
        <f>IF($D183="","",SUM(AR183:BU183))</f>
        <v/>
      </c>
      <c r="I183" s="7">
        <f>IF($D183="","",G183-H183)</f>
        <v/>
      </c>
      <c r="J183" s="7">
        <f>IF($D183="","",F183-G183)</f>
        <v/>
      </c>
      <c r="K183" s="7">
        <f>IF($D183="","",H183)</f>
        <v/>
      </c>
      <c r="L183" s="7">
        <f>IF($D183="","",IF(F183=0,"",ROUND(H183/F183*100,1)))</f>
        <v/>
      </c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R183">
        <f>IF(OR($D183="",M183="",1&gt;$F183),0,IF(UPPER(TRIM(M183))=IFERROR(INDEX(Key!$C$2:$C$263,MATCH($D183*100+1,Key!$G$2:$G$263,0)),"#"),1,0))</f>
        <v/>
      </c>
      <c r="AS183">
        <f>IF(OR($D183="",N183="",2&gt;$F183),0,IF(UPPER(TRIM(N183))=IFERROR(INDEX(Key!$C$2:$C$263,MATCH($D183*100+2,Key!$G$2:$G$263,0)),"#"),1,0))</f>
        <v/>
      </c>
      <c r="AT183">
        <f>IF(OR($D183="",O183="",3&gt;$F183),0,IF(UPPER(TRIM(O183))=IFERROR(INDEX(Key!$C$2:$C$263,MATCH($D183*100+3,Key!$G$2:$G$263,0)),"#"),1,0))</f>
        <v/>
      </c>
      <c r="AU183">
        <f>IF(OR($D183="",P183="",4&gt;$F183),0,IF(UPPER(TRIM(P183))=IFERROR(INDEX(Key!$C$2:$C$263,MATCH($D183*100+4,Key!$G$2:$G$263,0)),"#"),1,0))</f>
        <v/>
      </c>
      <c r="AV183">
        <f>IF(OR($D183="",Q183="",5&gt;$F183),0,IF(UPPER(TRIM(Q183))=IFERROR(INDEX(Key!$C$2:$C$263,MATCH($D183*100+5,Key!$G$2:$G$263,0)),"#"),1,0))</f>
        <v/>
      </c>
      <c r="AW183">
        <f>IF(OR($D183="",R183="",6&gt;$F183),0,IF(UPPER(TRIM(R183))=IFERROR(INDEX(Key!$C$2:$C$263,MATCH($D183*100+6,Key!$G$2:$G$263,0)),"#"),1,0))</f>
        <v/>
      </c>
      <c r="AX183">
        <f>IF(OR($D183="",S183="",7&gt;$F183),0,IF(UPPER(TRIM(S183))=IFERROR(INDEX(Key!$C$2:$C$263,MATCH($D183*100+7,Key!$G$2:$G$263,0)),"#"),1,0))</f>
        <v/>
      </c>
      <c r="AY183">
        <f>IF(OR($D183="",T183="",8&gt;$F183),0,IF(UPPER(TRIM(T183))=IFERROR(INDEX(Key!$C$2:$C$263,MATCH($D183*100+8,Key!$G$2:$G$263,0)),"#"),1,0))</f>
        <v/>
      </c>
      <c r="AZ183">
        <f>IF(OR($D183="",U183="",9&gt;$F183),0,IF(UPPER(TRIM(U183))=IFERROR(INDEX(Key!$C$2:$C$263,MATCH($D183*100+9,Key!$G$2:$G$263,0)),"#"),1,0))</f>
        <v/>
      </c>
      <c r="BA183">
        <f>IF(OR($D183="",V183="",10&gt;$F183),0,IF(UPPER(TRIM(V183))=IFERROR(INDEX(Key!$C$2:$C$263,MATCH($D183*100+10,Key!$G$2:$G$263,0)),"#"),1,0))</f>
        <v/>
      </c>
      <c r="BB183">
        <f>IF(OR($D183="",W183="",11&gt;$F183),0,IF(UPPER(TRIM(W183))=IFERROR(INDEX(Key!$C$2:$C$263,MATCH($D183*100+11,Key!$G$2:$G$263,0)),"#"),1,0))</f>
        <v/>
      </c>
      <c r="BC183">
        <f>IF(OR($D183="",X183="",12&gt;$F183),0,IF(UPPER(TRIM(X183))=IFERROR(INDEX(Key!$C$2:$C$263,MATCH($D183*100+12,Key!$G$2:$G$263,0)),"#"),1,0))</f>
        <v/>
      </c>
      <c r="BD183">
        <f>IF(OR($D183="",Y183="",13&gt;$F183),0,IF(UPPER(TRIM(Y183))=IFERROR(INDEX(Key!$C$2:$C$263,MATCH($D183*100+13,Key!$G$2:$G$263,0)),"#"),1,0))</f>
        <v/>
      </c>
      <c r="BE183">
        <f>IF(OR($D183="",Z183="",14&gt;$F183),0,IF(UPPER(TRIM(Z183))=IFERROR(INDEX(Key!$C$2:$C$263,MATCH($D183*100+14,Key!$G$2:$G$263,0)),"#"),1,0))</f>
        <v/>
      </c>
      <c r="BF183">
        <f>IF(OR($D183="",AA183="",15&gt;$F183),0,IF(UPPER(TRIM(AA183))=IFERROR(INDEX(Key!$C$2:$C$263,MATCH($D183*100+15,Key!$G$2:$G$263,0)),"#"),1,0))</f>
        <v/>
      </c>
      <c r="BG183">
        <f>IF(OR($D183="",AB183="",16&gt;$F183),0,IF(UPPER(TRIM(AB183))=IFERROR(INDEX(Key!$C$2:$C$263,MATCH($D183*100+16,Key!$G$2:$G$263,0)),"#"),1,0))</f>
        <v/>
      </c>
      <c r="BH183">
        <f>IF(OR($D183="",AC183="",17&gt;$F183),0,IF(UPPER(TRIM(AC183))=IFERROR(INDEX(Key!$C$2:$C$263,MATCH($D183*100+17,Key!$G$2:$G$263,0)),"#"),1,0))</f>
        <v/>
      </c>
      <c r="BI183">
        <f>IF(OR($D183="",AD183="",18&gt;$F183),0,IF(UPPER(TRIM(AD183))=IFERROR(INDEX(Key!$C$2:$C$263,MATCH($D183*100+18,Key!$G$2:$G$263,0)),"#"),1,0))</f>
        <v/>
      </c>
      <c r="BJ183">
        <f>IF(OR($D183="",AE183="",19&gt;$F183),0,IF(UPPER(TRIM(AE183))=IFERROR(INDEX(Key!$C$2:$C$263,MATCH($D183*100+19,Key!$G$2:$G$263,0)),"#"),1,0))</f>
        <v/>
      </c>
      <c r="BK183">
        <f>IF(OR($D183="",AF183="",20&gt;$F183),0,IF(UPPER(TRIM(AF183))=IFERROR(INDEX(Key!$C$2:$C$263,MATCH($D183*100+20,Key!$G$2:$G$263,0)),"#"),1,0))</f>
        <v/>
      </c>
      <c r="BL183">
        <f>IF(OR($D183="",AG183="",21&gt;$F183),0,IF(UPPER(TRIM(AG183))=IFERROR(INDEX(Key!$C$2:$C$263,MATCH($D183*100+21,Key!$G$2:$G$263,0)),"#"),1,0))</f>
        <v/>
      </c>
      <c r="BM183">
        <f>IF(OR($D183="",AH183="",22&gt;$F183),0,IF(UPPER(TRIM(AH183))=IFERROR(INDEX(Key!$C$2:$C$263,MATCH($D183*100+22,Key!$G$2:$G$263,0)),"#"),1,0))</f>
        <v/>
      </c>
      <c r="BN183">
        <f>IF(OR($D183="",AI183="",23&gt;$F183),0,IF(UPPER(TRIM(AI183))=IFERROR(INDEX(Key!$C$2:$C$263,MATCH($D183*100+23,Key!$G$2:$G$263,0)),"#"),1,0))</f>
        <v/>
      </c>
      <c r="BO183">
        <f>IF(OR($D183="",AJ183="",24&gt;$F183),0,IF(UPPER(TRIM(AJ183))=IFERROR(INDEX(Key!$C$2:$C$263,MATCH($D183*100+24,Key!$G$2:$G$263,0)),"#"),1,0))</f>
        <v/>
      </c>
      <c r="BP183">
        <f>IF(OR($D183="",AK183="",25&gt;$F183),0,IF(UPPER(TRIM(AK183))=IFERROR(INDEX(Key!$C$2:$C$263,MATCH($D183*100+25,Key!$G$2:$G$263,0)),"#"),1,0))</f>
        <v/>
      </c>
      <c r="BQ183">
        <f>IF(OR($D183="",AL183="",26&gt;$F183),0,IF(UPPER(TRIM(AL183))=IFERROR(INDEX(Key!$C$2:$C$263,MATCH($D183*100+26,Key!$G$2:$G$263,0)),"#"),1,0))</f>
        <v/>
      </c>
      <c r="BR183">
        <f>IF(OR($D183="",AM183="",27&gt;$F183),0,IF(UPPER(TRIM(AM183))=IFERROR(INDEX(Key!$C$2:$C$263,MATCH($D183*100+27,Key!$G$2:$G$263,0)),"#"),1,0))</f>
        <v/>
      </c>
      <c r="BS183">
        <f>IF(OR($D183="",AN183="",28&gt;$F183),0,IF(UPPER(TRIM(AN183))=IFERROR(INDEX(Key!$C$2:$C$263,MATCH($D183*100+28,Key!$G$2:$G$263,0)),"#"),1,0))</f>
        <v/>
      </c>
      <c r="BT183">
        <f>IF(OR($D183="",AO183="",29&gt;$F183),0,IF(UPPER(TRIM(AO183))=IFERROR(INDEX(Key!$C$2:$C$263,MATCH($D183*100+29,Key!$G$2:$G$263,0)),"#"),1,0))</f>
        <v/>
      </c>
      <c r="BU183">
        <f>IF(OR($D183="",AP183="",30&gt;$F183),0,IF(UPPER(TRIM(AP183))=IFERROR(INDEX(Key!$C$2:$C$263,MATCH($D183*100+30,Key!$G$2:$G$263,0)),"#"),1,0))</f>
        <v/>
      </c>
    </row>
    <row r="184">
      <c r="A184" s="6" t="n"/>
      <c r="B184" s="6" t="n"/>
      <c r="C184" s="6" t="n"/>
      <c r="D184" s="6" t="n"/>
      <c r="E184" s="7">
        <f>IF($D184="","",IFERROR(INDEX(Papers!$B$2:$B$12,MATCH($D184,Papers!$A$2:$A$12,0)),"?"))</f>
        <v/>
      </c>
      <c r="F184" s="7">
        <f>IF($D184="","",IFERROR(INDEX(Papers!$C$2:$C$12,MATCH($D184,Papers!$A$2:$A$12,0)),0))</f>
        <v/>
      </c>
      <c r="G184" s="7">
        <f>IF($D184="","",COUNTIF(M184:AP184,"?*"))</f>
        <v/>
      </c>
      <c r="H184" s="7">
        <f>IF($D184="","",SUM(AR184:BU184))</f>
        <v/>
      </c>
      <c r="I184" s="7">
        <f>IF($D184="","",G184-H184)</f>
        <v/>
      </c>
      <c r="J184" s="7">
        <f>IF($D184="","",F184-G184)</f>
        <v/>
      </c>
      <c r="K184" s="7">
        <f>IF($D184="","",H184)</f>
        <v/>
      </c>
      <c r="L184" s="7">
        <f>IF($D184="","",IF(F184=0,"",ROUND(H184/F184*100,1)))</f>
        <v/>
      </c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R184">
        <f>IF(OR($D184="",M184="",1&gt;$F184),0,IF(UPPER(TRIM(M184))=IFERROR(INDEX(Key!$C$2:$C$263,MATCH($D184*100+1,Key!$G$2:$G$263,0)),"#"),1,0))</f>
        <v/>
      </c>
      <c r="AS184">
        <f>IF(OR($D184="",N184="",2&gt;$F184),0,IF(UPPER(TRIM(N184))=IFERROR(INDEX(Key!$C$2:$C$263,MATCH($D184*100+2,Key!$G$2:$G$263,0)),"#"),1,0))</f>
        <v/>
      </c>
      <c r="AT184">
        <f>IF(OR($D184="",O184="",3&gt;$F184),0,IF(UPPER(TRIM(O184))=IFERROR(INDEX(Key!$C$2:$C$263,MATCH($D184*100+3,Key!$G$2:$G$263,0)),"#"),1,0))</f>
        <v/>
      </c>
      <c r="AU184">
        <f>IF(OR($D184="",P184="",4&gt;$F184),0,IF(UPPER(TRIM(P184))=IFERROR(INDEX(Key!$C$2:$C$263,MATCH($D184*100+4,Key!$G$2:$G$263,0)),"#"),1,0))</f>
        <v/>
      </c>
      <c r="AV184">
        <f>IF(OR($D184="",Q184="",5&gt;$F184),0,IF(UPPER(TRIM(Q184))=IFERROR(INDEX(Key!$C$2:$C$263,MATCH($D184*100+5,Key!$G$2:$G$263,0)),"#"),1,0))</f>
        <v/>
      </c>
      <c r="AW184">
        <f>IF(OR($D184="",R184="",6&gt;$F184),0,IF(UPPER(TRIM(R184))=IFERROR(INDEX(Key!$C$2:$C$263,MATCH($D184*100+6,Key!$G$2:$G$263,0)),"#"),1,0))</f>
        <v/>
      </c>
      <c r="AX184">
        <f>IF(OR($D184="",S184="",7&gt;$F184),0,IF(UPPER(TRIM(S184))=IFERROR(INDEX(Key!$C$2:$C$263,MATCH($D184*100+7,Key!$G$2:$G$263,0)),"#"),1,0))</f>
        <v/>
      </c>
      <c r="AY184">
        <f>IF(OR($D184="",T184="",8&gt;$F184),0,IF(UPPER(TRIM(T184))=IFERROR(INDEX(Key!$C$2:$C$263,MATCH($D184*100+8,Key!$G$2:$G$263,0)),"#"),1,0))</f>
        <v/>
      </c>
      <c r="AZ184">
        <f>IF(OR($D184="",U184="",9&gt;$F184),0,IF(UPPER(TRIM(U184))=IFERROR(INDEX(Key!$C$2:$C$263,MATCH($D184*100+9,Key!$G$2:$G$263,0)),"#"),1,0))</f>
        <v/>
      </c>
      <c r="BA184">
        <f>IF(OR($D184="",V184="",10&gt;$F184),0,IF(UPPER(TRIM(V184))=IFERROR(INDEX(Key!$C$2:$C$263,MATCH($D184*100+10,Key!$G$2:$G$263,0)),"#"),1,0))</f>
        <v/>
      </c>
      <c r="BB184">
        <f>IF(OR($D184="",W184="",11&gt;$F184),0,IF(UPPER(TRIM(W184))=IFERROR(INDEX(Key!$C$2:$C$263,MATCH($D184*100+11,Key!$G$2:$G$263,0)),"#"),1,0))</f>
        <v/>
      </c>
      <c r="BC184">
        <f>IF(OR($D184="",X184="",12&gt;$F184),0,IF(UPPER(TRIM(X184))=IFERROR(INDEX(Key!$C$2:$C$263,MATCH($D184*100+12,Key!$G$2:$G$263,0)),"#"),1,0))</f>
        <v/>
      </c>
      <c r="BD184">
        <f>IF(OR($D184="",Y184="",13&gt;$F184),0,IF(UPPER(TRIM(Y184))=IFERROR(INDEX(Key!$C$2:$C$263,MATCH($D184*100+13,Key!$G$2:$G$263,0)),"#"),1,0))</f>
        <v/>
      </c>
      <c r="BE184">
        <f>IF(OR($D184="",Z184="",14&gt;$F184),0,IF(UPPER(TRIM(Z184))=IFERROR(INDEX(Key!$C$2:$C$263,MATCH($D184*100+14,Key!$G$2:$G$263,0)),"#"),1,0))</f>
        <v/>
      </c>
      <c r="BF184">
        <f>IF(OR($D184="",AA184="",15&gt;$F184),0,IF(UPPER(TRIM(AA184))=IFERROR(INDEX(Key!$C$2:$C$263,MATCH($D184*100+15,Key!$G$2:$G$263,0)),"#"),1,0))</f>
        <v/>
      </c>
      <c r="BG184">
        <f>IF(OR($D184="",AB184="",16&gt;$F184),0,IF(UPPER(TRIM(AB184))=IFERROR(INDEX(Key!$C$2:$C$263,MATCH($D184*100+16,Key!$G$2:$G$263,0)),"#"),1,0))</f>
        <v/>
      </c>
      <c r="BH184">
        <f>IF(OR($D184="",AC184="",17&gt;$F184),0,IF(UPPER(TRIM(AC184))=IFERROR(INDEX(Key!$C$2:$C$263,MATCH($D184*100+17,Key!$G$2:$G$263,0)),"#"),1,0))</f>
        <v/>
      </c>
      <c r="BI184">
        <f>IF(OR($D184="",AD184="",18&gt;$F184),0,IF(UPPER(TRIM(AD184))=IFERROR(INDEX(Key!$C$2:$C$263,MATCH($D184*100+18,Key!$G$2:$G$263,0)),"#"),1,0))</f>
        <v/>
      </c>
      <c r="BJ184">
        <f>IF(OR($D184="",AE184="",19&gt;$F184),0,IF(UPPER(TRIM(AE184))=IFERROR(INDEX(Key!$C$2:$C$263,MATCH($D184*100+19,Key!$G$2:$G$263,0)),"#"),1,0))</f>
        <v/>
      </c>
      <c r="BK184">
        <f>IF(OR($D184="",AF184="",20&gt;$F184),0,IF(UPPER(TRIM(AF184))=IFERROR(INDEX(Key!$C$2:$C$263,MATCH($D184*100+20,Key!$G$2:$G$263,0)),"#"),1,0))</f>
        <v/>
      </c>
      <c r="BL184">
        <f>IF(OR($D184="",AG184="",21&gt;$F184),0,IF(UPPER(TRIM(AG184))=IFERROR(INDEX(Key!$C$2:$C$263,MATCH($D184*100+21,Key!$G$2:$G$263,0)),"#"),1,0))</f>
        <v/>
      </c>
      <c r="BM184">
        <f>IF(OR($D184="",AH184="",22&gt;$F184),0,IF(UPPER(TRIM(AH184))=IFERROR(INDEX(Key!$C$2:$C$263,MATCH($D184*100+22,Key!$G$2:$G$263,0)),"#"),1,0))</f>
        <v/>
      </c>
      <c r="BN184">
        <f>IF(OR($D184="",AI184="",23&gt;$F184),0,IF(UPPER(TRIM(AI184))=IFERROR(INDEX(Key!$C$2:$C$263,MATCH($D184*100+23,Key!$G$2:$G$263,0)),"#"),1,0))</f>
        <v/>
      </c>
      <c r="BO184">
        <f>IF(OR($D184="",AJ184="",24&gt;$F184),0,IF(UPPER(TRIM(AJ184))=IFERROR(INDEX(Key!$C$2:$C$263,MATCH($D184*100+24,Key!$G$2:$G$263,0)),"#"),1,0))</f>
        <v/>
      </c>
      <c r="BP184">
        <f>IF(OR($D184="",AK184="",25&gt;$F184),0,IF(UPPER(TRIM(AK184))=IFERROR(INDEX(Key!$C$2:$C$263,MATCH($D184*100+25,Key!$G$2:$G$263,0)),"#"),1,0))</f>
        <v/>
      </c>
      <c r="BQ184">
        <f>IF(OR($D184="",AL184="",26&gt;$F184),0,IF(UPPER(TRIM(AL184))=IFERROR(INDEX(Key!$C$2:$C$263,MATCH($D184*100+26,Key!$G$2:$G$263,0)),"#"),1,0))</f>
        <v/>
      </c>
      <c r="BR184">
        <f>IF(OR($D184="",AM184="",27&gt;$F184),0,IF(UPPER(TRIM(AM184))=IFERROR(INDEX(Key!$C$2:$C$263,MATCH($D184*100+27,Key!$G$2:$G$263,0)),"#"),1,0))</f>
        <v/>
      </c>
      <c r="BS184">
        <f>IF(OR($D184="",AN184="",28&gt;$F184),0,IF(UPPER(TRIM(AN184))=IFERROR(INDEX(Key!$C$2:$C$263,MATCH($D184*100+28,Key!$G$2:$G$263,0)),"#"),1,0))</f>
        <v/>
      </c>
      <c r="BT184">
        <f>IF(OR($D184="",AO184="",29&gt;$F184),0,IF(UPPER(TRIM(AO184))=IFERROR(INDEX(Key!$C$2:$C$263,MATCH($D184*100+29,Key!$G$2:$G$263,0)),"#"),1,0))</f>
        <v/>
      </c>
      <c r="BU184">
        <f>IF(OR($D184="",AP184="",30&gt;$F184),0,IF(UPPER(TRIM(AP184))=IFERROR(INDEX(Key!$C$2:$C$263,MATCH($D184*100+30,Key!$G$2:$G$263,0)),"#"),1,0))</f>
        <v/>
      </c>
    </row>
    <row r="185">
      <c r="A185" s="6" t="n"/>
      <c r="B185" s="6" t="n"/>
      <c r="C185" s="6" t="n"/>
      <c r="D185" s="6" t="n"/>
      <c r="E185" s="7">
        <f>IF($D185="","",IFERROR(INDEX(Papers!$B$2:$B$12,MATCH($D185,Papers!$A$2:$A$12,0)),"?"))</f>
        <v/>
      </c>
      <c r="F185" s="7">
        <f>IF($D185="","",IFERROR(INDEX(Papers!$C$2:$C$12,MATCH($D185,Papers!$A$2:$A$12,0)),0))</f>
        <v/>
      </c>
      <c r="G185" s="7">
        <f>IF($D185="","",COUNTIF(M185:AP185,"?*"))</f>
        <v/>
      </c>
      <c r="H185" s="7">
        <f>IF($D185="","",SUM(AR185:BU185))</f>
        <v/>
      </c>
      <c r="I185" s="7">
        <f>IF($D185="","",G185-H185)</f>
        <v/>
      </c>
      <c r="J185" s="7">
        <f>IF($D185="","",F185-G185)</f>
        <v/>
      </c>
      <c r="K185" s="7">
        <f>IF($D185="","",H185)</f>
        <v/>
      </c>
      <c r="L185" s="7">
        <f>IF($D185="","",IF(F185=0,"",ROUND(H185/F185*100,1)))</f>
        <v/>
      </c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R185">
        <f>IF(OR($D185="",M185="",1&gt;$F185),0,IF(UPPER(TRIM(M185))=IFERROR(INDEX(Key!$C$2:$C$263,MATCH($D185*100+1,Key!$G$2:$G$263,0)),"#"),1,0))</f>
        <v/>
      </c>
      <c r="AS185">
        <f>IF(OR($D185="",N185="",2&gt;$F185),0,IF(UPPER(TRIM(N185))=IFERROR(INDEX(Key!$C$2:$C$263,MATCH($D185*100+2,Key!$G$2:$G$263,0)),"#"),1,0))</f>
        <v/>
      </c>
      <c r="AT185">
        <f>IF(OR($D185="",O185="",3&gt;$F185),0,IF(UPPER(TRIM(O185))=IFERROR(INDEX(Key!$C$2:$C$263,MATCH($D185*100+3,Key!$G$2:$G$263,0)),"#"),1,0))</f>
        <v/>
      </c>
      <c r="AU185">
        <f>IF(OR($D185="",P185="",4&gt;$F185),0,IF(UPPER(TRIM(P185))=IFERROR(INDEX(Key!$C$2:$C$263,MATCH($D185*100+4,Key!$G$2:$G$263,0)),"#"),1,0))</f>
        <v/>
      </c>
      <c r="AV185">
        <f>IF(OR($D185="",Q185="",5&gt;$F185),0,IF(UPPER(TRIM(Q185))=IFERROR(INDEX(Key!$C$2:$C$263,MATCH($D185*100+5,Key!$G$2:$G$263,0)),"#"),1,0))</f>
        <v/>
      </c>
      <c r="AW185">
        <f>IF(OR($D185="",R185="",6&gt;$F185),0,IF(UPPER(TRIM(R185))=IFERROR(INDEX(Key!$C$2:$C$263,MATCH($D185*100+6,Key!$G$2:$G$263,0)),"#"),1,0))</f>
        <v/>
      </c>
      <c r="AX185">
        <f>IF(OR($D185="",S185="",7&gt;$F185),0,IF(UPPER(TRIM(S185))=IFERROR(INDEX(Key!$C$2:$C$263,MATCH($D185*100+7,Key!$G$2:$G$263,0)),"#"),1,0))</f>
        <v/>
      </c>
      <c r="AY185">
        <f>IF(OR($D185="",T185="",8&gt;$F185),0,IF(UPPER(TRIM(T185))=IFERROR(INDEX(Key!$C$2:$C$263,MATCH($D185*100+8,Key!$G$2:$G$263,0)),"#"),1,0))</f>
        <v/>
      </c>
      <c r="AZ185">
        <f>IF(OR($D185="",U185="",9&gt;$F185),0,IF(UPPER(TRIM(U185))=IFERROR(INDEX(Key!$C$2:$C$263,MATCH($D185*100+9,Key!$G$2:$G$263,0)),"#"),1,0))</f>
        <v/>
      </c>
      <c r="BA185">
        <f>IF(OR($D185="",V185="",10&gt;$F185),0,IF(UPPER(TRIM(V185))=IFERROR(INDEX(Key!$C$2:$C$263,MATCH($D185*100+10,Key!$G$2:$G$263,0)),"#"),1,0))</f>
        <v/>
      </c>
      <c r="BB185">
        <f>IF(OR($D185="",W185="",11&gt;$F185),0,IF(UPPER(TRIM(W185))=IFERROR(INDEX(Key!$C$2:$C$263,MATCH($D185*100+11,Key!$G$2:$G$263,0)),"#"),1,0))</f>
        <v/>
      </c>
      <c r="BC185">
        <f>IF(OR($D185="",X185="",12&gt;$F185),0,IF(UPPER(TRIM(X185))=IFERROR(INDEX(Key!$C$2:$C$263,MATCH($D185*100+12,Key!$G$2:$G$263,0)),"#"),1,0))</f>
        <v/>
      </c>
      <c r="BD185">
        <f>IF(OR($D185="",Y185="",13&gt;$F185),0,IF(UPPER(TRIM(Y185))=IFERROR(INDEX(Key!$C$2:$C$263,MATCH($D185*100+13,Key!$G$2:$G$263,0)),"#"),1,0))</f>
        <v/>
      </c>
      <c r="BE185">
        <f>IF(OR($D185="",Z185="",14&gt;$F185),0,IF(UPPER(TRIM(Z185))=IFERROR(INDEX(Key!$C$2:$C$263,MATCH($D185*100+14,Key!$G$2:$G$263,0)),"#"),1,0))</f>
        <v/>
      </c>
      <c r="BF185">
        <f>IF(OR($D185="",AA185="",15&gt;$F185),0,IF(UPPER(TRIM(AA185))=IFERROR(INDEX(Key!$C$2:$C$263,MATCH($D185*100+15,Key!$G$2:$G$263,0)),"#"),1,0))</f>
        <v/>
      </c>
      <c r="BG185">
        <f>IF(OR($D185="",AB185="",16&gt;$F185),0,IF(UPPER(TRIM(AB185))=IFERROR(INDEX(Key!$C$2:$C$263,MATCH($D185*100+16,Key!$G$2:$G$263,0)),"#"),1,0))</f>
        <v/>
      </c>
      <c r="BH185">
        <f>IF(OR($D185="",AC185="",17&gt;$F185),0,IF(UPPER(TRIM(AC185))=IFERROR(INDEX(Key!$C$2:$C$263,MATCH($D185*100+17,Key!$G$2:$G$263,0)),"#"),1,0))</f>
        <v/>
      </c>
      <c r="BI185">
        <f>IF(OR($D185="",AD185="",18&gt;$F185),0,IF(UPPER(TRIM(AD185))=IFERROR(INDEX(Key!$C$2:$C$263,MATCH($D185*100+18,Key!$G$2:$G$263,0)),"#"),1,0))</f>
        <v/>
      </c>
      <c r="BJ185">
        <f>IF(OR($D185="",AE185="",19&gt;$F185),0,IF(UPPER(TRIM(AE185))=IFERROR(INDEX(Key!$C$2:$C$263,MATCH($D185*100+19,Key!$G$2:$G$263,0)),"#"),1,0))</f>
        <v/>
      </c>
      <c r="BK185">
        <f>IF(OR($D185="",AF185="",20&gt;$F185),0,IF(UPPER(TRIM(AF185))=IFERROR(INDEX(Key!$C$2:$C$263,MATCH($D185*100+20,Key!$G$2:$G$263,0)),"#"),1,0))</f>
        <v/>
      </c>
      <c r="BL185">
        <f>IF(OR($D185="",AG185="",21&gt;$F185),0,IF(UPPER(TRIM(AG185))=IFERROR(INDEX(Key!$C$2:$C$263,MATCH($D185*100+21,Key!$G$2:$G$263,0)),"#"),1,0))</f>
        <v/>
      </c>
      <c r="BM185">
        <f>IF(OR($D185="",AH185="",22&gt;$F185),0,IF(UPPER(TRIM(AH185))=IFERROR(INDEX(Key!$C$2:$C$263,MATCH($D185*100+22,Key!$G$2:$G$263,0)),"#"),1,0))</f>
        <v/>
      </c>
      <c r="BN185">
        <f>IF(OR($D185="",AI185="",23&gt;$F185),0,IF(UPPER(TRIM(AI185))=IFERROR(INDEX(Key!$C$2:$C$263,MATCH($D185*100+23,Key!$G$2:$G$263,0)),"#"),1,0))</f>
        <v/>
      </c>
      <c r="BO185">
        <f>IF(OR($D185="",AJ185="",24&gt;$F185),0,IF(UPPER(TRIM(AJ185))=IFERROR(INDEX(Key!$C$2:$C$263,MATCH($D185*100+24,Key!$G$2:$G$263,0)),"#"),1,0))</f>
        <v/>
      </c>
      <c r="BP185">
        <f>IF(OR($D185="",AK185="",25&gt;$F185),0,IF(UPPER(TRIM(AK185))=IFERROR(INDEX(Key!$C$2:$C$263,MATCH($D185*100+25,Key!$G$2:$G$263,0)),"#"),1,0))</f>
        <v/>
      </c>
      <c r="BQ185">
        <f>IF(OR($D185="",AL185="",26&gt;$F185),0,IF(UPPER(TRIM(AL185))=IFERROR(INDEX(Key!$C$2:$C$263,MATCH($D185*100+26,Key!$G$2:$G$263,0)),"#"),1,0))</f>
        <v/>
      </c>
      <c r="BR185">
        <f>IF(OR($D185="",AM185="",27&gt;$F185),0,IF(UPPER(TRIM(AM185))=IFERROR(INDEX(Key!$C$2:$C$263,MATCH($D185*100+27,Key!$G$2:$G$263,0)),"#"),1,0))</f>
        <v/>
      </c>
      <c r="BS185">
        <f>IF(OR($D185="",AN185="",28&gt;$F185),0,IF(UPPER(TRIM(AN185))=IFERROR(INDEX(Key!$C$2:$C$263,MATCH($D185*100+28,Key!$G$2:$G$263,0)),"#"),1,0))</f>
        <v/>
      </c>
      <c r="BT185">
        <f>IF(OR($D185="",AO185="",29&gt;$F185),0,IF(UPPER(TRIM(AO185))=IFERROR(INDEX(Key!$C$2:$C$263,MATCH($D185*100+29,Key!$G$2:$G$263,0)),"#"),1,0))</f>
        <v/>
      </c>
      <c r="BU185">
        <f>IF(OR($D185="",AP185="",30&gt;$F185),0,IF(UPPER(TRIM(AP185))=IFERROR(INDEX(Key!$C$2:$C$263,MATCH($D185*100+30,Key!$G$2:$G$263,0)),"#"),1,0))</f>
        <v/>
      </c>
    </row>
    <row r="186">
      <c r="A186" s="6" t="n"/>
      <c r="B186" s="6" t="n"/>
      <c r="C186" s="6" t="n"/>
      <c r="D186" s="6" t="n"/>
      <c r="E186" s="7">
        <f>IF($D186="","",IFERROR(INDEX(Papers!$B$2:$B$12,MATCH($D186,Papers!$A$2:$A$12,0)),"?"))</f>
        <v/>
      </c>
      <c r="F186" s="7">
        <f>IF($D186="","",IFERROR(INDEX(Papers!$C$2:$C$12,MATCH($D186,Papers!$A$2:$A$12,0)),0))</f>
        <v/>
      </c>
      <c r="G186" s="7">
        <f>IF($D186="","",COUNTIF(M186:AP186,"?*"))</f>
        <v/>
      </c>
      <c r="H186" s="7">
        <f>IF($D186="","",SUM(AR186:BU186))</f>
        <v/>
      </c>
      <c r="I186" s="7">
        <f>IF($D186="","",G186-H186)</f>
        <v/>
      </c>
      <c r="J186" s="7">
        <f>IF($D186="","",F186-G186)</f>
        <v/>
      </c>
      <c r="K186" s="7">
        <f>IF($D186="","",H186)</f>
        <v/>
      </c>
      <c r="L186" s="7">
        <f>IF($D186="","",IF(F186=0,"",ROUND(H186/F186*100,1)))</f>
        <v/>
      </c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R186">
        <f>IF(OR($D186="",M186="",1&gt;$F186),0,IF(UPPER(TRIM(M186))=IFERROR(INDEX(Key!$C$2:$C$263,MATCH($D186*100+1,Key!$G$2:$G$263,0)),"#"),1,0))</f>
        <v/>
      </c>
      <c r="AS186">
        <f>IF(OR($D186="",N186="",2&gt;$F186),0,IF(UPPER(TRIM(N186))=IFERROR(INDEX(Key!$C$2:$C$263,MATCH($D186*100+2,Key!$G$2:$G$263,0)),"#"),1,0))</f>
        <v/>
      </c>
      <c r="AT186">
        <f>IF(OR($D186="",O186="",3&gt;$F186),0,IF(UPPER(TRIM(O186))=IFERROR(INDEX(Key!$C$2:$C$263,MATCH($D186*100+3,Key!$G$2:$G$263,0)),"#"),1,0))</f>
        <v/>
      </c>
      <c r="AU186">
        <f>IF(OR($D186="",P186="",4&gt;$F186),0,IF(UPPER(TRIM(P186))=IFERROR(INDEX(Key!$C$2:$C$263,MATCH($D186*100+4,Key!$G$2:$G$263,0)),"#"),1,0))</f>
        <v/>
      </c>
      <c r="AV186">
        <f>IF(OR($D186="",Q186="",5&gt;$F186),0,IF(UPPER(TRIM(Q186))=IFERROR(INDEX(Key!$C$2:$C$263,MATCH($D186*100+5,Key!$G$2:$G$263,0)),"#"),1,0))</f>
        <v/>
      </c>
      <c r="AW186">
        <f>IF(OR($D186="",R186="",6&gt;$F186),0,IF(UPPER(TRIM(R186))=IFERROR(INDEX(Key!$C$2:$C$263,MATCH($D186*100+6,Key!$G$2:$G$263,0)),"#"),1,0))</f>
        <v/>
      </c>
      <c r="AX186">
        <f>IF(OR($D186="",S186="",7&gt;$F186),0,IF(UPPER(TRIM(S186))=IFERROR(INDEX(Key!$C$2:$C$263,MATCH($D186*100+7,Key!$G$2:$G$263,0)),"#"),1,0))</f>
        <v/>
      </c>
      <c r="AY186">
        <f>IF(OR($D186="",T186="",8&gt;$F186),0,IF(UPPER(TRIM(T186))=IFERROR(INDEX(Key!$C$2:$C$263,MATCH($D186*100+8,Key!$G$2:$G$263,0)),"#"),1,0))</f>
        <v/>
      </c>
      <c r="AZ186">
        <f>IF(OR($D186="",U186="",9&gt;$F186),0,IF(UPPER(TRIM(U186))=IFERROR(INDEX(Key!$C$2:$C$263,MATCH($D186*100+9,Key!$G$2:$G$263,0)),"#"),1,0))</f>
        <v/>
      </c>
      <c r="BA186">
        <f>IF(OR($D186="",V186="",10&gt;$F186),0,IF(UPPER(TRIM(V186))=IFERROR(INDEX(Key!$C$2:$C$263,MATCH($D186*100+10,Key!$G$2:$G$263,0)),"#"),1,0))</f>
        <v/>
      </c>
      <c r="BB186">
        <f>IF(OR($D186="",W186="",11&gt;$F186),0,IF(UPPER(TRIM(W186))=IFERROR(INDEX(Key!$C$2:$C$263,MATCH($D186*100+11,Key!$G$2:$G$263,0)),"#"),1,0))</f>
        <v/>
      </c>
      <c r="BC186">
        <f>IF(OR($D186="",X186="",12&gt;$F186),0,IF(UPPER(TRIM(X186))=IFERROR(INDEX(Key!$C$2:$C$263,MATCH($D186*100+12,Key!$G$2:$G$263,0)),"#"),1,0))</f>
        <v/>
      </c>
      <c r="BD186">
        <f>IF(OR($D186="",Y186="",13&gt;$F186),0,IF(UPPER(TRIM(Y186))=IFERROR(INDEX(Key!$C$2:$C$263,MATCH($D186*100+13,Key!$G$2:$G$263,0)),"#"),1,0))</f>
        <v/>
      </c>
      <c r="BE186">
        <f>IF(OR($D186="",Z186="",14&gt;$F186),0,IF(UPPER(TRIM(Z186))=IFERROR(INDEX(Key!$C$2:$C$263,MATCH($D186*100+14,Key!$G$2:$G$263,0)),"#"),1,0))</f>
        <v/>
      </c>
      <c r="BF186">
        <f>IF(OR($D186="",AA186="",15&gt;$F186),0,IF(UPPER(TRIM(AA186))=IFERROR(INDEX(Key!$C$2:$C$263,MATCH($D186*100+15,Key!$G$2:$G$263,0)),"#"),1,0))</f>
        <v/>
      </c>
      <c r="BG186">
        <f>IF(OR($D186="",AB186="",16&gt;$F186),0,IF(UPPER(TRIM(AB186))=IFERROR(INDEX(Key!$C$2:$C$263,MATCH($D186*100+16,Key!$G$2:$G$263,0)),"#"),1,0))</f>
        <v/>
      </c>
      <c r="BH186">
        <f>IF(OR($D186="",AC186="",17&gt;$F186),0,IF(UPPER(TRIM(AC186))=IFERROR(INDEX(Key!$C$2:$C$263,MATCH($D186*100+17,Key!$G$2:$G$263,0)),"#"),1,0))</f>
        <v/>
      </c>
      <c r="BI186">
        <f>IF(OR($D186="",AD186="",18&gt;$F186),0,IF(UPPER(TRIM(AD186))=IFERROR(INDEX(Key!$C$2:$C$263,MATCH($D186*100+18,Key!$G$2:$G$263,0)),"#"),1,0))</f>
        <v/>
      </c>
      <c r="BJ186">
        <f>IF(OR($D186="",AE186="",19&gt;$F186),0,IF(UPPER(TRIM(AE186))=IFERROR(INDEX(Key!$C$2:$C$263,MATCH($D186*100+19,Key!$G$2:$G$263,0)),"#"),1,0))</f>
        <v/>
      </c>
      <c r="BK186">
        <f>IF(OR($D186="",AF186="",20&gt;$F186),0,IF(UPPER(TRIM(AF186))=IFERROR(INDEX(Key!$C$2:$C$263,MATCH($D186*100+20,Key!$G$2:$G$263,0)),"#"),1,0))</f>
        <v/>
      </c>
      <c r="BL186">
        <f>IF(OR($D186="",AG186="",21&gt;$F186),0,IF(UPPER(TRIM(AG186))=IFERROR(INDEX(Key!$C$2:$C$263,MATCH($D186*100+21,Key!$G$2:$G$263,0)),"#"),1,0))</f>
        <v/>
      </c>
      <c r="BM186">
        <f>IF(OR($D186="",AH186="",22&gt;$F186),0,IF(UPPER(TRIM(AH186))=IFERROR(INDEX(Key!$C$2:$C$263,MATCH($D186*100+22,Key!$G$2:$G$263,0)),"#"),1,0))</f>
        <v/>
      </c>
      <c r="BN186">
        <f>IF(OR($D186="",AI186="",23&gt;$F186),0,IF(UPPER(TRIM(AI186))=IFERROR(INDEX(Key!$C$2:$C$263,MATCH($D186*100+23,Key!$G$2:$G$263,0)),"#"),1,0))</f>
        <v/>
      </c>
      <c r="BO186">
        <f>IF(OR($D186="",AJ186="",24&gt;$F186),0,IF(UPPER(TRIM(AJ186))=IFERROR(INDEX(Key!$C$2:$C$263,MATCH($D186*100+24,Key!$G$2:$G$263,0)),"#"),1,0))</f>
        <v/>
      </c>
      <c r="BP186">
        <f>IF(OR($D186="",AK186="",25&gt;$F186),0,IF(UPPER(TRIM(AK186))=IFERROR(INDEX(Key!$C$2:$C$263,MATCH($D186*100+25,Key!$G$2:$G$263,0)),"#"),1,0))</f>
        <v/>
      </c>
      <c r="BQ186">
        <f>IF(OR($D186="",AL186="",26&gt;$F186),0,IF(UPPER(TRIM(AL186))=IFERROR(INDEX(Key!$C$2:$C$263,MATCH($D186*100+26,Key!$G$2:$G$263,0)),"#"),1,0))</f>
        <v/>
      </c>
      <c r="BR186">
        <f>IF(OR($D186="",AM186="",27&gt;$F186),0,IF(UPPER(TRIM(AM186))=IFERROR(INDEX(Key!$C$2:$C$263,MATCH($D186*100+27,Key!$G$2:$G$263,0)),"#"),1,0))</f>
        <v/>
      </c>
      <c r="BS186">
        <f>IF(OR($D186="",AN186="",28&gt;$F186),0,IF(UPPER(TRIM(AN186))=IFERROR(INDEX(Key!$C$2:$C$263,MATCH($D186*100+28,Key!$G$2:$G$263,0)),"#"),1,0))</f>
        <v/>
      </c>
      <c r="BT186">
        <f>IF(OR($D186="",AO186="",29&gt;$F186),0,IF(UPPER(TRIM(AO186))=IFERROR(INDEX(Key!$C$2:$C$263,MATCH($D186*100+29,Key!$G$2:$G$263,0)),"#"),1,0))</f>
        <v/>
      </c>
      <c r="BU186">
        <f>IF(OR($D186="",AP186="",30&gt;$F186),0,IF(UPPER(TRIM(AP186))=IFERROR(INDEX(Key!$C$2:$C$263,MATCH($D186*100+30,Key!$G$2:$G$263,0)),"#"),1,0))</f>
        <v/>
      </c>
    </row>
    <row r="187">
      <c r="A187" s="6" t="n"/>
      <c r="B187" s="6" t="n"/>
      <c r="C187" s="6" t="n"/>
      <c r="D187" s="6" t="n"/>
      <c r="E187" s="7">
        <f>IF($D187="","",IFERROR(INDEX(Papers!$B$2:$B$12,MATCH($D187,Papers!$A$2:$A$12,0)),"?"))</f>
        <v/>
      </c>
      <c r="F187" s="7">
        <f>IF($D187="","",IFERROR(INDEX(Papers!$C$2:$C$12,MATCH($D187,Papers!$A$2:$A$12,0)),0))</f>
        <v/>
      </c>
      <c r="G187" s="7">
        <f>IF($D187="","",COUNTIF(M187:AP187,"?*"))</f>
        <v/>
      </c>
      <c r="H187" s="7">
        <f>IF($D187="","",SUM(AR187:BU187))</f>
        <v/>
      </c>
      <c r="I187" s="7">
        <f>IF($D187="","",G187-H187)</f>
        <v/>
      </c>
      <c r="J187" s="7">
        <f>IF($D187="","",F187-G187)</f>
        <v/>
      </c>
      <c r="K187" s="7">
        <f>IF($D187="","",H187)</f>
        <v/>
      </c>
      <c r="L187" s="7">
        <f>IF($D187="","",IF(F187=0,"",ROUND(H187/F187*100,1)))</f>
        <v/>
      </c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R187">
        <f>IF(OR($D187="",M187="",1&gt;$F187),0,IF(UPPER(TRIM(M187))=IFERROR(INDEX(Key!$C$2:$C$263,MATCH($D187*100+1,Key!$G$2:$G$263,0)),"#"),1,0))</f>
        <v/>
      </c>
      <c r="AS187">
        <f>IF(OR($D187="",N187="",2&gt;$F187),0,IF(UPPER(TRIM(N187))=IFERROR(INDEX(Key!$C$2:$C$263,MATCH($D187*100+2,Key!$G$2:$G$263,0)),"#"),1,0))</f>
        <v/>
      </c>
      <c r="AT187">
        <f>IF(OR($D187="",O187="",3&gt;$F187),0,IF(UPPER(TRIM(O187))=IFERROR(INDEX(Key!$C$2:$C$263,MATCH($D187*100+3,Key!$G$2:$G$263,0)),"#"),1,0))</f>
        <v/>
      </c>
      <c r="AU187">
        <f>IF(OR($D187="",P187="",4&gt;$F187),0,IF(UPPER(TRIM(P187))=IFERROR(INDEX(Key!$C$2:$C$263,MATCH($D187*100+4,Key!$G$2:$G$263,0)),"#"),1,0))</f>
        <v/>
      </c>
      <c r="AV187">
        <f>IF(OR($D187="",Q187="",5&gt;$F187),0,IF(UPPER(TRIM(Q187))=IFERROR(INDEX(Key!$C$2:$C$263,MATCH($D187*100+5,Key!$G$2:$G$263,0)),"#"),1,0))</f>
        <v/>
      </c>
      <c r="AW187">
        <f>IF(OR($D187="",R187="",6&gt;$F187),0,IF(UPPER(TRIM(R187))=IFERROR(INDEX(Key!$C$2:$C$263,MATCH($D187*100+6,Key!$G$2:$G$263,0)),"#"),1,0))</f>
        <v/>
      </c>
      <c r="AX187">
        <f>IF(OR($D187="",S187="",7&gt;$F187),0,IF(UPPER(TRIM(S187))=IFERROR(INDEX(Key!$C$2:$C$263,MATCH($D187*100+7,Key!$G$2:$G$263,0)),"#"),1,0))</f>
        <v/>
      </c>
      <c r="AY187">
        <f>IF(OR($D187="",T187="",8&gt;$F187),0,IF(UPPER(TRIM(T187))=IFERROR(INDEX(Key!$C$2:$C$263,MATCH($D187*100+8,Key!$G$2:$G$263,0)),"#"),1,0))</f>
        <v/>
      </c>
      <c r="AZ187">
        <f>IF(OR($D187="",U187="",9&gt;$F187),0,IF(UPPER(TRIM(U187))=IFERROR(INDEX(Key!$C$2:$C$263,MATCH($D187*100+9,Key!$G$2:$G$263,0)),"#"),1,0))</f>
        <v/>
      </c>
      <c r="BA187">
        <f>IF(OR($D187="",V187="",10&gt;$F187),0,IF(UPPER(TRIM(V187))=IFERROR(INDEX(Key!$C$2:$C$263,MATCH($D187*100+10,Key!$G$2:$G$263,0)),"#"),1,0))</f>
        <v/>
      </c>
      <c r="BB187">
        <f>IF(OR($D187="",W187="",11&gt;$F187),0,IF(UPPER(TRIM(W187))=IFERROR(INDEX(Key!$C$2:$C$263,MATCH($D187*100+11,Key!$G$2:$G$263,0)),"#"),1,0))</f>
        <v/>
      </c>
      <c r="BC187">
        <f>IF(OR($D187="",X187="",12&gt;$F187),0,IF(UPPER(TRIM(X187))=IFERROR(INDEX(Key!$C$2:$C$263,MATCH($D187*100+12,Key!$G$2:$G$263,0)),"#"),1,0))</f>
        <v/>
      </c>
      <c r="BD187">
        <f>IF(OR($D187="",Y187="",13&gt;$F187),0,IF(UPPER(TRIM(Y187))=IFERROR(INDEX(Key!$C$2:$C$263,MATCH($D187*100+13,Key!$G$2:$G$263,0)),"#"),1,0))</f>
        <v/>
      </c>
      <c r="BE187">
        <f>IF(OR($D187="",Z187="",14&gt;$F187),0,IF(UPPER(TRIM(Z187))=IFERROR(INDEX(Key!$C$2:$C$263,MATCH($D187*100+14,Key!$G$2:$G$263,0)),"#"),1,0))</f>
        <v/>
      </c>
      <c r="BF187">
        <f>IF(OR($D187="",AA187="",15&gt;$F187),0,IF(UPPER(TRIM(AA187))=IFERROR(INDEX(Key!$C$2:$C$263,MATCH($D187*100+15,Key!$G$2:$G$263,0)),"#"),1,0))</f>
        <v/>
      </c>
      <c r="BG187">
        <f>IF(OR($D187="",AB187="",16&gt;$F187),0,IF(UPPER(TRIM(AB187))=IFERROR(INDEX(Key!$C$2:$C$263,MATCH($D187*100+16,Key!$G$2:$G$263,0)),"#"),1,0))</f>
        <v/>
      </c>
      <c r="BH187">
        <f>IF(OR($D187="",AC187="",17&gt;$F187),0,IF(UPPER(TRIM(AC187))=IFERROR(INDEX(Key!$C$2:$C$263,MATCH($D187*100+17,Key!$G$2:$G$263,0)),"#"),1,0))</f>
        <v/>
      </c>
      <c r="BI187">
        <f>IF(OR($D187="",AD187="",18&gt;$F187),0,IF(UPPER(TRIM(AD187))=IFERROR(INDEX(Key!$C$2:$C$263,MATCH($D187*100+18,Key!$G$2:$G$263,0)),"#"),1,0))</f>
        <v/>
      </c>
      <c r="BJ187">
        <f>IF(OR($D187="",AE187="",19&gt;$F187),0,IF(UPPER(TRIM(AE187))=IFERROR(INDEX(Key!$C$2:$C$263,MATCH($D187*100+19,Key!$G$2:$G$263,0)),"#"),1,0))</f>
        <v/>
      </c>
      <c r="BK187">
        <f>IF(OR($D187="",AF187="",20&gt;$F187),0,IF(UPPER(TRIM(AF187))=IFERROR(INDEX(Key!$C$2:$C$263,MATCH($D187*100+20,Key!$G$2:$G$263,0)),"#"),1,0))</f>
        <v/>
      </c>
      <c r="BL187">
        <f>IF(OR($D187="",AG187="",21&gt;$F187),0,IF(UPPER(TRIM(AG187))=IFERROR(INDEX(Key!$C$2:$C$263,MATCH($D187*100+21,Key!$G$2:$G$263,0)),"#"),1,0))</f>
        <v/>
      </c>
      <c r="BM187">
        <f>IF(OR($D187="",AH187="",22&gt;$F187),0,IF(UPPER(TRIM(AH187))=IFERROR(INDEX(Key!$C$2:$C$263,MATCH($D187*100+22,Key!$G$2:$G$263,0)),"#"),1,0))</f>
        <v/>
      </c>
      <c r="BN187">
        <f>IF(OR($D187="",AI187="",23&gt;$F187),0,IF(UPPER(TRIM(AI187))=IFERROR(INDEX(Key!$C$2:$C$263,MATCH($D187*100+23,Key!$G$2:$G$263,0)),"#"),1,0))</f>
        <v/>
      </c>
      <c r="BO187">
        <f>IF(OR($D187="",AJ187="",24&gt;$F187),0,IF(UPPER(TRIM(AJ187))=IFERROR(INDEX(Key!$C$2:$C$263,MATCH($D187*100+24,Key!$G$2:$G$263,0)),"#"),1,0))</f>
        <v/>
      </c>
      <c r="BP187">
        <f>IF(OR($D187="",AK187="",25&gt;$F187),0,IF(UPPER(TRIM(AK187))=IFERROR(INDEX(Key!$C$2:$C$263,MATCH($D187*100+25,Key!$G$2:$G$263,0)),"#"),1,0))</f>
        <v/>
      </c>
      <c r="BQ187">
        <f>IF(OR($D187="",AL187="",26&gt;$F187),0,IF(UPPER(TRIM(AL187))=IFERROR(INDEX(Key!$C$2:$C$263,MATCH($D187*100+26,Key!$G$2:$G$263,0)),"#"),1,0))</f>
        <v/>
      </c>
      <c r="BR187">
        <f>IF(OR($D187="",AM187="",27&gt;$F187),0,IF(UPPER(TRIM(AM187))=IFERROR(INDEX(Key!$C$2:$C$263,MATCH($D187*100+27,Key!$G$2:$G$263,0)),"#"),1,0))</f>
        <v/>
      </c>
      <c r="BS187">
        <f>IF(OR($D187="",AN187="",28&gt;$F187),0,IF(UPPER(TRIM(AN187))=IFERROR(INDEX(Key!$C$2:$C$263,MATCH($D187*100+28,Key!$G$2:$G$263,0)),"#"),1,0))</f>
        <v/>
      </c>
      <c r="BT187">
        <f>IF(OR($D187="",AO187="",29&gt;$F187),0,IF(UPPER(TRIM(AO187))=IFERROR(INDEX(Key!$C$2:$C$263,MATCH($D187*100+29,Key!$G$2:$G$263,0)),"#"),1,0))</f>
        <v/>
      </c>
      <c r="BU187">
        <f>IF(OR($D187="",AP187="",30&gt;$F187),0,IF(UPPER(TRIM(AP187))=IFERROR(INDEX(Key!$C$2:$C$263,MATCH($D187*100+30,Key!$G$2:$G$263,0)),"#"),1,0))</f>
        <v/>
      </c>
    </row>
    <row r="188">
      <c r="A188" s="6" t="n"/>
      <c r="B188" s="6" t="n"/>
      <c r="C188" s="6" t="n"/>
      <c r="D188" s="6" t="n"/>
      <c r="E188" s="7">
        <f>IF($D188="","",IFERROR(INDEX(Papers!$B$2:$B$12,MATCH($D188,Papers!$A$2:$A$12,0)),"?"))</f>
        <v/>
      </c>
      <c r="F188" s="7">
        <f>IF($D188="","",IFERROR(INDEX(Papers!$C$2:$C$12,MATCH($D188,Papers!$A$2:$A$12,0)),0))</f>
        <v/>
      </c>
      <c r="G188" s="7">
        <f>IF($D188="","",COUNTIF(M188:AP188,"?*"))</f>
        <v/>
      </c>
      <c r="H188" s="7">
        <f>IF($D188="","",SUM(AR188:BU188))</f>
        <v/>
      </c>
      <c r="I188" s="7">
        <f>IF($D188="","",G188-H188)</f>
        <v/>
      </c>
      <c r="J188" s="7">
        <f>IF($D188="","",F188-G188)</f>
        <v/>
      </c>
      <c r="K188" s="7">
        <f>IF($D188="","",H188)</f>
        <v/>
      </c>
      <c r="L188" s="7">
        <f>IF($D188="","",IF(F188=0,"",ROUND(H188/F188*100,1)))</f>
        <v/>
      </c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R188">
        <f>IF(OR($D188="",M188="",1&gt;$F188),0,IF(UPPER(TRIM(M188))=IFERROR(INDEX(Key!$C$2:$C$263,MATCH($D188*100+1,Key!$G$2:$G$263,0)),"#"),1,0))</f>
        <v/>
      </c>
      <c r="AS188">
        <f>IF(OR($D188="",N188="",2&gt;$F188),0,IF(UPPER(TRIM(N188))=IFERROR(INDEX(Key!$C$2:$C$263,MATCH($D188*100+2,Key!$G$2:$G$263,0)),"#"),1,0))</f>
        <v/>
      </c>
      <c r="AT188">
        <f>IF(OR($D188="",O188="",3&gt;$F188),0,IF(UPPER(TRIM(O188))=IFERROR(INDEX(Key!$C$2:$C$263,MATCH($D188*100+3,Key!$G$2:$G$263,0)),"#"),1,0))</f>
        <v/>
      </c>
      <c r="AU188">
        <f>IF(OR($D188="",P188="",4&gt;$F188),0,IF(UPPER(TRIM(P188))=IFERROR(INDEX(Key!$C$2:$C$263,MATCH($D188*100+4,Key!$G$2:$G$263,0)),"#"),1,0))</f>
        <v/>
      </c>
      <c r="AV188">
        <f>IF(OR($D188="",Q188="",5&gt;$F188),0,IF(UPPER(TRIM(Q188))=IFERROR(INDEX(Key!$C$2:$C$263,MATCH($D188*100+5,Key!$G$2:$G$263,0)),"#"),1,0))</f>
        <v/>
      </c>
      <c r="AW188">
        <f>IF(OR($D188="",R188="",6&gt;$F188),0,IF(UPPER(TRIM(R188))=IFERROR(INDEX(Key!$C$2:$C$263,MATCH($D188*100+6,Key!$G$2:$G$263,0)),"#"),1,0))</f>
        <v/>
      </c>
      <c r="AX188">
        <f>IF(OR($D188="",S188="",7&gt;$F188),0,IF(UPPER(TRIM(S188))=IFERROR(INDEX(Key!$C$2:$C$263,MATCH($D188*100+7,Key!$G$2:$G$263,0)),"#"),1,0))</f>
        <v/>
      </c>
      <c r="AY188">
        <f>IF(OR($D188="",T188="",8&gt;$F188),0,IF(UPPER(TRIM(T188))=IFERROR(INDEX(Key!$C$2:$C$263,MATCH($D188*100+8,Key!$G$2:$G$263,0)),"#"),1,0))</f>
        <v/>
      </c>
      <c r="AZ188">
        <f>IF(OR($D188="",U188="",9&gt;$F188),0,IF(UPPER(TRIM(U188))=IFERROR(INDEX(Key!$C$2:$C$263,MATCH($D188*100+9,Key!$G$2:$G$263,0)),"#"),1,0))</f>
        <v/>
      </c>
      <c r="BA188">
        <f>IF(OR($D188="",V188="",10&gt;$F188),0,IF(UPPER(TRIM(V188))=IFERROR(INDEX(Key!$C$2:$C$263,MATCH($D188*100+10,Key!$G$2:$G$263,0)),"#"),1,0))</f>
        <v/>
      </c>
      <c r="BB188">
        <f>IF(OR($D188="",W188="",11&gt;$F188),0,IF(UPPER(TRIM(W188))=IFERROR(INDEX(Key!$C$2:$C$263,MATCH($D188*100+11,Key!$G$2:$G$263,0)),"#"),1,0))</f>
        <v/>
      </c>
      <c r="BC188">
        <f>IF(OR($D188="",X188="",12&gt;$F188),0,IF(UPPER(TRIM(X188))=IFERROR(INDEX(Key!$C$2:$C$263,MATCH($D188*100+12,Key!$G$2:$G$263,0)),"#"),1,0))</f>
        <v/>
      </c>
      <c r="BD188">
        <f>IF(OR($D188="",Y188="",13&gt;$F188),0,IF(UPPER(TRIM(Y188))=IFERROR(INDEX(Key!$C$2:$C$263,MATCH($D188*100+13,Key!$G$2:$G$263,0)),"#"),1,0))</f>
        <v/>
      </c>
      <c r="BE188">
        <f>IF(OR($D188="",Z188="",14&gt;$F188),0,IF(UPPER(TRIM(Z188))=IFERROR(INDEX(Key!$C$2:$C$263,MATCH($D188*100+14,Key!$G$2:$G$263,0)),"#"),1,0))</f>
        <v/>
      </c>
      <c r="BF188">
        <f>IF(OR($D188="",AA188="",15&gt;$F188),0,IF(UPPER(TRIM(AA188))=IFERROR(INDEX(Key!$C$2:$C$263,MATCH($D188*100+15,Key!$G$2:$G$263,0)),"#"),1,0))</f>
        <v/>
      </c>
      <c r="BG188">
        <f>IF(OR($D188="",AB188="",16&gt;$F188),0,IF(UPPER(TRIM(AB188))=IFERROR(INDEX(Key!$C$2:$C$263,MATCH($D188*100+16,Key!$G$2:$G$263,0)),"#"),1,0))</f>
        <v/>
      </c>
      <c r="BH188">
        <f>IF(OR($D188="",AC188="",17&gt;$F188),0,IF(UPPER(TRIM(AC188))=IFERROR(INDEX(Key!$C$2:$C$263,MATCH($D188*100+17,Key!$G$2:$G$263,0)),"#"),1,0))</f>
        <v/>
      </c>
      <c r="BI188">
        <f>IF(OR($D188="",AD188="",18&gt;$F188),0,IF(UPPER(TRIM(AD188))=IFERROR(INDEX(Key!$C$2:$C$263,MATCH($D188*100+18,Key!$G$2:$G$263,0)),"#"),1,0))</f>
        <v/>
      </c>
      <c r="BJ188">
        <f>IF(OR($D188="",AE188="",19&gt;$F188),0,IF(UPPER(TRIM(AE188))=IFERROR(INDEX(Key!$C$2:$C$263,MATCH($D188*100+19,Key!$G$2:$G$263,0)),"#"),1,0))</f>
        <v/>
      </c>
      <c r="BK188">
        <f>IF(OR($D188="",AF188="",20&gt;$F188),0,IF(UPPER(TRIM(AF188))=IFERROR(INDEX(Key!$C$2:$C$263,MATCH($D188*100+20,Key!$G$2:$G$263,0)),"#"),1,0))</f>
        <v/>
      </c>
      <c r="BL188">
        <f>IF(OR($D188="",AG188="",21&gt;$F188),0,IF(UPPER(TRIM(AG188))=IFERROR(INDEX(Key!$C$2:$C$263,MATCH($D188*100+21,Key!$G$2:$G$263,0)),"#"),1,0))</f>
        <v/>
      </c>
      <c r="BM188">
        <f>IF(OR($D188="",AH188="",22&gt;$F188),0,IF(UPPER(TRIM(AH188))=IFERROR(INDEX(Key!$C$2:$C$263,MATCH($D188*100+22,Key!$G$2:$G$263,0)),"#"),1,0))</f>
        <v/>
      </c>
      <c r="BN188">
        <f>IF(OR($D188="",AI188="",23&gt;$F188),0,IF(UPPER(TRIM(AI188))=IFERROR(INDEX(Key!$C$2:$C$263,MATCH($D188*100+23,Key!$G$2:$G$263,0)),"#"),1,0))</f>
        <v/>
      </c>
      <c r="BO188">
        <f>IF(OR($D188="",AJ188="",24&gt;$F188),0,IF(UPPER(TRIM(AJ188))=IFERROR(INDEX(Key!$C$2:$C$263,MATCH($D188*100+24,Key!$G$2:$G$263,0)),"#"),1,0))</f>
        <v/>
      </c>
      <c r="BP188">
        <f>IF(OR($D188="",AK188="",25&gt;$F188),0,IF(UPPER(TRIM(AK188))=IFERROR(INDEX(Key!$C$2:$C$263,MATCH($D188*100+25,Key!$G$2:$G$263,0)),"#"),1,0))</f>
        <v/>
      </c>
      <c r="BQ188">
        <f>IF(OR($D188="",AL188="",26&gt;$F188),0,IF(UPPER(TRIM(AL188))=IFERROR(INDEX(Key!$C$2:$C$263,MATCH($D188*100+26,Key!$G$2:$G$263,0)),"#"),1,0))</f>
        <v/>
      </c>
      <c r="BR188">
        <f>IF(OR($D188="",AM188="",27&gt;$F188),0,IF(UPPER(TRIM(AM188))=IFERROR(INDEX(Key!$C$2:$C$263,MATCH($D188*100+27,Key!$G$2:$G$263,0)),"#"),1,0))</f>
        <v/>
      </c>
      <c r="BS188">
        <f>IF(OR($D188="",AN188="",28&gt;$F188),0,IF(UPPER(TRIM(AN188))=IFERROR(INDEX(Key!$C$2:$C$263,MATCH($D188*100+28,Key!$G$2:$G$263,0)),"#"),1,0))</f>
        <v/>
      </c>
      <c r="BT188">
        <f>IF(OR($D188="",AO188="",29&gt;$F188),0,IF(UPPER(TRIM(AO188))=IFERROR(INDEX(Key!$C$2:$C$263,MATCH($D188*100+29,Key!$G$2:$G$263,0)),"#"),1,0))</f>
        <v/>
      </c>
      <c r="BU188">
        <f>IF(OR($D188="",AP188="",30&gt;$F188),0,IF(UPPER(TRIM(AP188))=IFERROR(INDEX(Key!$C$2:$C$263,MATCH($D188*100+30,Key!$G$2:$G$263,0)),"#"),1,0))</f>
        <v/>
      </c>
    </row>
    <row r="189">
      <c r="A189" s="6" t="n"/>
      <c r="B189" s="6" t="n"/>
      <c r="C189" s="6" t="n"/>
      <c r="D189" s="6" t="n"/>
      <c r="E189" s="7">
        <f>IF($D189="","",IFERROR(INDEX(Papers!$B$2:$B$12,MATCH($D189,Papers!$A$2:$A$12,0)),"?"))</f>
        <v/>
      </c>
      <c r="F189" s="7">
        <f>IF($D189="","",IFERROR(INDEX(Papers!$C$2:$C$12,MATCH($D189,Papers!$A$2:$A$12,0)),0))</f>
        <v/>
      </c>
      <c r="G189" s="7">
        <f>IF($D189="","",COUNTIF(M189:AP189,"?*"))</f>
        <v/>
      </c>
      <c r="H189" s="7">
        <f>IF($D189="","",SUM(AR189:BU189))</f>
        <v/>
      </c>
      <c r="I189" s="7">
        <f>IF($D189="","",G189-H189)</f>
        <v/>
      </c>
      <c r="J189" s="7">
        <f>IF($D189="","",F189-G189)</f>
        <v/>
      </c>
      <c r="K189" s="7">
        <f>IF($D189="","",H189)</f>
        <v/>
      </c>
      <c r="L189" s="7">
        <f>IF($D189="","",IF(F189=0,"",ROUND(H189/F189*100,1)))</f>
        <v/>
      </c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R189">
        <f>IF(OR($D189="",M189="",1&gt;$F189),0,IF(UPPER(TRIM(M189))=IFERROR(INDEX(Key!$C$2:$C$263,MATCH($D189*100+1,Key!$G$2:$G$263,0)),"#"),1,0))</f>
        <v/>
      </c>
      <c r="AS189">
        <f>IF(OR($D189="",N189="",2&gt;$F189),0,IF(UPPER(TRIM(N189))=IFERROR(INDEX(Key!$C$2:$C$263,MATCH($D189*100+2,Key!$G$2:$G$263,0)),"#"),1,0))</f>
        <v/>
      </c>
      <c r="AT189">
        <f>IF(OR($D189="",O189="",3&gt;$F189),0,IF(UPPER(TRIM(O189))=IFERROR(INDEX(Key!$C$2:$C$263,MATCH($D189*100+3,Key!$G$2:$G$263,0)),"#"),1,0))</f>
        <v/>
      </c>
      <c r="AU189">
        <f>IF(OR($D189="",P189="",4&gt;$F189),0,IF(UPPER(TRIM(P189))=IFERROR(INDEX(Key!$C$2:$C$263,MATCH($D189*100+4,Key!$G$2:$G$263,0)),"#"),1,0))</f>
        <v/>
      </c>
      <c r="AV189">
        <f>IF(OR($D189="",Q189="",5&gt;$F189),0,IF(UPPER(TRIM(Q189))=IFERROR(INDEX(Key!$C$2:$C$263,MATCH($D189*100+5,Key!$G$2:$G$263,0)),"#"),1,0))</f>
        <v/>
      </c>
      <c r="AW189">
        <f>IF(OR($D189="",R189="",6&gt;$F189),0,IF(UPPER(TRIM(R189))=IFERROR(INDEX(Key!$C$2:$C$263,MATCH($D189*100+6,Key!$G$2:$G$263,0)),"#"),1,0))</f>
        <v/>
      </c>
      <c r="AX189">
        <f>IF(OR($D189="",S189="",7&gt;$F189),0,IF(UPPER(TRIM(S189))=IFERROR(INDEX(Key!$C$2:$C$263,MATCH($D189*100+7,Key!$G$2:$G$263,0)),"#"),1,0))</f>
        <v/>
      </c>
      <c r="AY189">
        <f>IF(OR($D189="",T189="",8&gt;$F189),0,IF(UPPER(TRIM(T189))=IFERROR(INDEX(Key!$C$2:$C$263,MATCH($D189*100+8,Key!$G$2:$G$263,0)),"#"),1,0))</f>
        <v/>
      </c>
      <c r="AZ189">
        <f>IF(OR($D189="",U189="",9&gt;$F189),0,IF(UPPER(TRIM(U189))=IFERROR(INDEX(Key!$C$2:$C$263,MATCH($D189*100+9,Key!$G$2:$G$263,0)),"#"),1,0))</f>
        <v/>
      </c>
      <c r="BA189">
        <f>IF(OR($D189="",V189="",10&gt;$F189),0,IF(UPPER(TRIM(V189))=IFERROR(INDEX(Key!$C$2:$C$263,MATCH($D189*100+10,Key!$G$2:$G$263,0)),"#"),1,0))</f>
        <v/>
      </c>
      <c r="BB189">
        <f>IF(OR($D189="",W189="",11&gt;$F189),0,IF(UPPER(TRIM(W189))=IFERROR(INDEX(Key!$C$2:$C$263,MATCH($D189*100+11,Key!$G$2:$G$263,0)),"#"),1,0))</f>
        <v/>
      </c>
      <c r="BC189">
        <f>IF(OR($D189="",X189="",12&gt;$F189),0,IF(UPPER(TRIM(X189))=IFERROR(INDEX(Key!$C$2:$C$263,MATCH($D189*100+12,Key!$G$2:$G$263,0)),"#"),1,0))</f>
        <v/>
      </c>
      <c r="BD189">
        <f>IF(OR($D189="",Y189="",13&gt;$F189),0,IF(UPPER(TRIM(Y189))=IFERROR(INDEX(Key!$C$2:$C$263,MATCH($D189*100+13,Key!$G$2:$G$263,0)),"#"),1,0))</f>
        <v/>
      </c>
      <c r="BE189">
        <f>IF(OR($D189="",Z189="",14&gt;$F189),0,IF(UPPER(TRIM(Z189))=IFERROR(INDEX(Key!$C$2:$C$263,MATCH($D189*100+14,Key!$G$2:$G$263,0)),"#"),1,0))</f>
        <v/>
      </c>
      <c r="BF189">
        <f>IF(OR($D189="",AA189="",15&gt;$F189),0,IF(UPPER(TRIM(AA189))=IFERROR(INDEX(Key!$C$2:$C$263,MATCH($D189*100+15,Key!$G$2:$G$263,0)),"#"),1,0))</f>
        <v/>
      </c>
      <c r="BG189">
        <f>IF(OR($D189="",AB189="",16&gt;$F189),0,IF(UPPER(TRIM(AB189))=IFERROR(INDEX(Key!$C$2:$C$263,MATCH($D189*100+16,Key!$G$2:$G$263,0)),"#"),1,0))</f>
        <v/>
      </c>
      <c r="BH189">
        <f>IF(OR($D189="",AC189="",17&gt;$F189),0,IF(UPPER(TRIM(AC189))=IFERROR(INDEX(Key!$C$2:$C$263,MATCH($D189*100+17,Key!$G$2:$G$263,0)),"#"),1,0))</f>
        <v/>
      </c>
      <c r="BI189">
        <f>IF(OR($D189="",AD189="",18&gt;$F189),0,IF(UPPER(TRIM(AD189))=IFERROR(INDEX(Key!$C$2:$C$263,MATCH($D189*100+18,Key!$G$2:$G$263,0)),"#"),1,0))</f>
        <v/>
      </c>
      <c r="BJ189">
        <f>IF(OR($D189="",AE189="",19&gt;$F189),0,IF(UPPER(TRIM(AE189))=IFERROR(INDEX(Key!$C$2:$C$263,MATCH($D189*100+19,Key!$G$2:$G$263,0)),"#"),1,0))</f>
        <v/>
      </c>
      <c r="BK189">
        <f>IF(OR($D189="",AF189="",20&gt;$F189),0,IF(UPPER(TRIM(AF189))=IFERROR(INDEX(Key!$C$2:$C$263,MATCH($D189*100+20,Key!$G$2:$G$263,0)),"#"),1,0))</f>
        <v/>
      </c>
      <c r="BL189">
        <f>IF(OR($D189="",AG189="",21&gt;$F189),0,IF(UPPER(TRIM(AG189))=IFERROR(INDEX(Key!$C$2:$C$263,MATCH($D189*100+21,Key!$G$2:$G$263,0)),"#"),1,0))</f>
        <v/>
      </c>
      <c r="BM189">
        <f>IF(OR($D189="",AH189="",22&gt;$F189),0,IF(UPPER(TRIM(AH189))=IFERROR(INDEX(Key!$C$2:$C$263,MATCH($D189*100+22,Key!$G$2:$G$263,0)),"#"),1,0))</f>
        <v/>
      </c>
      <c r="BN189">
        <f>IF(OR($D189="",AI189="",23&gt;$F189),0,IF(UPPER(TRIM(AI189))=IFERROR(INDEX(Key!$C$2:$C$263,MATCH($D189*100+23,Key!$G$2:$G$263,0)),"#"),1,0))</f>
        <v/>
      </c>
      <c r="BO189">
        <f>IF(OR($D189="",AJ189="",24&gt;$F189),0,IF(UPPER(TRIM(AJ189))=IFERROR(INDEX(Key!$C$2:$C$263,MATCH($D189*100+24,Key!$G$2:$G$263,0)),"#"),1,0))</f>
        <v/>
      </c>
      <c r="BP189">
        <f>IF(OR($D189="",AK189="",25&gt;$F189),0,IF(UPPER(TRIM(AK189))=IFERROR(INDEX(Key!$C$2:$C$263,MATCH($D189*100+25,Key!$G$2:$G$263,0)),"#"),1,0))</f>
        <v/>
      </c>
      <c r="BQ189">
        <f>IF(OR($D189="",AL189="",26&gt;$F189),0,IF(UPPER(TRIM(AL189))=IFERROR(INDEX(Key!$C$2:$C$263,MATCH($D189*100+26,Key!$G$2:$G$263,0)),"#"),1,0))</f>
        <v/>
      </c>
      <c r="BR189">
        <f>IF(OR($D189="",AM189="",27&gt;$F189),0,IF(UPPER(TRIM(AM189))=IFERROR(INDEX(Key!$C$2:$C$263,MATCH($D189*100+27,Key!$G$2:$G$263,0)),"#"),1,0))</f>
        <v/>
      </c>
      <c r="BS189">
        <f>IF(OR($D189="",AN189="",28&gt;$F189),0,IF(UPPER(TRIM(AN189))=IFERROR(INDEX(Key!$C$2:$C$263,MATCH($D189*100+28,Key!$G$2:$G$263,0)),"#"),1,0))</f>
        <v/>
      </c>
      <c r="BT189">
        <f>IF(OR($D189="",AO189="",29&gt;$F189),0,IF(UPPER(TRIM(AO189))=IFERROR(INDEX(Key!$C$2:$C$263,MATCH($D189*100+29,Key!$G$2:$G$263,0)),"#"),1,0))</f>
        <v/>
      </c>
      <c r="BU189">
        <f>IF(OR($D189="",AP189="",30&gt;$F189),0,IF(UPPER(TRIM(AP189))=IFERROR(INDEX(Key!$C$2:$C$263,MATCH($D189*100+30,Key!$G$2:$G$263,0)),"#"),1,0))</f>
        <v/>
      </c>
    </row>
    <row r="190">
      <c r="A190" s="6" t="n"/>
      <c r="B190" s="6" t="n"/>
      <c r="C190" s="6" t="n"/>
      <c r="D190" s="6" t="n"/>
      <c r="E190" s="7">
        <f>IF($D190="","",IFERROR(INDEX(Papers!$B$2:$B$12,MATCH($D190,Papers!$A$2:$A$12,0)),"?"))</f>
        <v/>
      </c>
      <c r="F190" s="7">
        <f>IF($D190="","",IFERROR(INDEX(Papers!$C$2:$C$12,MATCH($D190,Papers!$A$2:$A$12,0)),0))</f>
        <v/>
      </c>
      <c r="G190" s="7">
        <f>IF($D190="","",COUNTIF(M190:AP190,"?*"))</f>
        <v/>
      </c>
      <c r="H190" s="7">
        <f>IF($D190="","",SUM(AR190:BU190))</f>
        <v/>
      </c>
      <c r="I190" s="7">
        <f>IF($D190="","",G190-H190)</f>
        <v/>
      </c>
      <c r="J190" s="7">
        <f>IF($D190="","",F190-G190)</f>
        <v/>
      </c>
      <c r="K190" s="7">
        <f>IF($D190="","",H190)</f>
        <v/>
      </c>
      <c r="L190" s="7">
        <f>IF($D190="","",IF(F190=0,"",ROUND(H190/F190*100,1)))</f>
        <v/>
      </c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R190">
        <f>IF(OR($D190="",M190="",1&gt;$F190),0,IF(UPPER(TRIM(M190))=IFERROR(INDEX(Key!$C$2:$C$263,MATCH($D190*100+1,Key!$G$2:$G$263,0)),"#"),1,0))</f>
        <v/>
      </c>
      <c r="AS190">
        <f>IF(OR($D190="",N190="",2&gt;$F190),0,IF(UPPER(TRIM(N190))=IFERROR(INDEX(Key!$C$2:$C$263,MATCH($D190*100+2,Key!$G$2:$G$263,0)),"#"),1,0))</f>
        <v/>
      </c>
      <c r="AT190">
        <f>IF(OR($D190="",O190="",3&gt;$F190),0,IF(UPPER(TRIM(O190))=IFERROR(INDEX(Key!$C$2:$C$263,MATCH($D190*100+3,Key!$G$2:$G$263,0)),"#"),1,0))</f>
        <v/>
      </c>
      <c r="AU190">
        <f>IF(OR($D190="",P190="",4&gt;$F190),0,IF(UPPER(TRIM(P190))=IFERROR(INDEX(Key!$C$2:$C$263,MATCH($D190*100+4,Key!$G$2:$G$263,0)),"#"),1,0))</f>
        <v/>
      </c>
      <c r="AV190">
        <f>IF(OR($D190="",Q190="",5&gt;$F190),0,IF(UPPER(TRIM(Q190))=IFERROR(INDEX(Key!$C$2:$C$263,MATCH($D190*100+5,Key!$G$2:$G$263,0)),"#"),1,0))</f>
        <v/>
      </c>
      <c r="AW190">
        <f>IF(OR($D190="",R190="",6&gt;$F190),0,IF(UPPER(TRIM(R190))=IFERROR(INDEX(Key!$C$2:$C$263,MATCH($D190*100+6,Key!$G$2:$G$263,0)),"#"),1,0))</f>
        <v/>
      </c>
      <c r="AX190">
        <f>IF(OR($D190="",S190="",7&gt;$F190),0,IF(UPPER(TRIM(S190))=IFERROR(INDEX(Key!$C$2:$C$263,MATCH($D190*100+7,Key!$G$2:$G$263,0)),"#"),1,0))</f>
        <v/>
      </c>
      <c r="AY190">
        <f>IF(OR($D190="",T190="",8&gt;$F190),0,IF(UPPER(TRIM(T190))=IFERROR(INDEX(Key!$C$2:$C$263,MATCH($D190*100+8,Key!$G$2:$G$263,0)),"#"),1,0))</f>
        <v/>
      </c>
      <c r="AZ190">
        <f>IF(OR($D190="",U190="",9&gt;$F190),0,IF(UPPER(TRIM(U190))=IFERROR(INDEX(Key!$C$2:$C$263,MATCH($D190*100+9,Key!$G$2:$G$263,0)),"#"),1,0))</f>
        <v/>
      </c>
      <c r="BA190">
        <f>IF(OR($D190="",V190="",10&gt;$F190),0,IF(UPPER(TRIM(V190))=IFERROR(INDEX(Key!$C$2:$C$263,MATCH($D190*100+10,Key!$G$2:$G$263,0)),"#"),1,0))</f>
        <v/>
      </c>
      <c r="BB190">
        <f>IF(OR($D190="",W190="",11&gt;$F190),0,IF(UPPER(TRIM(W190))=IFERROR(INDEX(Key!$C$2:$C$263,MATCH($D190*100+11,Key!$G$2:$G$263,0)),"#"),1,0))</f>
        <v/>
      </c>
      <c r="BC190">
        <f>IF(OR($D190="",X190="",12&gt;$F190),0,IF(UPPER(TRIM(X190))=IFERROR(INDEX(Key!$C$2:$C$263,MATCH($D190*100+12,Key!$G$2:$G$263,0)),"#"),1,0))</f>
        <v/>
      </c>
      <c r="BD190">
        <f>IF(OR($D190="",Y190="",13&gt;$F190),0,IF(UPPER(TRIM(Y190))=IFERROR(INDEX(Key!$C$2:$C$263,MATCH($D190*100+13,Key!$G$2:$G$263,0)),"#"),1,0))</f>
        <v/>
      </c>
      <c r="BE190">
        <f>IF(OR($D190="",Z190="",14&gt;$F190),0,IF(UPPER(TRIM(Z190))=IFERROR(INDEX(Key!$C$2:$C$263,MATCH($D190*100+14,Key!$G$2:$G$263,0)),"#"),1,0))</f>
        <v/>
      </c>
      <c r="BF190">
        <f>IF(OR($D190="",AA190="",15&gt;$F190),0,IF(UPPER(TRIM(AA190))=IFERROR(INDEX(Key!$C$2:$C$263,MATCH($D190*100+15,Key!$G$2:$G$263,0)),"#"),1,0))</f>
        <v/>
      </c>
      <c r="BG190">
        <f>IF(OR($D190="",AB190="",16&gt;$F190),0,IF(UPPER(TRIM(AB190))=IFERROR(INDEX(Key!$C$2:$C$263,MATCH($D190*100+16,Key!$G$2:$G$263,0)),"#"),1,0))</f>
        <v/>
      </c>
      <c r="BH190">
        <f>IF(OR($D190="",AC190="",17&gt;$F190),0,IF(UPPER(TRIM(AC190))=IFERROR(INDEX(Key!$C$2:$C$263,MATCH($D190*100+17,Key!$G$2:$G$263,0)),"#"),1,0))</f>
        <v/>
      </c>
      <c r="BI190">
        <f>IF(OR($D190="",AD190="",18&gt;$F190),0,IF(UPPER(TRIM(AD190))=IFERROR(INDEX(Key!$C$2:$C$263,MATCH($D190*100+18,Key!$G$2:$G$263,0)),"#"),1,0))</f>
        <v/>
      </c>
      <c r="BJ190">
        <f>IF(OR($D190="",AE190="",19&gt;$F190),0,IF(UPPER(TRIM(AE190))=IFERROR(INDEX(Key!$C$2:$C$263,MATCH($D190*100+19,Key!$G$2:$G$263,0)),"#"),1,0))</f>
        <v/>
      </c>
      <c r="BK190">
        <f>IF(OR($D190="",AF190="",20&gt;$F190),0,IF(UPPER(TRIM(AF190))=IFERROR(INDEX(Key!$C$2:$C$263,MATCH($D190*100+20,Key!$G$2:$G$263,0)),"#"),1,0))</f>
        <v/>
      </c>
      <c r="BL190">
        <f>IF(OR($D190="",AG190="",21&gt;$F190),0,IF(UPPER(TRIM(AG190))=IFERROR(INDEX(Key!$C$2:$C$263,MATCH($D190*100+21,Key!$G$2:$G$263,0)),"#"),1,0))</f>
        <v/>
      </c>
      <c r="BM190">
        <f>IF(OR($D190="",AH190="",22&gt;$F190),0,IF(UPPER(TRIM(AH190))=IFERROR(INDEX(Key!$C$2:$C$263,MATCH($D190*100+22,Key!$G$2:$G$263,0)),"#"),1,0))</f>
        <v/>
      </c>
      <c r="BN190">
        <f>IF(OR($D190="",AI190="",23&gt;$F190),0,IF(UPPER(TRIM(AI190))=IFERROR(INDEX(Key!$C$2:$C$263,MATCH($D190*100+23,Key!$G$2:$G$263,0)),"#"),1,0))</f>
        <v/>
      </c>
      <c r="BO190">
        <f>IF(OR($D190="",AJ190="",24&gt;$F190),0,IF(UPPER(TRIM(AJ190))=IFERROR(INDEX(Key!$C$2:$C$263,MATCH($D190*100+24,Key!$G$2:$G$263,0)),"#"),1,0))</f>
        <v/>
      </c>
      <c r="BP190">
        <f>IF(OR($D190="",AK190="",25&gt;$F190),0,IF(UPPER(TRIM(AK190))=IFERROR(INDEX(Key!$C$2:$C$263,MATCH($D190*100+25,Key!$G$2:$G$263,0)),"#"),1,0))</f>
        <v/>
      </c>
      <c r="BQ190">
        <f>IF(OR($D190="",AL190="",26&gt;$F190),0,IF(UPPER(TRIM(AL190))=IFERROR(INDEX(Key!$C$2:$C$263,MATCH($D190*100+26,Key!$G$2:$G$263,0)),"#"),1,0))</f>
        <v/>
      </c>
      <c r="BR190">
        <f>IF(OR($D190="",AM190="",27&gt;$F190),0,IF(UPPER(TRIM(AM190))=IFERROR(INDEX(Key!$C$2:$C$263,MATCH($D190*100+27,Key!$G$2:$G$263,0)),"#"),1,0))</f>
        <v/>
      </c>
      <c r="BS190">
        <f>IF(OR($D190="",AN190="",28&gt;$F190),0,IF(UPPER(TRIM(AN190))=IFERROR(INDEX(Key!$C$2:$C$263,MATCH($D190*100+28,Key!$G$2:$G$263,0)),"#"),1,0))</f>
        <v/>
      </c>
      <c r="BT190">
        <f>IF(OR($D190="",AO190="",29&gt;$F190),0,IF(UPPER(TRIM(AO190))=IFERROR(INDEX(Key!$C$2:$C$263,MATCH($D190*100+29,Key!$G$2:$G$263,0)),"#"),1,0))</f>
        <v/>
      </c>
      <c r="BU190">
        <f>IF(OR($D190="",AP190="",30&gt;$F190),0,IF(UPPER(TRIM(AP190))=IFERROR(INDEX(Key!$C$2:$C$263,MATCH($D190*100+30,Key!$G$2:$G$263,0)),"#"),1,0))</f>
        <v/>
      </c>
    </row>
    <row r="191">
      <c r="A191" s="6" t="n"/>
      <c r="B191" s="6" t="n"/>
      <c r="C191" s="6" t="n"/>
      <c r="D191" s="6" t="n"/>
      <c r="E191" s="7">
        <f>IF($D191="","",IFERROR(INDEX(Papers!$B$2:$B$12,MATCH($D191,Papers!$A$2:$A$12,0)),"?"))</f>
        <v/>
      </c>
      <c r="F191" s="7">
        <f>IF($D191="","",IFERROR(INDEX(Papers!$C$2:$C$12,MATCH($D191,Papers!$A$2:$A$12,0)),0))</f>
        <v/>
      </c>
      <c r="G191" s="7">
        <f>IF($D191="","",COUNTIF(M191:AP191,"?*"))</f>
        <v/>
      </c>
      <c r="H191" s="7">
        <f>IF($D191="","",SUM(AR191:BU191))</f>
        <v/>
      </c>
      <c r="I191" s="7">
        <f>IF($D191="","",G191-H191)</f>
        <v/>
      </c>
      <c r="J191" s="7">
        <f>IF($D191="","",F191-G191)</f>
        <v/>
      </c>
      <c r="K191" s="7">
        <f>IF($D191="","",H191)</f>
        <v/>
      </c>
      <c r="L191" s="7">
        <f>IF($D191="","",IF(F191=0,"",ROUND(H191/F191*100,1)))</f>
        <v/>
      </c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R191">
        <f>IF(OR($D191="",M191="",1&gt;$F191),0,IF(UPPER(TRIM(M191))=IFERROR(INDEX(Key!$C$2:$C$263,MATCH($D191*100+1,Key!$G$2:$G$263,0)),"#"),1,0))</f>
        <v/>
      </c>
      <c r="AS191">
        <f>IF(OR($D191="",N191="",2&gt;$F191),0,IF(UPPER(TRIM(N191))=IFERROR(INDEX(Key!$C$2:$C$263,MATCH($D191*100+2,Key!$G$2:$G$263,0)),"#"),1,0))</f>
        <v/>
      </c>
      <c r="AT191">
        <f>IF(OR($D191="",O191="",3&gt;$F191),0,IF(UPPER(TRIM(O191))=IFERROR(INDEX(Key!$C$2:$C$263,MATCH($D191*100+3,Key!$G$2:$G$263,0)),"#"),1,0))</f>
        <v/>
      </c>
      <c r="AU191">
        <f>IF(OR($D191="",P191="",4&gt;$F191),0,IF(UPPER(TRIM(P191))=IFERROR(INDEX(Key!$C$2:$C$263,MATCH($D191*100+4,Key!$G$2:$G$263,0)),"#"),1,0))</f>
        <v/>
      </c>
      <c r="AV191">
        <f>IF(OR($D191="",Q191="",5&gt;$F191),0,IF(UPPER(TRIM(Q191))=IFERROR(INDEX(Key!$C$2:$C$263,MATCH($D191*100+5,Key!$G$2:$G$263,0)),"#"),1,0))</f>
        <v/>
      </c>
      <c r="AW191">
        <f>IF(OR($D191="",R191="",6&gt;$F191),0,IF(UPPER(TRIM(R191))=IFERROR(INDEX(Key!$C$2:$C$263,MATCH($D191*100+6,Key!$G$2:$G$263,0)),"#"),1,0))</f>
        <v/>
      </c>
      <c r="AX191">
        <f>IF(OR($D191="",S191="",7&gt;$F191),0,IF(UPPER(TRIM(S191))=IFERROR(INDEX(Key!$C$2:$C$263,MATCH($D191*100+7,Key!$G$2:$G$263,0)),"#"),1,0))</f>
        <v/>
      </c>
      <c r="AY191">
        <f>IF(OR($D191="",T191="",8&gt;$F191),0,IF(UPPER(TRIM(T191))=IFERROR(INDEX(Key!$C$2:$C$263,MATCH($D191*100+8,Key!$G$2:$G$263,0)),"#"),1,0))</f>
        <v/>
      </c>
      <c r="AZ191">
        <f>IF(OR($D191="",U191="",9&gt;$F191),0,IF(UPPER(TRIM(U191))=IFERROR(INDEX(Key!$C$2:$C$263,MATCH($D191*100+9,Key!$G$2:$G$263,0)),"#"),1,0))</f>
        <v/>
      </c>
      <c r="BA191">
        <f>IF(OR($D191="",V191="",10&gt;$F191),0,IF(UPPER(TRIM(V191))=IFERROR(INDEX(Key!$C$2:$C$263,MATCH($D191*100+10,Key!$G$2:$G$263,0)),"#"),1,0))</f>
        <v/>
      </c>
      <c r="BB191">
        <f>IF(OR($D191="",W191="",11&gt;$F191),0,IF(UPPER(TRIM(W191))=IFERROR(INDEX(Key!$C$2:$C$263,MATCH($D191*100+11,Key!$G$2:$G$263,0)),"#"),1,0))</f>
        <v/>
      </c>
      <c r="BC191">
        <f>IF(OR($D191="",X191="",12&gt;$F191),0,IF(UPPER(TRIM(X191))=IFERROR(INDEX(Key!$C$2:$C$263,MATCH($D191*100+12,Key!$G$2:$G$263,0)),"#"),1,0))</f>
        <v/>
      </c>
      <c r="BD191">
        <f>IF(OR($D191="",Y191="",13&gt;$F191),0,IF(UPPER(TRIM(Y191))=IFERROR(INDEX(Key!$C$2:$C$263,MATCH($D191*100+13,Key!$G$2:$G$263,0)),"#"),1,0))</f>
        <v/>
      </c>
      <c r="BE191">
        <f>IF(OR($D191="",Z191="",14&gt;$F191),0,IF(UPPER(TRIM(Z191))=IFERROR(INDEX(Key!$C$2:$C$263,MATCH($D191*100+14,Key!$G$2:$G$263,0)),"#"),1,0))</f>
        <v/>
      </c>
      <c r="BF191">
        <f>IF(OR($D191="",AA191="",15&gt;$F191),0,IF(UPPER(TRIM(AA191))=IFERROR(INDEX(Key!$C$2:$C$263,MATCH($D191*100+15,Key!$G$2:$G$263,0)),"#"),1,0))</f>
        <v/>
      </c>
      <c r="BG191">
        <f>IF(OR($D191="",AB191="",16&gt;$F191),0,IF(UPPER(TRIM(AB191))=IFERROR(INDEX(Key!$C$2:$C$263,MATCH($D191*100+16,Key!$G$2:$G$263,0)),"#"),1,0))</f>
        <v/>
      </c>
      <c r="BH191">
        <f>IF(OR($D191="",AC191="",17&gt;$F191),0,IF(UPPER(TRIM(AC191))=IFERROR(INDEX(Key!$C$2:$C$263,MATCH($D191*100+17,Key!$G$2:$G$263,0)),"#"),1,0))</f>
        <v/>
      </c>
      <c r="BI191">
        <f>IF(OR($D191="",AD191="",18&gt;$F191),0,IF(UPPER(TRIM(AD191))=IFERROR(INDEX(Key!$C$2:$C$263,MATCH($D191*100+18,Key!$G$2:$G$263,0)),"#"),1,0))</f>
        <v/>
      </c>
      <c r="BJ191">
        <f>IF(OR($D191="",AE191="",19&gt;$F191),0,IF(UPPER(TRIM(AE191))=IFERROR(INDEX(Key!$C$2:$C$263,MATCH($D191*100+19,Key!$G$2:$G$263,0)),"#"),1,0))</f>
        <v/>
      </c>
      <c r="BK191">
        <f>IF(OR($D191="",AF191="",20&gt;$F191),0,IF(UPPER(TRIM(AF191))=IFERROR(INDEX(Key!$C$2:$C$263,MATCH($D191*100+20,Key!$G$2:$G$263,0)),"#"),1,0))</f>
        <v/>
      </c>
      <c r="BL191">
        <f>IF(OR($D191="",AG191="",21&gt;$F191),0,IF(UPPER(TRIM(AG191))=IFERROR(INDEX(Key!$C$2:$C$263,MATCH($D191*100+21,Key!$G$2:$G$263,0)),"#"),1,0))</f>
        <v/>
      </c>
      <c r="BM191">
        <f>IF(OR($D191="",AH191="",22&gt;$F191),0,IF(UPPER(TRIM(AH191))=IFERROR(INDEX(Key!$C$2:$C$263,MATCH($D191*100+22,Key!$G$2:$G$263,0)),"#"),1,0))</f>
        <v/>
      </c>
      <c r="BN191">
        <f>IF(OR($D191="",AI191="",23&gt;$F191),0,IF(UPPER(TRIM(AI191))=IFERROR(INDEX(Key!$C$2:$C$263,MATCH($D191*100+23,Key!$G$2:$G$263,0)),"#"),1,0))</f>
        <v/>
      </c>
      <c r="BO191">
        <f>IF(OR($D191="",AJ191="",24&gt;$F191),0,IF(UPPER(TRIM(AJ191))=IFERROR(INDEX(Key!$C$2:$C$263,MATCH($D191*100+24,Key!$G$2:$G$263,0)),"#"),1,0))</f>
        <v/>
      </c>
      <c r="BP191">
        <f>IF(OR($D191="",AK191="",25&gt;$F191),0,IF(UPPER(TRIM(AK191))=IFERROR(INDEX(Key!$C$2:$C$263,MATCH($D191*100+25,Key!$G$2:$G$263,0)),"#"),1,0))</f>
        <v/>
      </c>
      <c r="BQ191">
        <f>IF(OR($D191="",AL191="",26&gt;$F191),0,IF(UPPER(TRIM(AL191))=IFERROR(INDEX(Key!$C$2:$C$263,MATCH($D191*100+26,Key!$G$2:$G$263,0)),"#"),1,0))</f>
        <v/>
      </c>
      <c r="BR191">
        <f>IF(OR($D191="",AM191="",27&gt;$F191),0,IF(UPPER(TRIM(AM191))=IFERROR(INDEX(Key!$C$2:$C$263,MATCH($D191*100+27,Key!$G$2:$G$263,0)),"#"),1,0))</f>
        <v/>
      </c>
      <c r="BS191">
        <f>IF(OR($D191="",AN191="",28&gt;$F191),0,IF(UPPER(TRIM(AN191))=IFERROR(INDEX(Key!$C$2:$C$263,MATCH($D191*100+28,Key!$G$2:$G$263,0)),"#"),1,0))</f>
        <v/>
      </c>
      <c r="BT191">
        <f>IF(OR($D191="",AO191="",29&gt;$F191),0,IF(UPPER(TRIM(AO191))=IFERROR(INDEX(Key!$C$2:$C$263,MATCH($D191*100+29,Key!$G$2:$G$263,0)),"#"),1,0))</f>
        <v/>
      </c>
      <c r="BU191">
        <f>IF(OR($D191="",AP191="",30&gt;$F191),0,IF(UPPER(TRIM(AP191))=IFERROR(INDEX(Key!$C$2:$C$263,MATCH($D191*100+30,Key!$G$2:$G$263,0)),"#"),1,0))</f>
        <v/>
      </c>
    </row>
    <row r="192">
      <c r="A192" s="6" t="n"/>
      <c r="B192" s="6" t="n"/>
      <c r="C192" s="6" t="n"/>
      <c r="D192" s="6" t="n"/>
      <c r="E192" s="7">
        <f>IF($D192="","",IFERROR(INDEX(Papers!$B$2:$B$12,MATCH($D192,Papers!$A$2:$A$12,0)),"?"))</f>
        <v/>
      </c>
      <c r="F192" s="7">
        <f>IF($D192="","",IFERROR(INDEX(Papers!$C$2:$C$12,MATCH($D192,Papers!$A$2:$A$12,0)),0))</f>
        <v/>
      </c>
      <c r="G192" s="7">
        <f>IF($D192="","",COUNTIF(M192:AP192,"?*"))</f>
        <v/>
      </c>
      <c r="H192" s="7">
        <f>IF($D192="","",SUM(AR192:BU192))</f>
        <v/>
      </c>
      <c r="I192" s="7">
        <f>IF($D192="","",G192-H192)</f>
        <v/>
      </c>
      <c r="J192" s="7">
        <f>IF($D192="","",F192-G192)</f>
        <v/>
      </c>
      <c r="K192" s="7">
        <f>IF($D192="","",H192)</f>
        <v/>
      </c>
      <c r="L192" s="7">
        <f>IF($D192="","",IF(F192=0,"",ROUND(H192/F192*100,1)))</f>
        <v/>
      </c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R192">
        <f>IF(OR($D192="",M192="",1&gt;$F192),0,IF(UPPER(TRIM(M192))=IFERROR(INDEX(Key!$C$2:$C$263,MATCH($D192*100+1,Key!$G$2:$G$263,0)),"#"),1,0))</f>
        <v/>
      </c>
      <c r="AS192">
        <f>IF(OR($D192="",N192="",2&gt;$F192),0,IF(UPPER(TRIM(N192))=IFERROR(INDEX(Key!$C$2:$C$263,MATCH($D192*100+2,Key!$G$2:$G$263,0)),"#"),1,0))</f>
        <v/>
      </c>
      <c r="AT192">
        <f>IF(OR($D192="",O192="",3&gt;$F192),0,IF(UPPER(TRIM(O192))=IFERROR(INDEX(Key!$C$2:$C$263,MATCH($D192*100+3,Key!$G$2:$G$263,0)),"#"),1,0))</f>
        <v/>
      </c>
      <c r="AU192">
        <f>IF(OR($D192="",P192="",4&gt;$F192),0,IF(UPPER(TRIM(P192))=IFERROR(INDEX(Key!$C$2:$C$263,MATCH($D192*100+4,Key!$G$2:$G$263,0)),"#"),1,0))</f>
        <v/>
      </c>
      <c r="AV192">
        <f>IF(OR($D192="",Q192="",5&gt;$F192),0,IF(UPPER(TRIM(Q192))=IFERROR(INDEX(Key!$C$2:$C$263,MATCH($D192*100+5,Key!$G$2:$G$263,0)),"#"),1,0))</f>
        <v/>
      </c>
      <c r="AW192">
        <f>IF(OR($D192="",R192="",6&gt;$F192),0,IF(UPPER(TRIM(R192))=IFERROR(INDEX(Key!$C$2:$C$263,MATCH($D192*100+6,Key!$G$2:$G$263,0)),"#"),1,0))</f>
        <v/>
      </c>
      <c r="AX192">
        <f>IF(OR($D192="",S192="",7&gt;$F192),0,IF(UPPER(TRIM(S192))=IFERROR(INDEX(Key!$C$2:$C$263,MATCH($D192*100+7,Key!$G$2:$G$263,0)),"#"),1,0))</f>
        <v/>
      </c>
      <c r="AY192">
        <f>IF(OR($D192="",T192="",8&gt;$F192),0,IF(UPPER(TRIM(T192))=IFERROR(INDEX(Key!$C$2:$C$263,MATCH($D192*100+8,Key!$G$2:$G$263,0)),"#"),1,0))</f>
        <v/>
      </c>
      <c r="AZ192">
        <f>IF(OR($D192="",U192="",9&gt;$F192),0,IF(UPPER(TRIM(U192))=IFERROR(INDEX(Key!$C$2:$C$263,MATCH($D192*100+9,Key!$G$2:$G$263,0)),"#"),1,0))</f>
        <v/>
      </c>
      <c r="BA192">
        <f>IF(OR($D192="",V192="",10&gt;$F192),0,IF(UPPER(TRIM(V192))=IFERROR(INDEX(Key!$C$2:$C$263,MATCH($D192*100+10,Key!$G$2:$G$263,0)),"#"),1,0))</f>
        <v/>
      </c>
      <c r="BB192">
        <f>IF(OR($D192="",W192="",11&gt;$F192),0,IF(UPPER(TRIM(W192))=IFERROR(INDEX(Key!$C$2:$C$263,MATCH($D192*100+11,Key!$G$2:$G$263,0)),"#"),1,0))</f>
        <v/>
      </c>
      <c r="BC192">
        <f>IF(OR($D192="",X192="",12&gt;$F192),0,IF(UPPER(TRIM(X192))=IFERROR(INDEX(Key!$C$2:$C$263,MATCH($D192*100+12,Key!$G$2:$G$263,0)),"#"),1,0))</f>
        <v/>
      </c>
      <c r="BD192">
        <f>IF(OR($D192="",Y192="",13&gt;$F192),0,IF(UPPER(TRIM(Y192))=IFERROR(INDEX(Key!$C$2:$C$263,MATCH($D192*100+13,Key!$G$2:$G$263,0)),"#"),1,0))</f>
        <v/>
      </c>
      <c r="BE192">
        <f>IF(OR($D192="",Z192="",14&gt;$F192),0,IF(UPPER(TRIM(Z192))=IFERROR(INDEX(Key!$C$2:$C$263,MATCH($D192*100+14,Key!$G$2:$G$263,0)),"#"),1,0))</f>
        <v/>
      </c>
      <c r="BF192">
        <f>IF(OR($D192="",AA192="",15&gt;$F192),0,IF(UPPER(TRIM(AA192))=IFERROR(INDEX(Key!$C$2:$C$263,MATCH($D192*100+15,Key!$G$2:$G$263,0)),"#"),1,0))</f>
        <v/>
      </c>
      <c r="BG192">
        <f>IF(OR($D192="",AB192="",16&gt;$F192),0,IF(UPPER(TRIM(AB192))=IFERROR(INDEX(Key!$C$2:$C$263,MATCH($D192*100+16,Key!$G$2:$G$263,0)),"#"),1,0))</f>
        <v/>
      </c>
      <c r="BH192">
        <f>IF(OR($D192="",AC192="",17&gt;$F192),0,IF(UPPER(TRIM(AC192))=IFERROR(INDEX(Key!$C$2:$C$263,MATCH($D192*100+17,Key!$G$2:$G$263,0)),"#"),1,0))</f>
        <v/>
      </c>
      <c r="BI192">
        <f>IF(OR($D192="",AD192="",18&gt;$F192),0,IF(UPPER(TRIM(AD192))=IFERROR(INDEX(Key!$C$2:$C$263,MATCH($D192*100+18,Key!$G$2:$G$263,0)),"#"),1,0))</f>
        <v/>
      </c>
      <c r="BJ192">
        <f>IF(OR($D192="",AE192="",19&gt;$F192),0,IF(UPPER(TRIM(AE192))=IFERROR(INDEX(Key!$C$2:$C$263,MATCH($D192*100+19,Key!$G$2:$G$263,0)),"#"),1,0))</f>
        <v/>
      </c>
      <c r="BK192">
        <f>IF(OR($D192="",AF192="",20&gt;$F192),0,IF(UPPER(TRIM(AF192))=IFERROR(INDEX(Key!$C$2:$C$263,MATCH($D192*100+20,Key!$G$2:$G$263,0)),"#"),1,0))</f>
        <v/>
      </c>
      <c r="BL192">
        <f>IF(OR($D192="",AG192="",21&gt;$F192),0,IF(UPPER(TRIM(AG192))=IFERROR(INDEX(Key!$C$2:$C$263,MATCH($D192*100+21,Key!$G$2:$G$263,0)),"#"),1,0))</f>
        <v/>
      </c>
      <c r="BM192">
        <f>IF(OR($D192="",AH192="",22&gt;$F192),0,IF(UPPER(TRIM(AH192))=IFERROR(INDEX(Key!$C$2:$C$263,MATCH($D192*100+22,Key!$G$2:$G$263,0)),"#"),1,0))</f>
        <v/>
      </c>
      <c r="BN192">
        <f>IF(OR($D192="",AI192="",23&gt;$F192),0,IF(UPPER(TRIM(AI192))=IFERROR(INDEX(Key!$C$2:$C$263,MATCH($D192*100+23,Key!$G$2:$G$263,0)),"#"),1,0))</f>
        <v/>
      </c>
      <c r="BO192">
        <f>IF(OR($D192="",AJ192="",24&gt;$F192),0,IF(UPPER(TRIM(AJ192))=IFERROR(INDEX(Key!$C$2:$C$263,MATCH($D192*100+24,Key!$G$2:$G$263,0)),"#"),1,0))</f>
        <v/>
      </c>
      <c r="BP192">
        <f>IF(OR($D192="",AK192="",25&gt;$F192),0,IF(UPPER(TRIM(AK192))=IFERROR(INDEX(Key!$C$2:$C$263,MATCH($D192*100+25,Key!$G$2:$G$263,0)),"#"),1,0))</f>
        <v/>
      </c>
      <c r="BQ192">
        <f>IF(OR($D192="",AL192="",26&gt;$F192),0,IF(UPPER(TRIM(AL192))=IFERROR(INDEX(Key!$C$2:$C$263,MATCH($D192*100+26,Key!$G$2:$G$263,0)),"#"),1,0))</f>
        <v/>
      </c>
      <c r="BR192">
        <f>IF(OR($D192="",AM192="",27&gt;$F192),0,IF(UPPER(TRIM(AM192))=IFERROR(INDEX(Key!$C$2:$C$263,MATCH($D192*100+27,Key!$G$2:$G$263,0)),"#"),1,0))</f>
        <v/>
      </c>
      <c r="BS192">
        <f>IF(OR($D192="",AN192="",28&gt;$F192),0,IF(UPPER(TRIM(AN192))=IFERROR(INDEX(Key!$C$2:$C$263,MATCH($D192*100+28,Key!$G$2:$G$263,0)),"#"),1,0))</f>
        <v/>
      </c>
      <c r="BT192">
        <f>IF(OR($D192="",AO192="",29&gt;$F192),0,IF(UPPER(TRIM(AO192))=IFERROR(INDEX(Key!$C$2:$C$263,MATCH($D192*100+29,Key!$G$2:$G$263,0)),"#"),1,0))</f>
        <v/>
      </c>
      <c r="BU192">
        <f>IF(OR($D192="",AP192="",30&gt;$F192),0,IF(UPPER(TRIM(AP192))=IFERROR(INDEX(Key!$C$2:$C$263,MATCH($D192*100+30,Key!$G$2:$G$263,0)),"#"),1,0))</f>
        <v/>
      </c>
    </row>
    <row r="193">
      <c r="A193" s="6" t="n"/>
      <c r="B193" s="6" t="n"/>
      <c r="C193" s="6" t="n"/>
      <c r="D193" s="6" t="n"/>
      <c r="E193" s="7">
        <f>IF($D193="","",IFERROR(INDEX(Papers!$B$2:$B$12,MATCH($D193,Papers!$A$2:$A$12,0)),"?"))</f>
        <v/>
      </c>
      <c r="F193" s="7">
        <f>IF($D193="","",IFERROR(INDEX(Papers!$C$2:$C$12,MATCH($D193,Papers!$A$2:$A$12,0)),0))</f>
        <v/>
      </c>
      <c r="G193" s="7">
        <f>IF($D193="","",COUNTIF(M193:AP193,"?*"))</f>
        <v/>
      </c>
      <c r="H193" s="7">
        <f>IF($D193="","",SUM(AR193:BU193))</f>
        <v/>
      </c>
      <c r="I193" s="7">
        <f>IF($D193="","",G193-H193)</f>
        <v/>
      </c>
      <c r="J193" s="7">
        <f>IF($D193="","",F193-G193)</f>
        <v/>
      </c>
      <c r="K193" s="7">
        <f>IF($D193="","",H193)</f>
        <v/>
      </c>
      <c r="L193" s="7">
        <f>IF($D193="","",IF(F193=0,"",ROUND(H193/F193*100,1)))</f>
        <v/>
      </c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R193">
        <f>IF(OR($D193="",M193="",1&gt;$F193),0,IF(UPPER(TRIM(M193))=IFERROR(INDEX(Key!$C$2:$C$263,MATCH($D193*100+1,Key!$G$2:$G$263,0)),"#"),1,0))</f>
        <v/>
      </c>
      <c r="AS193">
        <f>IF(OR($D193="",N193="",2&gt;$F193),0,IF(UPPER(TRIM(N193))=IFERROR(INDEX(Key!$C$2:$C$263,MATCH($D193*100+2,Key!$G$2:$G$263,0)),"#"),1,0))</f>
        <v/>
      </c>
      <c r="AT193">
        <f>IF(OR($D193="",O193="",3&gt;$F193),0,IF(UPPER(TRIM(O193))=IFERROR(INDEX(Key!$C$2:$C$263,MATCH($D193*100+3,Key!$G$2:$G$263,0)),"#"),1,0))</f>
        <v/>
      </c>
      <c r="AU193">
        <f>IF(OR($D193="",P193="",4&gt;$F193),0,IF(UPPER(TRIM(P193))=IFERROR(INDEX(Key!$C$2:$C$263,MATCH($D193*100+4,Key!$G$2:$G$263,0)),"#"),1,0))</f>
        <v/>
      </c>
      <c r="AV193">
        <f>IF(OR($D193="",Q193="",5&gt;$F193),0,IF(UPPER(TRIM(Q193))=IFERROR(INDEX(Key!$C$2:$C$263,MATCH($D193*100+5,Key!$G$2:$G$263,0)),"#"),1,0))</f>
        <v/>
      </c>
      <c r="AW193">
        <f>IF(OR($D193="",R193="",6&gt;$F193),0,IF(UPPER(TRIM(R193))=IFERROR(INDEX(Key!$C$2:$C$263,MATCH($D193*100+6,Key!$G$2:$G$263,0)),"#"),1,0))</f>
        <v/>
      </c>
      <c r="AX193">
        <f>IF(OR($D193="",S193="",7&gt;$F193),0,IF(UPPER(TRIM(S193))=IFERROR(INDEX(Key!$C$2:$C$263,MATCH($D193*100+7,Key!$G$2:$G$263,0)),"#"),1,0))</f>
        <v/>
      </c>
      <c r="AY193">
        <f>IF(OR($D193="",T193="",8&gt;$F193),0,IF(UPPER(TRIM(T193))=IFERROR(INDEX(Key!$C$2:$C$263,MATCH($D193*100+8,Key!$G$2:$G$263,0)),"#"),1,0))</f>
        <v/>
      </c>
      <c r="AZ193">
        <f>IF(OR($D193="",U193="",9&gt;$F193),0,IF(UPPER(TRIM(U193))=IFERROR(INDEX(Key!$C$2:$C$263,MATCH($D193*100+9,Key!$G$2:$G$263,0)),"#"),1,0))</f>
        <v/>
      </c>
      <c r="BA193">
        <f>IF(OR($D193="",V193="",10&gt;$F193),0,IF(UPPER(TRIM(V193))=IFERROR(INDEX(Key!$C$2:$C$263,MATCH($D193*100+10,Key!$G$2:$G$263,0)),"#"),1,0))</f>
        <v/>
      </c>
      <c r="BB193">
        <f>IF(OR($D193="",W193="",11&gt;$F193),0,IF(UPPER(TRIM(W193))=IFERROR(INDEX(Key!$C$2:$C$263,MATCH($D193*100+11,Key!$G$2:$G$263,0)),"#"),1,0))</f>
        <v/>
      </c>
      <c r="BC193">
        <f>IF(OR($D193="",X193="",12&gt;$F193),0,IF(UPPER(TRIM(X193))=IFERROR(INDEX(Key!$C$2:$C$263,MATCH($D193*100+12,Key!$G$2:$G$263,0)),"#"),1,0))</f>
        <v/>
      </c>
      <c r="BD193">
        <f>IF(OR($D193="",Y193="",13&gt;$F193),0,IF(UPPER(TRIM(Y193))=IFERROR(INDEX(Key!$C$2:$C$263,MATCH($D193*100+13,Key!$G$2:$G$263,0)),"#"),1,0))</f>
        <v/>
      </c>
      <c r="BE193">
        <f>IF(OR($D193="",Z193="",14&gt;$F193),0,IF(UPPER(TRIM(Z193))=IFERROR(INDEX(Key!$C$2:$C$263,MATCH($D193*100+14,Key!$G$2:$G$263,0)),"#"),1,0))</f>
        <v/>
      </c>
      <c r="BF193">
        <f>IF(OR($D193="",AA193="",15&gt;$F193),0,IF(UPPER(TRIM(AA193))=IFERROR(INDEX(Key!$C$2:$C$263,MATCH($D193*100+15,Key!$G$2:$G$263,0)),"#"),1,0))</f>
        <v/>
      </c>
      <c r="BG193">
        <f>IF(OR($D193="",AB193="",16&gt;$F193),0,IF(UPPER(TRIM(AB193))=IFERROR(INDEX(Key!$C$2:$C$263,MATCH($D193*100+16,Key!$G$2:$G$263,0)),"#"),1,0))</f>
        <v/>
      </c>
      <c r="BH193">
        <f>IF(OR($D193="",AC193="",17&gt;$F193),0,IF(UPPER(TRIM(AC193))=IFERROR(INDEX(Key!$C$2:$C$263,MATCH($D193*100+17,Key!$G$2:$G$263,0)),"#"),1,0))</f>
        <v/>
      </c>
      <c r="BI193">
        <f>IF(OR($D193="",AD193="",18&gt;$F193),0,IF(UPPER(TRIM(AD193))=IFERROR(INDEX(Key!$C$2:$C$263,MATCH($D193*100+18,Key!$G$2:$G$263,0)),"#"),1,0))</f>
        <v/>
      </c>
      <c r="BJ193">
        <f>IF(OR($D193="",AE193="",19&gt;$F193),0,IF(UPPER(TRIM(AE193))=IFERROR(INDEX(Key!$C$2:$C$263,MATCH($D193*100+19,Key!$G$2:$G$263,0)),"#"),1,0))</f>
        <v/>
      </c>
      <c r="BK193">
        <f>IF(OR($D193="",AF193="",20&gt;$F193),0,IF(UPPER(TRIM(AF193))=IFERROR(INDEX(Key!$C$2:$C$263,MATCH($D193*100+20,Key!$G$2:$G$263,0)),"#"),1,0))</f>
        <v/>
      </c>
      <c r="BL193">
        <f>IF(OR($D193="",AG193="",21&gt;$F193),0,IF(UPPER(TRIM(AG193))=IFERROR(INDEX(Key!$C$2:$C$263,MATCH($D193*100+21,Key!$G$2:$G$263,0)),"#"),1,0))</f>
        <v/>
      </c>
      <c r="BM193">
        <f>IF(OR($D193="",AH193="",22&gt;$F193),0,IF(UPPER(TRIM(AH193))=IFERROR(INDEX(Key!$C$2:$C$263,MATCH($D193*100+22,Key!$G$2:$G$263,0)),"#"),1,0))</f>
        <v/>
      </c>
      <c r="BN193">
        <f>IF(OR($D193="",AI193="",23&gt;$F193),0,IF(UPPER(TRIM(AI193))=IFERROR(INDEX(Key!$C$2:$C$263,MATCH($D193*100+23,Key!$G$2:$G$263,0)),"#"),1,0))</f>
        <v/>
      </c>
      <c r="BO193">
        <f>IF(OR($D193="",AJ193="",24&gt;$F193),0,IF(UPPER(TRIM(AJ193))=IFERROR(INDEX(Key!$C$2:$C$263,MATCH($D193*100+24,Key!$G$2:$G$263,0)),"#"),1,0))</f>
        <v/>
      </c>
      <c r="BP193">
        <f>IF(OR($D193="",AK193="",25&gt;$F193),0,IF(UPPER(TRIM(AK193))=IFERROR(INDEX(Key!$C$2:$C$263,MATCH($D193*100+25,Key!$G$2:$G$263,0)),"#"),1,0))</f>
        <v/>
      </c>
      <c r="BQ193">
        <f>IF(OR($D193="",AL193="",26&gt;$F193),0,IF(UPPER(TRIM(AL193))=IFERROR(INDEX(Key!$C$2:$C$263,MATCH($D193*100+26,Key!$G$2:$G$263,0)),"#"),1,0))</f>
        <v/>
      </c>
      <c r="BR193">
        <f>IF(OR($D193="",AM193="",27&gt;$F193),0,IF(UPPER(TRIM(AM193))=IFERROR(INDEX(Key!$C$2:$C$263,MATCH($D193*100+27,Key!$G$2:$G$263,0)),"#"),1,0))</f>
        <v/>
      </c>
      <c r="BS193">
        <f>IF(OR($D193="",AN193="",28&gt;$F193),0,IF(UPPER(TRIM(AN193))=IFERROR(INDEX(Key!$C$2:$C$263,MATCH($D193*100+28,Key!$G$2:$G$263,0)),"#"),1,0))</f>
        <v/>
      </c>
      <c r="BT193">
        <f>IF(OR($D193="",AO193="",29&gt;$F193),0,IF(UPPER(TRIM(AO193))=IFERROR(INDEX(Key!$C$2:$C$263,MATCH($D193*100+29,Key!$G$2:$G$263,0)),"#"),1,0))</f>
        <v/>
      </c>
      <c r="BU193">
        <f>IF(OR($D193="",AP193="",30&gt;$F193),0,IF(UPPER(TRIM(AP193))=IFERROR(INDEX(Key!$C$2:$C$263,MATCH($D193*100+30,Key!$G$2:$G$263,0)),"#"),1,0))</f>
        <v/>
      </c>
    </row>
    <row r="194">
      <c r="A194" s="6" t="n"/>
      <c r="B194" s="6" t="n"/>
      <c r="C194" s="6" t="n"/>
      <c r="D194" s="6" t="n"/>
      <c r="E194" s="7">
        <f>IF($D194="","",IFERROR(INDEX(Papers!$B$2:$B$12,MATCH($D194,Papers!$A$2:$A$12,0)),"?"))</f>
        <v/>
      </c>
      <c r="F194" s="7">
        <f>IF($D194="","",IFERROR(INDEX(Papers!$C$2:$C$12,MATCH($D194,Papers!$A$2:$A$12,0)),0))</f>
        <v/>
      </c>
      <c r="G194" s="7">
        <f>IF($D194="","",COUNTIF(M194:AP194,"?*"))</f>
        <v/>
      </c>
      <c r="H194" s="7">
        <f>IF($D194="","",SUM(AR194:BU194))</f>
        <v/>
      </c>
      <c r="I194" s="7">
        <f>IF($D194="","",G194-H194)</f>
        <v/>
      </c>
      <c r="J194" s="7">
        <f>IF($D194="","",F194-G194)</f>
        <v/>
      </c>
      <c r="K194" s="7">
        <f>IF($D194="","",H194)</f>
        <v/>
      </c>
      <c r="L194" s="7">
        <f>IF($D194="","",IF(F194=0,"",ROUND(H194/F194*100,1)))</f>
        <v/>
      </c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R194">
        <f>IF(OR($D194="",M194="",1&gt;$F194),0,IF(UPPER(TRIM(M194))=IFERROR(INDEX(Key!$C$2:$C$263,MATCH($D194*100+1,Key!$G$2:$G$263,0)),"#"),1,0))</f>
        <v/>
      </c>
      <c r="AS194">
        <f>IF(OR($D194="",N194="",2&gt;$F194),0,IF(UPPER(TRIM(N194))=IFERROR(INDEX(Key!$C$2:$C$263,MATCH($D194*100+2,Key!$G$2:$G$263,0)),"#"),1,0))</f>
        <v/>
      </c>
      <c r="AT194">
        <f>IF(OR($D194="",O194="",3&gt;$F194),0,IF(UPPER(TRIM(O194))=IFERROR(INDEX(Key!$C$2:$C$263,MATCH($D194*100+3,Key!$G$2:$G$263,0)),"#"),1,0))</f>
        <v/>
      </c>
      <c r="AU194">
        <f>IF(OR($D194="",P194="",4&gt;$F194),0,IF(UPPER(TRIM(P194))=IFERROR(INDEX(Key!$C$2:$C$263,MATCH($D194*100+4,Key!$G$2:$G$263,0)),"#"),1,0))</f>
        <v/>
      </c>
      <c r="AV194">
        <f>IF(OR($D194="",Q194="",5&gt;$F194),0,IF(UPPER(TRIM(Q194))=IFERROR(INDEX(Key!$C$2:$C$263,MATCH($D194*100+5,Key!$G$2:$G$263,0)),"#"),1,0))</f>
        <v/>
      </c>
      <c r="AW194">
        <f>IF(OR($D194="",R194="",6&gt;$F194),0,IF(UPPER(TRIM(R194))=IFERROR(INDEX(Key!$C$2:$C$263,MATCH($D194*100+6,Key!$G$2:$G$263,0)),"#"),1,0))</f>
        <v/>
      </c>
      <c r="AX194">
        <f>IF(OR($D194="",S194="",7&gt;$F194),0,IF(UPPER(TRIM(S194))=IFERROR(INDEX(Key!$C$2:$C$263,MATCH($D194*100+7,Key!$G$2:$G$263,0)),"#"),1,0))</f>
        <v/>
      </c>
      <c r="AY194">
        <f>IF(OR($D194="",T194="",8&gt;$F194),0,IF(UPPER(TRIM(T194))=IFERROR(INDEX(Key!$C$2:$C$263,MATCH($D194*100+8,Key!$G$2:$G$263,0)),"#"),1,0))</f>
        <v/>
      </c>
      <c r="AZ194">
        <f>IF(OR($D194="",U194="",9&gt;$F194),0,IF(UPPER(TRIM(U194))=IFERROR(INDEX(Key!$C$2:$C$263,MATCH($D194*100+9,Key!$G$2:$G$263,0)),"#"),1,0))</f>
        <v/>
      </c>
      <c r="BA194">
        <f>IF(OR($D194="",V194="",10&gt;$F194),0,IF(UPPER(TRIM(V194))=IFERROR(INDEX(Key!$C$2:$C$263,MATCH($D194*100+10,Key!$G$2:$G$263,0)),"#"),1,0))</f>
        <v/>
      </c>
      <c r="BB194">
        <f>IF(OR($D194="",W194="",11&gt;$F194),0,IF(UPPER(TRIM(W194))=IFERROR(INDEX(Key!$C$2:$C$263,MATCH($D194*100+11,Key!$G$2:$G$263,0)),"#"),1,0))</f>
        <v/>
      </c>
      <c r="BC194">
        <f>IF(OR($D194="",X194="",12&gt;$F194),0,IF(UPPER(TRIM(X194))=IFERROR(INDEX(Key!$C$2:$C$263,MATCH($D194*100+12,Key!$G$2:$G$263,0)),"#"),1,0))</f>
        <v/>
      </c>
      <c r="BD194">
        <f>IF(OR($D194="",Y194="",13&gt;$F194),0,IF(UPPER(TRIM(Y194))=IFERROR(INDEX(Key!$C$2:$C$263,MATCH($D194*100+13,Key!$G$2:$G$263,0)),"#"),1,0))</f>
        <v/>
      </c>
      <c r="BE194">
        <f>IF(OR($D194="",Z194="",14&gt;$F194),0,IF(UPPER(TRIM(Z194))=IFERROR(INDEX(Key!$C$2:$C$263,MATCH($D194*100+14,Key!$G$2:$G$263,0)),"#"),1,0))</f>
        <v/>
      </c>
      <c r="BF194">
        <f>IF(OR($D194="",AA194="",15&gt;$F194),0,IF(UPPER(TRIM(AA194))=IFERROR(INDEX(Key!$C$2:$C$263,MATCH($D194*100+15,Key!$G$2:$G$263,0)),"#"),1,0))</f>
        <v/>
      </c>
      <c r="BG194">
        <f>IF(OR($D194="",AB194="",16&gt;$F194),0,IF(UPPER(TRIM(AB194))=IFERROR(INDEX(Key!$C$2:$C$263,MATCH($D194*100+16,Key!$G$2:$G$263,0)),"#"),1,0))</f>
        <v/>
      </c>
      <c r="BH194">
        <f>IF(OR($D194="",AC194="",17&gt;$F194),0,IF(UPPER(TRIM(AC194))=IFERROR(INDEX(Key!$C$2:$C$263,MATCH($D194*100+17,Key!$G$2:$G$263,0)),"#"),1,0))</f>
        <v/>
      </c>
      <c r="BI194">
        <f>IF(OR($D194="",AD194="",18&gt;$F194),0,IF(UPPER(TRIM(AD194))=IFERROR(INDEX(Key!$C$2:$C$263,MATCH($D194*100+18,Key!$G$2:$G$263,0)),"#"),1,0))</f>
        <v/>
      </c>
      <c r="BJ194">
        <f>IF(OR($D194="",AE194="",19&gt;$F194),0,IF(UPPER(TRIM(AE194))=IFERROR(INDEX(Key!$C$2:$C$263,MATCH($D194*100+19,Key!$G$2:$G$263,0)),"#"),1,0))</f>
        <v/>
      </c>
      <c r="BK194">
        <f>IF(OR($D194="",AF194="",20&gt;$F194),0,IF(UPPER(TRIM(AF194))=IFERROR(INDEX(Key!$C$2:$C$263,MATCH($D194*100+20,Key!$G$2:$G$263,0)),"#"),1,0))</f>
        <v/>
      </c>
      <c r="BL194">
        <f>IF(OR($D194="",AG194="",21&gt;$F194),0,IF(UPPER(TRIM(AG194))=IFERROR(INDEX(Key!$C$2:$C$263,MATCH($D194*100+21,Key!$G$2:$G$263,0)),"#"),1,0))</f>
        <v/>
      </c>
      <c r="BM194">
        <f>IF(OR($D194="",AH194="",22&gt;$F194),0,IF(UPPER(TRIM(AH194))=IFERROR(INDEX(Key!$C$2:$C$263,MATCH($D194*100+22,Key!$G$2:$G$263,0)),"#"),1,0))</f>
        <v/>
      </c>
      <c r="BN194">
        <f>IF(OR($D194="",AI194="",23&gt;$F194),0,IF(UPPER(TRIM(AI194))=IFERROR(INDEX(Key!$C$2:$C$263,MATCH($D194*100+23,Key!$G$2:$G$263,0)),"#"),1,0))</f>
        <v/>
      </c>
      <c r="BO194">
        <f>IF(OR($D194="",AJ194="",24&gt;$F194),0,IF(UPPER(TRIM(AJ194))=IFERROR(INDEX(Key!$C$2:$C$263,MATCH($D194*100+24,Key!$G$2:$G$263,0)),"#"),1,0))</f>
        <v/>
      </c>
      <c r="BP194">
        <f>IF(OR($D194="",AK194="",25&gt;$F194),0,IF(UPPER(TRIM(AK194))=IFERROR(INDEX(Key!$C$2:$C$263,MATCH($D194*100+25,Key!$G$2:$G$263,0)),"#"),1,0))</f>
        <v/>
      </c>
      <c r="BQ194">
        <f>IF(OR($D194="",AL194="",26&gt;$F194),0,IF(UPPER(TRIM(AL194))=IFERROR(INDEX(Key!$C$2:$C$263,MATCH($D194*100+26,Key!$G$2:$G$263,0)),"#"),1,0))</f>
        <v/>
      </c>
      <c r="BR194">
        <f>IF(OR($D194="",AM194="",27&gt;$F194),0,IF(UPPER(TRIM(AM194))=IFERROR(INDEX(Key!$C$2:$C$263,MATCH($D194*100+27,Key!$G$2:$G$263,0)),"#"),1,0))</f>
        <v/>
      </c>
      <c r="BS194">
        <f>IF(OR($D194="",AN194="",28&gt;$F194),0,IF(UPPER(TRIM(AN194))=IFERROR(INDEX(Key!$C$2:$C$263,MATCH($D194*100+28,Key!$G$2:$G$263,0)),"#"),1,0))</f>
        <v/>
      </c>
      <c r="BT194">
        <f>IF(OR($D194="",AO194="",29&gt;$F194),0,IF(UPPER(TRIM(AO194))=IFERROR(INDEX(Key!$C$2:$C$263,MATCH($D194*100+29,Key!$G$2:$G$263,0)),"#"),1,0))</f>
        <v/>
      </c>
      <c r="BU194">
        <f>IF(OR($D194="",AP194="",30&gt;$F194),0,IF(UPPER(TRIM(AP194))=IFERROR(INDEX(Key!$C$2:$C$263,MATCH($D194*100+30,Key!$G$2:$G$263,0)),"#"),1,0))</f>
        <v/>
      </c>
    </row>
    <row r="195">
      <c r="A195" s="6" t="n"/>
      <c r="B195" s="6" t="n"/>
      <c r="C195" s="6" t="n"/>
      <c r="D195" s="6" t="n"/>
      <c r="E195" s="7">
        <f>IF($D195="","",IFERROR(INDEX(Papers!$B$2:$B$12,MATCH($D195,Papers!$A$2:$A$12,0)),"?"))</f>
        <v/>
      </c>
      <c r="F195" s="7">
        <f>IF($D195="","",IFERROR(INDEX(Papers!$C$2:$C$12,MATCH($D195,Papers!$A$2:$A$12,0)),0))</f>
        <v/>
      </c>
      <c r="G195" s="7">
        <f>IF($D195="","",COUNTIF(M195:AP195,"?*"))</f>
        <v/>
      </c>
      <c r="H195" s="7">
        <f>IF($D195="","",SUM(AR195:BU195))</f>
        <v/>
      </c>
      <c r="I195" s="7">
        <f>IF($D195="","",G195-H195)</f>
        <v/>
      </c>
      <c r="J195" s="7">
        <f>IF($D195="","",F195-G195)</f>
        <v/>
      </c>
      <c r="K195" s="7">
        <f>IF($D195="","",H195)</f>
        <v/>
      </c>
      <c r="L195" s="7">
        <f>IF($D195="","",IF(F195=0,"",ROUND(H195/F195*100,1)))</f>
        <v/>
      </c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R195">
        <f>IF(OR($D195="",M195="",1&gt;$F195),0,IF(UPPER(TRIM(M195))=IFERROR(INDEX(Key!$C$2:$C$263,MATCH($D195*100+1,Key!$G$2:$G$263,0)),"#"),1,0))</f>
        <v/>
      </c>
      <c r="AS195">
        <f>IF(OR($D195="",N195="",2&gt;$F195),0,IF(UPPER(TRIM(N195))=IFERROR(INDEX(Key!$C$2:$C$263,MATCH($D195*100+2,Key!$G$2:$G$263,0)),"#"),1,0))</f>
        <v/>
      </c>
      <c r="AT195">
        <f>IF(OR($D195="",O195="",3&gt;$F195),0,IF(UPPER(TRIM(O195))=IFERROR(INDEX(Key!$C$2:$C$263,MATCH($D195*100+3,Key!$G$2:$G$263,0)),"#"),1,0))</f>
        <v/>
      </c>
      <c r="AU195">
        <f>IF(OR($D195="",P195="",4&gt;$F195),0,IF(UPPER(TRIM(P195))=IFERROR(INDEX(Key!$C$2:$C$263,MATCH($D195*100+4,Key!$G$2:$G$263,0)),"#"),1,0))</f>
        <v/>
      </c>
      <c r="AV195">
        <f>IF(OR($D195="",Q195="",5&gt;$F195),0,IF(UPPER(TRIM(Q195))=IFERROR(INDEX(Key!$C$2:$C$263,MATCH($D195*100+5,Key!$G$2:$G$263,0)),"#"),1,0))</f>
        <v/>
      </c>
      <c r="AW195">
        <f>IF(OR($D195="",R195="",6&gt;$F195),0,IF(UPPER(TRIM(R195))=IFERROR(INDEX(Key!$C$2:$C$263,MATCH($D195*100+6,Key!$G$2:$G$263,0)),"#"),1,0))</f>
        <v/>
      </c>
      <c r="AX195">
        <f>IF(OR($D195="",S195="",7&gt;$F195),0,IF(UPPER(TRIM(S195))=IFERROR(INDEX(Key!$C$2:$C$263,MATCH($D195*100+7,Key!$G$2:$G$263,0)),"#"),1,0))</f>
        <v/>
      </c>
      <c r="AY195">
        <f>IF(OR($D195="",T195="",8&gt;$F195),0,IF(UPPER(TRIM(T195))=IFERROR(INDEX(Key!$C$2:$C$263,MATCH($D195*100+8,Key!$G$2:$G$263,0)),"#"),1,0))</f>
        <v/>
      </c>
      <c r="AZ195">
        <f>IF(OR($D195="",U195="",9&gt;$F195),0,IF(UPPER(TRIM(U195))=IFERROR(INDEX(Key!$C$2:$C$263,MATCH($D195*100+9,Key!$G$2:$G$263,0)),"#"),1,0))</f>
        <v/>
      </c>
      <c r="BA195">
        <f>IF(OR($D195="",V195="",10&gt;$F195),0,IF(UPPER(TRIM(V195))=IFERROR(INDEX(Key!$C$2:$C$263,MATCH($D195*100+10,Key!$G$2:$G$263,0)),"#"),1,0))</f>
        <v/>
      </c>
      <c r="BB195">
        <f>IF(OR($D195="",W195="",11&gt;$F195),0,IF(UPPER(TRIM(W195))=IFERROR(INDEX(Key!$C$2:$C$263,MATCH($D195*100+11,Key!$G$2:$G$263,0)),"#"),1,0))</f>
        <v/>
      </c>
      <c r="BC195">
        <f>IF(OR($D195="",X195="",12&gt;$F195),0,IF(UPPER(TRIM(X195))=IFERROR(INDEX(Key!$C$2:$C$263,MATCH($D195*100+12,Key!$G$2:$G$263,0)),"#"),1,0))</f>
        <v/>
      </c>
      <c r="BD195">
        <f>IF(OR($D195="",Y195="",13&gt;$F195),0,IF(UPPER(TRIM(Y195))=IFERROR(INDEX(Key!$C$2:$C$263,MATCH($D195*100+13,Key!$G$2:$G$263,0)),"#"),1,0))</f>
        <v/>
      </c>
      <c r="BE195">
        <f>IF(OR($D195="",Z195="",14&gt;$F195),0,IF(UPPER(TRIM(Z195))=IFERROR(INDEX(Key!$C$2:$C$263,MATCH($D195*100+14,Key!$G$2:$G$263,0)),"#"),1,0))</f>
        <v/>
      </c>
      <c r="BF195">
        <f>IF(OR($D195="",AA195="",15&gt;$F195),0,IF(UPPER(TRIM(AA195))=IFERROR(INDEX(Key!$C$2:$C$263,MATCH($D195*100+15,Key!$G$2:$G$263,0)),"#"),1,0))</f>
        <v/>
      </c>
      <c r="BG195">
        <f>IF(OR($D195="",AB195="",16&gt;$F195),0,IF(UPPER(TRIM(AB195))=IFERROR(INDEX(Key!$C$2:$C$263,MATCH($D195*100+16,Key!$G$2:$G$263,0)),"#"),1,0))</f>
        <v/>
      </c>
      <c r="BH195">
        <f>IF(OR($D195="",AC195="",17&gt;$F195),0,IF(UPPER(TRIM(AC195))=IFERROR(INDEX(Key!$C$2:$C$263,MATCH($D195*100+17,Key!$G$2:$G$263,0)),"#"),1,0))</f>
        <v/>
      </c>
      <c r="BI195">
        <f>IF(OR($D195="",AD195="",18&gt;$F195),0,IF(UPPER(TRIM(AD195))=IFERROR(INDEX(Key!$C$2:$C$263,MATCH($D195*100+18,Key!$G$2:$G$263,0)),"#"),1,0))</f>
        <v/>
      </c>
      <c r="BJ195">
        <f>IF(OR($D195="",AE195="",19&gt;$F195),0,IF(UPPER(TRIM(AE195))=IFERROR(INDEX(Key!$C$2:$C$263,MATCH($D195*100+19,Key!$G$2:$G$263,0)),"#"),1,0))</f>
        <v/>
      </c>
      <c r="BK195">
        <f>IF(OR($D195="",AF195="",20&gt;$F195),0,IF(UPPER(TRIM(AF195))=IFERROR(INDEX(Key!$C$2:$C$263,MATCH($D195*100+20,Key!$G$2:$G$263,0)),"#"),1,0))</f>
        <v/>
      </c>
      <c r="BL195">
        <f>IF(OR($D195="",AG195="",21&gt;$F195),0,IF(UPPER(TRIM(AG195))=IFERROR(INDEX(Key!$C$2:$C$263,MATCH($D195*100+21,Key!$G$2:$G$263,0)),"#"),1,0))</f>
        <v/>
      </c>
      <c r="BM195">
        <f>IF(OR($D195="",AH195="",22&gt;$F195),0,IF(UPPER(TRIM(AH195))=IFERROR(INDEX(Key!$C$2:$C$263,MATCH($D195*100+22,Key!$G$2:$G$263,0)),"#"),1,0))</f>
        <v/>
      </c>
      <c r="BN195">
        <f>IF(OR($D195="",AI195="",23&gt;$F195),0,IF(UPPER(TRIM(AI195))=IFERROR(INDEX(Key!$C$2:$C$263,MATCH($D195*100+23,Key!$G$2:$G$263,0)),"#"),1,0))</f>
        <v/>
      </c>
      <c r="BO195">
        <f>IF(OR($D195="",AJ195="",24&gt;$F195),0,IF(UPPER(TRIM(AJ195))=IFERROR(INDEX(Key!$C$2:$C$263,MATCH($D195*100+24,Key!$G$2:$G$263,0)),"#"),1,0))</f>
        <v/>
      </c>
      <c r="BP195">
        <f>IF(OR($D195="",AK195="",25&gt;$F195),0,IF(UPPER(TRIM(AK195))=IFERROR(INDEX(Key!$C$2:$C$263,MATCH($D195*100+25,Key!$G$2:$G$263,0)),"#"),1,0))</f>
        <v/>
      </c>
      <c r="BQ195">
        <f>IF(OR($D195="",AL195="",26&gt;$F195),0,IF(UPPER(TRIM(AL195))=IFERROR(INDEX(Key!$C$2:$C$263,MATCH($D195*100+26,Key!$G$2:$G$263,0)),"#"),1,0))</f>
        <v/>
      </c>
      <c r="BR195">
        <f>IF(OR($D195="",AM195="",27&gt;$F195),0,IF(UPPER(TRIM(AM195))=IFERROR(INDEX(Key!$C$2:$C$263,MATCH($D195*100+27,Key!$G$2:$G$263,0)),"#"),1,0))</f>
        <v/>
      </c>
      <c r="BS195">
        <f>IF(OR($D195="",AN195="",28&gt;$F195),0,IF(UPPER(TRIM(AN195))=IFERROR(INDEX(Key!$C$2:$C$263,MATCH($D195*100+28,Key!$G$2:$G$263,0)),"#"),1,0))</f>
        <v/>
      </c>
      <c r="BT195">
        <f>IF(OR($D195="",AO195="",29&gt;$F195),0,IF(UPPER(TRIM(AO195))=IFERROR(INDEX(Key!$C$2:$C$263,MATCH($D195*100+29,Key!$G$2:$G$263,0)),"#"),1,0))</f>
        <v/>
      </c>
      <c r="BU195">
        <f>IF(OR($D195="",AP195="",30&gt;$F195),0,IF(UPPER(TRIM(AP195))=IFERROR(INDEX(Key!$C$2:$C$263,MATCH($D195*100+30,Key!$G$2:$G$263,0)),"#"),1,0))</f>
        <v/>
      </c>
    </row>
    <row r="196">
      <c r="A196" s="6" t="n"/>
      <c r="B196" s="6" t="n"/>
      <c r="C196" s="6" t="n"/>
      <c r="D196" s="6" t="n"/>
      <c r="E196" s="7">
        <f>IF($D196="","",IFERROR(INDEX(Papers!$B$2:$B$12,MATCH($D196,Papers!$A$2:$A$12,0)),"?"))</f>
        <v/>
      </c>
      <c r="F196" s="7">
        <f>IF($D196="","",IFERROR(INDEX(Papers!$C$2:$C$12,MATCH($D196,Papers!$A$2:$A$12,0)),0))</f>
        <v/>
      </c>
      <c r="G196" s="7">
        <f>IF($D196="","",COUNTIF(M196:AP196,"?*"))</f>
        <v/>
      </c>
      <c r="H196" s="7">
        <f>IF($D196="","",SUM(AR196:BU196))</f>
        <v/>
      </c>
      <c r="I196" s="7">
        <f>IF($D196="","",G196-H196)</f>
        <v/>
      </c>
      <c r="J196" s="7">
        <f>IF($D196="","",F196-G196)</f>
        <v/>
      </c>
      <c r="K196" s="7">
        <f>IF($D196="","",H196)</f>
        <v/>
      </c>
      <c r="L196" s="7">
        <f>IF($D196="","",IF(F196=0,"",ROUND(H196/F196*100,1)))</f>
        <v/>
      </c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R196">
        <f>IF(OR($D196="",M196="",1&gt;$F196),0,IF(UPPER(TRIM(M196))=IFERROR(INDEX(Key!$C$2:$C$263,MATCH($D196*100+1,Key!$G$2:$G$263,0)),"#"),1,0))</f>
        <v/>
      </c>
      <c r="AS196">
        <f>IF(OR($D196="",N196="",2&gt;$F196),0,IF(UPPER(TRIM(N196))=IFERROR(INDEX(Key!$C$2:$C$263,MATCH($D196*100+2,Key!$G$2:$G$263,0)),"#"),1,0))</f>
        <v/>
      </c>
      <c r="AT196">
        <f>IF(OR($D196="",O196="",3&gt;$F196),0,IF(UPPER(TRIM(O196))=IFERROR(INDEX(Key!$C$2:$C$263,MATCH($D196*100+3,Key!$G$2:$G$263,0)),"#"),1,0))</f>
        <v/>
      </c>
      <c r="AU196">
        <f>IF(OR($D196="",P196="",4&gt;$F196),0,IF(UPPER(TRIM(P196))=IFERROR(INDEX(Key!$C$2:$C$263,MATCH($D196*100+4,Key!$G$2:$G$263,0)),"#"),1,0))</f>
        <v/>
      </c>
      <c r="AV196">
        <f>IF(OR($D196="",Q196="",5&gt;$F196),0,IF(UPPER(TRIM(Q196))=IFERROR(INDEX(Key!$C$2:$C$263,MATCH($D196*100+5,Key!$G$2:$G$263,0)),"#"),1,0))</f>
        <v/>
      </c>
      <c r="AW196">
        <f>IF(OR($D196="",R196="",6&gt;$F196),0,IF(UPPER(TRIM(R196))=IFERROR(INDEX(Key!$C$2:$C$263,MATCH($D196*100+6,Key!$G$2:$G$263,0)),"#"),1,0))</f>
        <v/>
      </c>
      <c r="AX196">
        <f>IF(OR($D196="",S196="",7&gt;$F196),0,IF(UPPER(TRIM(S196))=IFERROR(INDEX(Key!$C$2:$C$263,MATCH($D196*100+7,Key!$G$2:$G$263,0)),"#"),1,0))</f>
        <v/>
      </c>
      <c r="AY196">
        <f>IF(OR($D196="",T196="",8&gt;$F196),0,IF(UPPER(TRIM(T196))=IFERROR(INDEX(Key!$C$2:$C$263,MATCH($D196*100+8,Key!$G$2:$G$263,0)),"#"),1,0))</f>
        <v/>
      </c>
      <c r="AZ196">
        <f>IF(OR($D196="",U196="",9&gt;$F196),0,IF(UPPER(TRIM(U196))=IFERROR(INDEX(Key!$C$2:$C$263,MATCH($D196*100+9,Key!$G$2:$G$263,0)),"#"),1,0))</f>
        <v/>
      </c>
      <c r="BA196">
        <f>IF(OR($D196="",V196="",10&gt;$F196),0,IF(UPPER(TRIM(V196))=IFERROR(INDEX(Key!$C$2:$C$263,MATCH($D196*100+10,Key!$G$2:$G$263,0)),"#"),1,0))</f>
        <v/>
      </c>
      <c r="BB196">
        <f>IF(OR($D196="",W196="",11&gt;$F196),0,IF(UPPER(TRIM(W196))=IFERROR(INDEX(Key!$C$2:$C$263,MATCH($D196*100+11,Key!$G$2:$G$263,0)),"#"),1,0))</f>
        <v/>
      </c>
      <c r="BC196">
        <f>IF(OR($D196="",X196="",12&gt;$F196),0,IF(UPPER(TRIM(X196))=IFERROR(INDEX(Key!$C$2:$C$263,MATCH($D196*100+12,Key!$G$2:$G$263,0)),"#"),1,0))</f>
        <v/>
      </c>
      <c r="BD196">
        <f>IF(OR($D196="",Y196="",13&gt;$F196),0,IF(UPPER(TRIM(Y196))=IFERROR(INDEX(Key!$C$2:$C$263,MATCH($D196*100+13,Key!$G$2:$G$263,0)),"#"),1,0))</f>
        <v/>
      </c>
      <c r="BE196">
        <f>IF(OR($D196="",Z196="",14&gt;$F196),0,IF(UPPER(TRIM(Z196))=IFERROR(INDEX(Key!$C$2:$C$263,MATCH($D196*100+14,Key!$G$2:$G$263,0)),"#"),1,0))</f>
        <v/>
      </c>
      <c r="BF196">
        <f>IF(OR($D196="",AA196="",15&gt;$F196),0,IF(UPPER(TRIM(AA196))=IFERROR(INDEX(Key!$C$2:$C$263,MATCH($D196*100+15,Key!$G$2:$G$263,0)),"#"),1,0))</f>
        <v/>
      </c>
      <c r="BG196">
        <f>IF(OR($D196="",AB196="",16&gt;$F196),0,IF(UPPER(TRIM(AB196))=IFERROR(INDEX(Key!$C$2:$C$263,MATCH($D196*100+16,Key!$G$2:$G$263,0)),"#"),1,0))</f>
        <v/>
      </c>
      <c r="BH196">
        <f>IF(OR($D196="",AC196="",17&gt;$F196),0,IF(UPPER(TRIM(AC196))=IFERROR(INDEX(Key!$C$2:$C$263,MATCH($D196*100+17,Key!$G$2:$G$263,0)),"#"),1,0))</f>
        <v/>
      </c>
      <c r="BI196">
        <f>IF(OR($D196="",AD196="",18&gt;$F196),0,IF(UPPER(TRIM(AD196))=IFERROR(INDEX(Key!$C$2:$C$263,MATCH($D196*100+18,Key!$G$2:$G$263,0)),"#"),1,0))</f>
        <v/>
      </c>
      <c r="BJ196">
        <f>IF(OR($D196="",AE196="",19&gt;$F196),0,IF(UPPER(TRIM(AE196))=IFERROR(INDEX(Key!$C$2:$C$263,MATCH($D196*100+19,Key!$G$2:$G$263,0)),"#"),1,0))</f>
        <v/>
      </c>
      <c r="BK196">
        <f>IF(OR($D196="",AF196="",20&gt;$F196),0,IF(UPPER(TRIM(AF196))=IFERROR(INDEX(Key!$C$2:$C$263,MATCH($D196*100+20,Key!$G$2:$G$263,0)),"#"),1,0))</f>
        <v/>
      </c>
      <c r="BL196">
        <f>IF(OR($D196="",AG196="",21&gt;$F196),0,IF(UPPER(TRIM(AG196))=IFERROR(INDEX(Key!$C$2:$C$263,MATCH($D196*100+21,Key!$G$2:$G$263,0)),"#"),1,0))</f>
        <v/>
      </c>
      <c r="BM196">
        <f>IF(OR($D196="",AH196="",22&gt;$F196),0,IF(UPPER(TRIM(AH196))=IFERROR(INDEX(Key!$C$2:$C$263,MATCH($D196*100+22,Key!$G$2:$G$263,0)),"#"),1,0))</f>
        <v/>
      </c>
      <c r="BN196">
        <f>IF(OR($D196="",AI196="",23&gt;$F196),0,IF(UPPER(TRIM(AI196))=IFERROR(INDEX(Key!$C$2:$C$263,MATCH($D196*100+23,Key!$G$2:$G$263,0)),"#"),1,0))</f>
        <v/>
      </c>
      <c r="BO196">
        <f>IF(OR($D196="",AJ196="",24&gt;$F196),0,IF(UPPER(TRIM(AJ196))=IFERROR(INDEX(Key!$C$2:$C$263,MATCH($D196*100+24,Key!$G$2:$G$263,0)),"#"),1,0))</f>
        <v/>
      </c>
      <c r="BP196">
        <f>IF(OR($D196="",AK196="",25&gt;$F196),0,IF(UPPER(TRIM(AK196))=IFERROR(INDEX(Key!$C$2:$C$263,MATCH($D196*100+25,Key!$G$2:$G$263,0)),"#"),1,0))</f>
        <v/>
      </c>
      <c r="BQ196">
        <f>IF(OR($D196="",AL196="",26&gt;$F196),0,IF(UPPER(TRIM(AL196))=IFERROR(INDEX(Key!$C$2:$C$263,MATCH($D196*100+26,Key!$G$2:$G$263,0)),"#"),1,0))</f>
        <v/>
      </c>
      <c r="BR196">
        <f>IF(OR($D196="",AM196="",27&gt;$F196),0,IF(UPPER(TRIM(AM196))=IFERROR(INDEX(Key!$C$2:$C$263,MATCH($D196*100+27,Key!$G$2:$G$263,0)),"#"),1,0))</f>
        <v/>
      </c>
      <c r="BS196">
        <f>IF(OR($D196="",AN196="",28&gt;$F196),0,IF(UPPER(TRIM(AN196))=IFERROR(INDEX(Key!$C$2:$C$263,MATCH($D196*100+28,Key!$G$2:$G$263,0)),"#"),1,0))</f>
        <v/>
      </c>
      <c r="BT196">
        <f>IF(OR($D196="",AO196="",29&gt;$F196),0,IF(UPPER(TRIM(AO196))=IFERROR(INDEX(Key!$C$2:$C$263,MATCH($D196*100+29,Key!$G$2:$G$263,0)),"#"),1,0))</f>
        <v/>
      </c>
      <c r="BU196">
        <f>IF(OR($D196="",AP196="",30&gt;$F196),0,IF(UPPER(TRIM(AP196))=IFERROR(INDEX(Key!$C$2:$C$263,MATCH($D196*100+30,Key!$G$2:$G$263,0)),"#"),1,0))</f>
        <v/>
      </c>
    </row>
    <row r="197">
      <c r="A197" s="6" t="n"/>
      <c r="B197" s="6" t="n"/>
      <c r="C197" s="6" t="n"/>
      <c r="D197" s="6" t="n"/>
      <c r="E197" s="7">
        <f>IF($D197="","",IFERROR(INDEX(Papers!$B$2:$B$12,MATCH($D197,Papers!$A$2:$A$12,0)),"?"))</f>
        <v/>
      </c>
      <c r="F197" s="7">
        <f>IF($D197="","",IFERROR(INDEX(Papers!$C$2:$C$12,MATCH($D197,Papers!$A$2:$A$12,0)),0))</f>
        <v/>
      </c>
      <c r="G197" s="7">
        <f>IF($D197="","",COUNTIF(M197:AP197,"?*"))</f>
        <v/>
      </c>
      <c r="H197" s="7">
        <f>IF($D197="","",SUM(AR197:BU197))</f>
        <v/>
      </c>
      <c r="I197" s="7">
        <f>IF($D197="","",G197-H197)</f>
        <v/>
      </c>
      <c r="J197" s="7">
        <f>IF($D197="","",F197-G197)</f>
        <v/>
      </c>
      <c r="K197" s="7">
        <f>IF($D197="","",H197)</f>
        <v/>
      </c>
      <c r="L197" s="7">
        <f>IF($D197="","",IF(F197=0,"",ROUND(H197/F197*100,1)))</f>
        <v/>
      </c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R197">
        <f>IF(OR($D197="",M197="",1&gt;$F197),0,IF(UPPER(TRIM(M197))=IFERROR(INDEX(Key!$C$2:$C$263,MATCH($D197*100+1,Key!$G$2:$G$263,0)),"#"),1,0))</f>
        <v/>
      </c>
      <c r="AS197">
        <f>IF(OR($D197="",N197="",2&gt;$F197),0,IF(UPPER(TRIM(N197))=IFERROR(INDEX(Key!$C$2:$C$263,MATCH($D197*100+2,Key!$G$2:$G$263,0)),"#"),1,0))</f>
        <v/>
      </c>
      <c r="AT197">
        <f>IF(OR($D197="",O197="",3&gt;$F197),0,IF(UPPER(TRIM(O197))=IFERROR(INDEX(Key!$C$2:$C$263,MATCH($D197*100+3,Key!$G$2:$G$263,0)),"#"),1,0))</f>
        <v/>
      </c>
      <c r="AU197">
        <f>IF(OR($D197="",P197="",4&gt;$F197),0,IF(UPPER(TRIM(P197))=IFERROR(INDEX(Key!$C$2:$C$263,MATCH($D197*100+4,Key!$G$2:$G$263,0)),"#"),1,0))</f>
        <v/>
      </c>
      <c r="AV197">
        <f>IF(OR($D197="",Q197="",5&gt;$F197),0,IF(UPPER(TRIM(Q197))=IFERROR(INDEX(Key!$C$2:$C$263,MATCH($D197*100+5,Key!$G$2:$G$263,0)),"#"),1,0))</f>
        <v/>
      </c>
      <c r="AW197">
        <f>IF(OR($D197="",R197="",6&gt;$F197),0,IF(UPPER(TRIM(R197))=IFERROR(INDEX(Key!$C$2:$C$263,MATCH($D197*100+6,Key!$G$2:$G$263,0)),"#"),1,0))</f>
        <v/>
      </c>
      <c r="AX197">
        <f>IF(OR($D197="",S197="",7&gt;$F197),0,IF(UPPER(TRIM(S197))=IFERROR(INDEX(Key!$C$2:$C$263,MATCH($D197*100+7,Key!$G$2:$G$263,0)),"#"),1,0))</f>
        <v/>
      </c>
      <c r="AY197">
        <f>IF(OR($D197="",T197="",8&gt;$F197),0,IF(UPPER(TRIM(T197))=IFERROR(INDEX(Key!$C$2:$C$263,MATCH($D197*100+8,Key!$G$2:$G$263,0)),"#"),1,0))</f>
        <v/>
      </c>
      <c r="AZ197">
        <f>IF(OR($D197="",U197="",9&gt;$F197),0,IF(UPPER(TRIM(U197))=IFERROR(INDEX(Key!$C$2:$C$263,MATCH($D197*100+9,Key!$G$2:$G$263,0)),"#"),1,0))</f>
        <v/>
      </c>
      <c r="BA197">
        <f>IF(OR($D197="",V197="",10&gt;$F197),0,IF(UPPER(TRIM(V197))=IFERROR(INDEX(Key!$C$2:$C$263,MATCH($D197*100+10,Key!$G$2:$G$263,0)),"#"),1,0))</f>
        <v/>
      </c>
      <c r="BB197">
        <f>IF(OR($D197="",W197="",11&gt;$F197),0,IF(UPPER(TRIM(W197))=IFERROR(INDEX(Key!$C$2:$C$263,MATCH($D197*100+11,Key!$G$2:$G$263,0)),"#"),1,0))</f>
        <v/>
      </c>
      <c r="BC197">
        <f>IF(OR($D197="",X197="",12&gt;$F197),0,IF(UPPER(TRIM(X197))=IFERROR(INDEX(Key!$C$2:$C$263,MATCH($D197*100+12,Key!$G$2:$G$263,0)),"#"),1,0))</f>
        <v/>
      </c>
      <c r="BD197">
        <f>IF(OR($D197="",Y197="",13&gt;$F197),0,IF(UPPER(TRIM(Y197))=IFERROR(INDEX(Key!$C$2:$C$263,MATCH($D197*100+13,Key!$G$2:$G$263,0)),"#"),1,0))</f>
        <v/>
      </c>
      <c r="BE197">
        <f>IF(OR($D197="",Z197="",14&gt;$F197),0,IF(UPPER(TRIM(Z197))=IFERROR(INDEX(Key!$C$2:$C$263,MATCH($D197*100+14,Key!$G$2:$G$263,0)),"#"),1,0))</f>
        <v/>
      </c>
      <c r="BF197">
        <f>IF(OR($D197="",AA197="",15&gt;$F197),0,IF(UPPER(TRIM(AA197))=IFERROR(INDEX(Key!$C$2:$C$263,MATCH($D197*100+15,Key!$G$2:$G$263,0)),"#"),1,0))</f>
        <v/>
      </c>
      <c r="BG197">
        <f>IF(OR($D197="",AB197="",16&gt;$F197),0,IF(UPPER(TRIM(AB197))=IFERROR(INDEX(Key!$C$2:$C$263,MATCH($D197*100+16,Key!$G$2:$G$263,0)),"#"),1,0))</f>
        <v/>
      </c>
      <c r="BH197">
        <f>IF(OR($D197="",AC197="",17&gt;$F197),0,IF(UPPER(TRIM(AC197))=IFERROR(INDEX(Key!$C$2:$C$263,MATCH($D197*100+17,Key!$G$2:$G$263,0)),"#"),1,0))</f>
        <v/>
      </c>
      <c r="BI197">
        <f>IF(OR($D197="",AD197="",18&gt;$F197),0,IF(UPPER(TRIM(AD197))=IFERROR(INDEX(Key!$C$2:$C$263,MATCH($D197*100+18,Key!$G$2:$G$263,0)),"#"),1,0))</f>
        <v/>
      </c>
      <c r="BJ197">
        <f>IF(OR($D197="",AE197="",19&gt;$F197),0,IF(UPPER(TRIM(AE197))=IFERROR(INDEX(Key!$C$2:$C$263,MATCH($D197*100+19,Key!$G$2:$G$263,0)),"#"),1,0))</f>
        <v/>
      </c>
      <c r="BK197">
        <f>IF(OR($D197="",AF197="",20&gt;$F197),0,IF(UPPER(TRIM(AF197))=IFERROR(INDEX(Key!$C$2:$C$263,MATCH($D197*100+20,Key!$G$2:$G$263,0)),"#"),1,0))</f>
        <v/>
      </c>
      <c r="BL197">
        <f>IF(OR($D197="",AG197="",21&gt;$F197),0,IF(UPPER(TRIM(AG197))=IFERROR(INDEX(Key!$C$2:$C$263,MATCH($D197*100+21,Key!$G$2:$G$263,0)),"#"),1,0))</f>
        <v/>
      </c>
      <c r="BM197">
        <f>IF(OR($D197="",AH197="",22&gt;$F197),0,IF(UPPER(TRIM(AH197))=IFERROR(INDEX(Key!$C$2:$C$263,MATCH($D197*100+22,Key!$G$2:$G$263,0)),"#"),1,0))</f>
        <v/>
      </c>
      <c r="BN197">
        <f>IF(OR($D197="",AI197="",23&gt;$F197),0,IF(UPPER(TRIM(AI197))=IFERROR(INDEX(Key!$C$2:$C$263,MATCH($D197*100+23,Key!$G$2:$G$263,0)),"#"),1,0))</f>
        <v/>
      </c>
      <c r="BO197">
        <f>IF(OR($D197="",AJ197="",24&gt;$F197),0,IF(UPPER(TRIM(AJ197))=IFERROR(INDEX(Key!$C$2:$C$263,MATCH($D197*100+24,Key!$G$2:$G$263,0)),"#"),1,0))</f>
        <v/>
      </c>
      <c r="BP197">
        <f>IF(OR($D197="",AK197="",25&gt;$F197),0,IF(UPPER(TRIM(AK197))=IFERROR(INDEX(Key!$C$2:$C$263,MATCH($D197*100+25,Key!$G$2:$G$263,0)),"#"),1,0))</f>
        <v/>
      </c>
      <c r="BQ197">
        <f>IF(OR($D197="",AL197="",26&gt;$F197),0,IF(UPPER(TRIM(AL197))=IFERROR(INDEX(Key!$C$2:$C$263,MATCH($D197*100+26,Key!$G$2:$G$263,0)),"#"),1,0))</f>
        <v/>
      </c>
      <c r="BR197">
        <f>IF(OR($D197="",AM197="",27&gt;$F197),0,IF(UPPER(TRIM(AM197))=IFERROR(INDEX(Key!$C$2:$C$263,MATCH($D197*100+27,Key!$G$2:$G$263,0)),"#"),1,0))</f>
        <v/>
      </c>
      <c r="BS197">
        <f>IF(OR($D197="",AN197="",28&gt;$F197),0,IF(UPPER(TRIM(AN197))=IFERROR(INDEX(Key!$C$2:$C$263,MATCH($D197*100+28,Key!$G$2:$G$263,0)),"#"),1,0))</f>
        <v/>
      </c>
      <c r="BT197">
        <f>IF(OR($D197="",AO197="",29&gt;$F197),0,IF(UPPER(TRIM(AO197))=IFERROR(INDEX(Key!$C$2:$C$263,MATCH($D197*100+29,Key!$G$2:$G$263,0)),"#"),1,0))</f>
        <v/>
      </c>
      <c r="BU197">
        <f>IF(OR($D197="",AP197="",30&gt;$F197),0,IF(UPPER(TRIM(AP197))=IFERROR(INDEX(Key!$C$2:$C$263,MATCH($D197*100+30,Key!$G$2:$G$263,0)),"#"),1,0))</f>
        <v/>
      </c>
    </row>
    <row r="198">
      <c r="A198" s="6" t="n"/>
      <c r="B198" s="6" t="n"/>
      <c r="C198" s="6" t="n"/>
      <c r="D198" s="6" t="n"/>
      <c r="E198" s="7">
        <f>IF($D198="","",IFERROR(INDEX(Papers!$B$2:$B$12,MATCH($D198,Papers!$A$2:$A$12,0)),"?"))</f>
        <v/>
      </c>
      <c r="F198" s="7">
        <f>IF($D198="","",IFERROR(INDEX(Papers!$C$2:$C$12,MATCH($D198,Papers!$A$2:$A$12,0)),0))</f>
        <v/>
      </c>
      <c r="G198" s="7">
        <f>IF($D198="","",COUNTIF(M198:AP198,"?*"))</f>
        <v/>
      </c>
      <c r="H198" s="7">
        <f>IF($D198="","",SUM(AR198:BU198))</f>
        <v/>
      </c>
      <c r="I198" s="7">
        <f>IF($D198="","",G198-H198)</f>
        <v/>
      </c>
      <c r="J198" s="7">
        <f>IF($D198="","",F198-G198)</f>
        <v/>
      </c>
      <c r="K198" s="7">
        <f>IF($D198="","",H198)</f>
        <v/>
      </c>
      <c r="L198" s="7">
        <f>IF($D198="","",IF(F198=0,"",ROUND(H198/F198*100,1)))</f>
        <v/>
      </c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R198">
        <f>IF(OR($D198="",M198="",1&gt;$F198),0,IF(UPPER(TRIM(M198))=IFERROR(INDEX(Key!$C$2:$C$263,MATCH($D198*100+1,Key!$G$2:$G$263,0)),"#"),1,0))</f>
        <v/>
      </c>
      <c r="AS198">
        <f>IF(OR($D198="",N198="",2&gt;$F198),0,IF(UPPER(TRIM(N198))=IFERROR(INDEX(Key!$C$2:$C$263,MATCH($D198*100+2,Key!$G$2:$G$263,0)),"#"),1,0))</f>
        <v/>
      </c>
      <c r="AT198">
        <f>IF(OR($D198="",O198="",3&gt;$F198),0,IF(UPPER(TRIM(O198))=IFERROR(INDEX(Key!$C$2:$C$263,MATCH($D198*100+3,Key!$G$2:$G$263,0)),"#"),1,0))</f>
        <v/>
      </c>
      <c r="AU198">
        <f>IF(OR($D198="",P198="",4&gt;$F198),0,IF(UPPER(TRIM(P198))=IFERROR(INDEX(Key!$C$2:$C$263,MATCH($D198*100+4,Key!$G$2:$G$263,0)),"#"),1,0))</f>
        <v/>
      </c>
      <c r="AV198">
        <f>IF(OR($D198="",Q198="",5&gt;$F198),0,IF(UPPER(TRIM(Q198))=IFERROR(INDEX(Key!$C$2:$C$263,MATCH($D198*100+5,Key!$G$2:$G$263,0)),"#"),1,0))</f>
        <v/>
      </c>
      <c r="AW198">
        <f>IF(OR($D198="",R198="",6&gt;$F198),0,IF(UPPER(TRIM(R198))=IFERROR(INDEX(Key!$C$2:$C$263,MATCH($D198*100+6,Key!$G$2:$G$263,0)),"#"),1,0))</f>
        <v/>
      </c>
      <c r="AX198">
        <f>IF(OR($D198="",S198="",7&gt;$F198),0,IF(UPPER(TRIM(S198))=IFERROR(INDEX(Key!$C$2:$C$263,MATCH($D198*100+7,Key!$G$2:$G$263,0)),"#"),1,0))</f>
        <v/>
      </c>
      <c r="AY198">
        <f>IF(OR($D198="",T198="",8&gt;$F198),0,IF(UPPER(TRIM(T198))=IFERROR(INDEX(Key!$C$2:$C$263,MATCH($D198*100+8,Key!$G$2:$G$263,0)),"#"),1,0))</f>
        <v/>
      </c>
      <c r="AZ198">
        <f>IF(OR($D198="",U198="",9&gt;$F198),0,IF(UPPER(TRIM(U198))=IFERROR(INDEX(Key!$C$2:$C$263,MATCH($D198*100+9,Key!$G$2:$G$263,0)),"#"),1,0))</f>
        <v/>
      </c>
      <c r="BA198">
        <f>IF(OR($D198="",V198="",10&gt;$F198),0,IF(UPPER(TRIM(V198))=IFERROR(INDEX(Key!$C$2:$C$263,MATCH($D198*100+10,Key!$G$2:$G$263,0)),"#"),1,0))</f>
        <v/>
      </c>
      <c r="BB198">
        <f>IF(OR($D198="",W198="",11&gt;$F198),0,IF(UPPER(TRIM(W198))=IFERROR(INDEX(Key!$C$2:$C$263,MATCH($D198*100+11,Key!$G$2:$G$263,0)),"#"),1,0))</f>
        <v/>
      </c>
      <c r="BC198">
        <f>IF(OR($D198="",X198="",12&gt;$F198),0,IF(UPPER(TRIM(X198))=IFERROR(INDEX(Key!$C$2:$C$263,MATCH($D198*100+12,Key!$G$2:$G$263,0)),"#"),1,0))</f>
        <v/>
      </c>
      <c r="BD198">
        <f>IF(OR($D198="",Y198="",13&gt;$F198),0,IF(UPPER(TRIM(Y198))=IFERROR(INDEX(Key!$C$2:$C$263,MATCH($D198*100+13,Key!$G$2:$G$263,0)),"#"),1,0))</f>
        <v/>
      </c>
      <c r="BE198">
        <f>IF(OR($D198="",Z198="",14&gt;$F198),0,IF(UPPER(TRIM(Z198))=IFERROR(INDEX(Key!$C$2:$C$263,MATCH($D198*100+14,Key!$G$2:$G$263,0)),"#"),1,0))</f>
        <v/>
      </c>
      <c r="BF198">
        <f>IF(OR($D198="",AA198="",15&gt;$F198),0,IF(UPPER(TRIM(AA198))=IFERROR(INDEX(Key!$C$2:$C$263,MATCH($D198*100+15,Key!$G$2:$G$263,0)),"#"),1,0))</f>
        <v/>
      </c>
      <c r="BG198">
        <f>IF(OR($D198="",AB198="",16&gt;$F198),0,IF(UPPER(TRIM(AB198))=IFERROR(INDEX(Key!$C$2:$C$263,MATCH($D198*100+16,Key!$G$2:$G$263,0)),"#"),1,0))</f>
        <v/>
      </c>
      <c r="BH198">
        <f>IF(OR($D198="",AC198="",17&gt;$F198),0,IF(UPPER(TRIM(AC198))=IFERROR(INDEX(Key!$C$2:$C$263,MATCH($D198*100+17,Key!$G$2:$G$263,0)),"#"),1,0))</f>
        <v/>
      </c>
      <c r="BI198">
        <f>IF(OR($D198="",AD198="",18&gt;$F198),0,IF(UPPER(TRIM(AD198))=IFERROR(INDEX(Key!$C$2:$C$263,MATCH($D198*100+18,Key!$G$2:$G$263,0)),"#"),1,0))</f>
        <v/>
      </c>
      <c r="BJ198">
        <f>IF(OR($D198="",AE198="",19&gt;$F198),0,IF(UPPER(TRIM(AE198))=IFERROR(INDEX(Key!$C$2:$C$263,MATCH($D198*100+19,Key!$G$2:$G$263,0)),"#"),1,0))</f>
        <v/>
      </c>
      <c r="BK198">
        <f>IF(OR($D198="",AF198="",20&gt;$F198),0,IF(UPPER(TRIM(AF198))=IFERROR(INDEX(Key!$C$2:$C$263,MATCH($D198*100+20,Key!$G$2:$G$263,0)),"#"),1,0))</f>
        <v/>
      </c>
      <c r="BL198">
        <f>IF(OR($D198="",AG198="",21&gt;$F198),0,IF(UPPER(TRIM(AG198))=IFERROR(INDEX(Key!$C$2:$C$263,MATCH($D198*100+21,Key!$G$2:$G$263,0)),"#"),1,0))</f>
        <v/>
      </c>
      <c r="BM198">
        <f>IF(OR($D198="",AH198="",22&gt;$F198),0,IF(UPPER(TRIM(AH198))=IFERROR(INDEX(Key!$C$2:$C$263,MATCH($D198*100+22,Key!$G$2:$G$263,0)),"#"),1,0))</f>
        <v/>
      </c>
      <c r="BN198">
        <f>IF(OR($D198="",AI198="",23&gt;$F198),0,IF(UPPER(TRIM(AI198))=IFERROR(INDEX(Key!$C$2:$C$263,MATCH($D198*100+23,Key!$G$2:$G$263,0)),"#"),1,0))</f>
        <v/>
      </c>
      <c r="BO198">
        <f>IF(OR($D198="",AJ198="",24&gt;$F198),0,IF(UPPER(TRIM(AJ198))=IFERROR(INDEX(Key!$C$2:$C$263,MATCH($D198*100+24,Key!$G$2:$G$263,0)),"#"),1,0))</f>
        <v/>
      </c>
      <c r="BP198">
        <f>IF(OR($D198="",AK198="",25&gt;$F198),0,IF(UPPER(TRIM(AK198))=IFERROR(INDEX(Key!$C$2:$C$263,MATCH($D198*100+25,Key!$G$2:$G$263,0)),"#"),1,0))</f>
        <v/>
      </c>
      <c r="BQ198">
        <f>IF(OR($D198="",AL198="",26&gt;$F198),0,IF(UPPER(TRIM(AL198))=IFERROR(INDEX(Key!$C$2:$C$263,MATCH($D198*100+26,Key!$G$2:$G$263,0)),"#"),1,0))</f>
        <v/>
      </c>
      <c r="BR198">
        <f>IF(OR($D198="",AM198="",27&gt;$F198),0,IF(UPPER(TRIM(AM198))=IFERROR(INDEX(Key!$C$2:$C$263,MATCH($D198*100+27,Key!$G$2:$G$263,0)),"#"),1,0))</f>
        <v/>
      </c>
      <c r="BS198">
        <f>IF(OR($D198="",AN198="",28&gt;$F198),0,IF(UPPER(TRIM(AN198))=IFERROR(INDEX(Key!$C$2:$C$263,MATCH($D198*100+28,Key!$G$2:$G$263,0)),"#"),1,0))</f>
        <v/>
      </c>
      <c r="BT198">
        <f>IF(OR($D198="",AO198="",29&gt;$F198),0,IF(UPPER(TRIM(AO198))=IFERROR(INDEX(Key!$C$2:$C$263,MATCH($D198*100+29,Key!$G$2:$G$263,0)),"#"),1,0))</f>
        <v/>
      </c>
      <c r="BU198">
        <f>IF(OR($D198="",AP198="",30&gt;$F198),0,IF(UPPER(TRIM(AP198))=IFERROR(INDEX(Key!$C$2:$C$263,MATCH($D198*100+30,Key!$G$2:$G$263,0)),"#"),1,0))</f>
        <v/>
      </c>
    </row>
    <row r="199">
      <c r="A199" s="6" t="n"/>
      <c r="B199" s="6" t="n"/>
      <c r="C199" s="6" t="n"/>
      <c r="D199" s="6" t="n"/>
      <c r="E199" s="7">
        <f>IF($D199="","",IFERROR(INDEX(Papers!$B$2:$B$12,MATCH($D199,Papers!$A$2:$A$12,0)),"?"))</f>
        <v/>
      </c>
      <c r="F199" s="7">
        <f>IF($D199="","",IFERROR(INDEX(Papers!$C$2:$C$12,MATCH($D199,Papers!$A$2:$A$12,0)),0))</f>
        <v/>
      </c>
      <c r="G199" s="7">
        <f>IF($D199="","",COUNTIF(M199:AP199,"?*"))</f>
        <v/>
      </c>
      <c r="H199" s="7">
        <f>IF($D199="","",SUM(AR199:BU199))</f>
        <v/>
      </c>
      <c r="I199" s="7">
        <f>IF($D199="","",G199-H199)</f>
        <v/>
      </c>
      <c r="J199" s="7">
        <f>IF($D199="","",F199-G199)</f>
        <v/>
      </c>
      <c r="K199" s="7">
        <f>IF($D199="","",H199)</f>
        <v/>
      </c>
      <c r="L199" s="7">
        <f>IF($D199="","",IF(F199=0,"",ROUND(H199/F199*100,1)))</f>
        <v/>
      </c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R199">
        <f>IF(OR($D199="",M199="",1&gt;$F199),0,IF(UPPER(TRIM(M199))=IFERROR(INDEX(Key!$C$2:$C$263,MATCH($D199*100+1,Key!$G$2:$G$263,0)),"#"),1,0))</f>
        <v/>
      </c>
      <c r="AS199">
        <f>IF(OR($D199="",N199="",2&gt;$F199),0,IF(UPPER(TRIM(N199))=IFERROR(INDEX(Key!$C$2:$C$263,MATCH($D199*100+2,Key!$G$2:$G$263,0)),"#"),1,0))</f>
        <v/>
      </c>
      <c r="AT199">
        <f>IF(OR($D199="",O199="",3&gt;$F199),0,IF(UPPER(TRIM(O199))=IFERROR(INDEX(Key!$C$2:$C$263,MATCH($D199*100+3,Key!$G$2:$G$263,0)),"#"),1,0))</f>
        <v/>
      </c>
      <c r="AU199">
        <f>IF(OR($D199="",P199="",4&gt;$F199),0,IF(UPPER(TRIM(P199))=IFERROR(INDEX(Key!$C$2:$C$263,MATCH($D199*100+4,Key!$G$2:$G$263,0)),"#"),1,0))</f>
        <v/>
      </c>
      <c r="AV199">
        <f>IF(OR($D199="",Q199="",5&gt;$F199),0,IF(UPPER(TRIM(Q199))=IFERROR(INDEX(Key!$C$2:$C$263,MATCH($D199*100+5,Key!$G$2:$G$263,0)),"#"),1,0))</f>
        <v/>
      </c>
      <c r="AW199">
        <f>IF(OR($D199="",R199="",6&gt;$F199),0,IF(UPPER(TRIM(R199))=IFERROR(INDEX(Key!$C$2:$C$263,MATCH($D199*100+6,Key!$G$2:$G$263,0)),"#"),1,0))</f>
        <v/>
      </c>
      <c r="AX199">
        <f>IF(OR($D199="",S199="",7&gt;$F199),0,IF(UPPER(TRIM(S199))=IFERROR(INDEX(Key!$C$2:$C$263,MATCH($D199*100+7,Key!$G$2:$G$263,0)),"#"),1,0))</f>
        <v/>
      </c>
      <c r="AY199">
        <f>IF(OR($D199="",T199="",8&gt;$F199),0,IF(UPPER(TRIM(T199))=IFERROR(INDEX(Key!$C$2:$C$263,MATCH($D199*100+8,Key!$G$2:$G$263,0)),"#"),1,0))</f>
        <v/>
      </c>
      <c r="AZ199">
        <f>IF(OR($D199="",U199="",9&gt;$F199),0,IF(UPPER(TRIM(U199))=IFERROR(INDEX(Key!$C$2:$C$263,MATCH($D199*100+9,Key!$G$2:$G$263,0)),"#"),1,0))</f>
        <v/>
      </c>
      <c r="BA199">
        <f>IF(OR($D199="",V199="",10&gt;$F199),0,IF(UPPER(TRIM(V199))=IFERROR(INDEX(Key!$C$2:$C$263,MATCH($D199*100+10,Key!$G$2:$G$263,0)),"#"),1,0))</f>
        <v/>
      </c>
      <c r="BB199">
        <f>IF(OR($D199="",W199="",11&gt;$F199),0,IF(UPPER(TRIM(W199))=IFERROR(INDEX(Key!$C$2:$C$263,MATCH($D199*100+11,Key!$G$2:$G$263,0)),"#"),1,0))</f>
        <v/>
      </c>
      <c r="BC199">
        <f>IF(OR($D199="",X199="",12&gt;$F199),0,IF(UPPER(TRIM(X199))=IFERROR(INDEX(Key!$C$2:$C$263,MATCH($D199*100+12,Key!$G$2:$G$263,0)),"#"),1,0))</f>
        <v/>
      </c>
      <c r="BD199">
        <f>IF(OR($D199="",Y199="",13&gt;$F199),0,IF(UPPER(TRIM(Y199))=IFERROR(INDEX(Key!$C$2:$C$263,MATCH($D199*100+13,Key!$G$2:$G$263,0)),"#"),1,0))</f>
        <v/>
      </c>
      <c r="BE199">
        <f>IF(OR($D199="",Z199="",14&gt;$F199),0,IF(UPPER(TRIM(Z199))=IFERROR(INDEX(Key!$C$2:$C$263,MATCH($D199*100+14,Key!$G$2:$G$263,0)),"#"),1,0))</f>
        <v/>
      </c>
      <c r="BF199">
        <f>IF(OR($D199="",AA199="",15&gt;$F199),0,IF(UPPER(TRIM(AA199))=IFERROR(INDEX(Key!$C$2:$C$263,MATCH($D199*100+15,Key!$G$2:$G$263,0)),"#"),1,0))</f>
        <v/>
      </c>
      <c r="BG199">
        <f>IF(OR($D199="",AB199="",16&gt;$F199),0,IF(UPPER(TRIM(AB199))=IFERROR(INDEX(Key!$C$2:$C$263,MATCH($D199*100+16,Key!$G$2:$G$263,0)),"#"),1,0))</f>
        <v/>
      </c>
      <c r="BH199">
        <f>IF(OR($D199="",AC199="",17&gt;$F199),0,IF(UPPER(TRIM(AC199))=IFERROR(INDEX(Key!$C$2:$C$263,MATCH($D199*100+17,Key!$G$2:$G$263,0)),"#"),1,0))</f>
        <v/>
      </c>
      <c r="BI199">
        <f>IF(OR($D199="",AD199="",18&gt;$F199),0,IF(UPPER(TRIM(AD199))=IFERROR(INDEX(Key!$C$2:$C$263,MATCH($D199*100+18,Key!$G$2:$G$263,0)),"#"),1,0))</f>
        <v/>
      </c>
      <c r="BJ199">
        <f>IF(OR($D199="",AE199="",19&gt;$F199),0,IF(UPPER(TRIM(AE199))=IFERROR(INDEX(Key!$C$2:$C$263,MATCH($D199*100+19,Key!$G$2:$G$263,0)),"#"),1,0))</f>
        <v/>
      </c>
      <c r="BK199">
        <f>IF(OR($D199="",AF199="",20&gt;$F199),0,IF(UPPER(TRIM(AF199))=IFERROR(INDEX(Key!$C$2:$C$263,MATCH($D199*100+20,Key!$G$2:$G$263,0)),"#"),1,0))</f>
        <v/>
      </c>
      <c r="BL199">
        <f>IF(OR($D199="",AG199="",21&gt;$F199),0,IF(UPPER(TRIM(AG199))=IFERROR(INDEX(Key!$C$2:$C$263,MATCH($D199*100+21,Key!$G$2:$G$263,0)),"#"),1,0))</f>
        <v/>
      </c>
      <c r="BM199">
        <f>IF(OR($D199="",AH199="",22&gt;$F199),0,IF(UPPER(TRIM(AH199))=IFERROR(INDEX(Key!$C$2:$C$263,MATCH($D199*100+22,Key!$G$2:$G$263,0)),"#"),1,0))</f>
        <v/>
      </c>
      <c r="BN199">
        <f>IF(OR($D199="",AI199="",23&gt;$F199),0,IF(UPPER(TRIM(AI199))=IFERROR(INDEX(Key!$C$2:$C$263,MATCH($D199*100+23,Key!$G$2:$G$263,0)),"#"),1,0))</f>
        <v/>
      </c>
      <c r="BO199">
        <f>IF(OR($D199="",AJ199="",24&gt;$F199),0,IF(UPPER(TRIM(AJ199))=IFERROR(INDEX(Key!$C$2:$C$263,MATCH($D199*100+24,Key!$G$2:$G$263,0)),"#"),1,0))</f>
        <v/>
      </c>
      <c r="BP199">
        <f>IF(OR($D199="",AK199="",25&gt;$F199),0,IF(UPPER(TRIM(AK199))=IFERROR(INDEX(Key!$C$2:$C$263,MATCH($D199*100+25,Key!$G$2:$G$263,0)),"#"),1,0))</f>
        <v/>
      </c>
      <c r="BQ199">
        <f>IF(OR($D199="",AL199="",26&gt;$F199),0,IF(UPPER(TRIM(AL199))=IFERROR(INDEX(Key!$C$2:$C$263,MATCH($D199*100+26,Key!$G$2:$G$263,0)),"#"),1,0))</f>
        <v/>
      </c>
      <c r="BR199">
        <f>IF(OR($D199="",AM199="",27&gt;$F199),0,IF(UPPER(TRIM(AM199))=IFERROR(INDEX(Key!$C$2:$C$263,MATCH($D199*100+27,Key!$G$2:$G$263,0)),"#"),1,0))</f>
        <v/>
      </c>
      <c r="BS199">
        <f>IF(OR($D199="",AN199="",28&gt;$F199),0,IF(UPPER(TRIM(AN199))=IFERROR(INDEX(Key!$C$2:$C$263,MATCH($D199*100+28,Key!$G$2:$G$263,0)),"#"),1,0))</f>
        <v/>
      </c>
      <c r="BT199">
        <f>IF(OR($D199="",AO199="",29&gt;$F199),0,IF(UPPER(TRIM(AO199))=IFERROR(INDEX(Key!$C$2:$C$263,MATCH($D199*100+29,Key!$G$2:$G$263,0)),"#"),1,0))</f>
        <v/>
      </c>
      <c r="BU199">
        <f>IF(OR($D199="",AP199="",30&gt;$F199),0,IF(UPPER(TRIM(AP199))=IFERROR(INDEX(Key!$C$2:$C$263,MATCH($D199*100+30,Key!$G$2:$G$263,0)),"#"),1,0))</f>
        <v/>
      </c>
    </row>
    <row r="200">
      <c r="A200" s="6" t="n"/>
      <c r="B200" s="6" t="n"/>
      <c r="C200" s="6" t="n"/>
      <c r="D200" s="6" t="n"/>
      <c r="E200" s="7">
        <f>IF($D200="","",IFERROR(INDEX(Papers!$B$2:$B$12,MATCH($D200,Papers!$A$2:$A$12,0)),"?"))</f>
        <v/>
      </c>
      <c r="F200" s="7">
        <f>IF($D200="","",IFERROR(INDEX(Papers!$C$2:$C$12,MATCH($D200,Papers!$A$2:$A$12,0)),0))</f>
        <v/>
      </c>
      <c r="G200" s="7">
        <f>IF($D200="","",COUNTIF(M200:AP200,"?*"))</f>
        <v/>
      </c>
      <c r="H200" s="7">
        <f>IF($D200="","",SUM(AR200:BU200))</f>
        <v/>
      </c>
      <c r="I200" s="7">
        <f>IF($D200="","",G200-H200)</f>
        <v/>
      </c>
      <c r="J200" s="7">
        <f>IF($D200="","",F200-G200)</f>
        <v/>
      </c>
      <c r="K200" s="7">
        <f>IF($D200="","",H200)</f>
        <v/>
      </c>
      <c r="L200" s="7">
        <f>IF($D200="","",IF(F200=0,"",ROUND(H200/F200*100,1)))</f>
        <v/>
      </c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R200">
        <f>IF(OR($D200="",M200="",1&gt;$F200),0,IF(UPPER(TRIM(M200))=IFERROR(INDEX(Key!$C$2:$C$263,MATCH($D200*100+1,Key!$G$2:$G$263,0)),"#"),1,0))</f>
        <v/>
      </c>
      <c r="AS200">
        <f>IF(OR($D200="",N200="",2&gt;$F200),0,IF(UPPER(TRIM(N200))=IFERROR(INDEX(Key!$C$2:$C$263,MATCH($D200*100+2,Key!$G$2:$G$263,0)),"#"),1,0))</f>
        <v/>
      </c>
      <c r="AT200">
        <f>IF(OR($D200="",O200="",3&gt;$F200),0,IF(UPPER(TRIM(O200))=IFERROR(INDEX(Key!$C$2:$C$263,MATCH($D200*100+3,Key!$G$2:$G$263,0)),"#"),1,0))</f>
        <v/>
      </c>
      <c r="AU200">
        <f>IF(OR($D200="",P200="",4&gt;$F200),0,IF(UPPER(TRIM(P200))=IFERROR(INDEX(Key!$C$2:$C$263,MATCH($D200*100+4,Key!$G$2:$G$263,0)),"#"),1,0))</f>
        <v/>
      </c>
      <c r="AV200">
        <f>IF(OR($D200="",Q200="",5&gt;$F200),0,IF(UPPER(TRIM(Q200))=IFERROR(INDEX(Key!$C$2:$C$263,MATCH($D200*100+5,Key!$G$2:$G$263,0)),"#"),1,0))</f>
        <v/>
      </c>
      <c r="AW200">
        <f>IF(OR($D200="",R200="",6&gt;$F200),0,IF(UPPER(TRIM(R200))=IFERROR(INDEX(Key!$C$2:$C$263,MATCH($D200*100+6,Key!$G$2:$G$263,0)),"#"),1,0))</f>
        <v/>
      </c>
      <c r="AX200">
        <f>IF(OR($D200="",S200="",7&gt;$F200),0,IF(UPPER(TRIM(S200))=IFERROR(INDEX(Key!$C$2:$C$263,MATCH($D200*100+7,Key!$G$2:$G$263,0)),"#"),1,0))</f>
        <v/>
      </c>
      <c r="AY200">
        <f>IF(OR($D200="",T200="",8&gt;$F200),0,IF(UPPER(TRIM(T200))=IFERROR(INDEX(Key!$C$2:$C$263,MATCH($D200*100+8,Key!$G$2:$G$263,0)),"#"),1,0))</f>
        <v/>
      </c>
      <c r="AZ200">
        <f>IF(OR($D200="",U200="",9&gt;$F200),0,IF(UPPER(TRIM(U200))=IFERROR(INDEX(Key!$C$2:$C$263,MATCH($D200*100+9,Key!$G$2:$G$263,0)),"#"),1,0))</f>
        <v/>
      </c>
      <c r="BA200">
        <f>IF(OR($D200="",V200="",10&gt;$F200),0,IF(UPPER(TRIM(V200))=IFERROR(INDEX(Key!$C$2:$C$263,MATCH($D200*100+10,Key!$G$2:$G$263,0)),"#"),1,0))</f>
        <v/>
      </c>
      <c r="BB200">
        <f>IF(OR($D200="",W200="",11&gt;$F200),0,IF(UPPER(TRIM(W200))=IFERROR(INDEX(Key!$C$2:$C$263,MATCH($D200*100+11,Key!$G$2:$G$263,0)),"#"),1,0))</f>
        <v/>
      </c>
      <c r="BC200">
        <f>IF(OR($D200="",X200="",12&gt;$F200),0,IF(UPPER(TRIM(X200))=IFERROR(INDEX(Key!$C$2:$C$263,MATCH($D200*100+12,Key!$G$2:$G$263,0)),"#"),1,0))</f>
        <v/>
      </c>
      <c r="BD200">
        <f>IF(OR($D200="",Y200="",13&gt;$F200),0,IF(UPPER(TRIM(Y200))=IFERROR(INDEX(Key!$C$2:$C$263,MATCH($D200*100+13,Key!$G$2:$G$263,0)),"#"),1,0))</f>
        <v/>
      </c>
      <c r="BE200">
        <f>IF(OR($D200="",Z200="",14&gt;$F200),0,IF(UPPER(TRIM(Z200))=IFERROR(INDEX(Key!$C$2:$C$263,MATCH($D200*100+14,Key!$G$2:$G$263,0)),"#"),1,0))</f>
        <v/>
      </c>
      <c r="BF200">
        <f>IF(OR($D200="",AA200="",15&gt;$F200),0,IF(UPPER(TRIM(AA200))=IFERROR(INDEX(Key!$C$2:$C$263,MATCH($D200*100+15,Key!$G$2:$G$263,0)),"#"),1,0))</f>
        <v/>
      </c>
      <c r="BG200">
        <f>IF(OR($D200="",AB200="",16&gt;$F200),0,IF(UPPER(TRIM(AB200))=IFERROR(INDEX(Key!$C$2:$C$263,MATCH($D200*100+16,Key!$G$2:$G$263,0)),"#"),1,0))</f>
        <v/>
      </c>
      <c r="BH200">
        <f>IF(OR($D200="",AC200="",17&gt;$F200),0,IF(UPPER(TRIM(AC200))=IFERROR(INDEX(Key!$C$2:$C$263,MATCH($D200*100+17,Key!$G$2:$G$263,0)),"#"),1,0))</f>
        <v/>
      </c>
      <c r="BI200">
        <f>IF(OR($D200="",AD200="",18&gt;$F200),0,IF(UPPER(TRIM(AD200))=IFERROR(INDEX(Key!$C$2:$C$263,MATCH($D200*100+18,Key!$G$2:$G$263,0)),"#"),1,0))</f>
        <v/>
      </c>
      <c r="BJ200">
        <f>IF(OR($D200="",AE200="",19&gt;$F200),0,IF(UPPER(TRIM(AE200))=IFERROR(INDEX(Key!$C$2:$C$263,MATCH($D200*100+19,Key!$G$2:$G$263,0)),"#"),1,0))</f>
        <v/>
      </c>
      <c r="BK200">
        <f>IF(OR($D200="",AF200="",20&gt;$F200),0,IF(UPPER(TRIM(AF200))=IFERROR(INDEX(Key!$C$2:$C$263,MATCH($D200*100+20,Key!$G$2:$G$263,0)),"#"),1,0))</f>
        <v/>
      </c>
      <c r="BL200">
        <f>IF(OR($D200="",AG200="",21&gt;$F200),0,IF(UPPER(TRIM(AG200))=IFERROR(INDEX(Key!$C$2:$C$263,MATCH($D200*100+21,Key!$G$2:$G$263,0)),"#"),1,0))</f>
        <v/>
      </c>
      <c r="BM200">
        <f>IF(OR($D200="",AH200="",22&gt;$F200),0,IF(UPPER(TRIM(AH200))=IFERROR(INDEX(Key!$C$2:$C$263,MATCH($D200*100+22,Key!$G$2:$G$263,0)),"#"),1,0))</f>
        <v/>
      </c>
      <c r="BN200">
        <f>IF(OR($D200="",AI200="",23&gt;$F200),0,IF(UPPER(TRIM(AI200))=IFERROR(INDEX(Key!$C$2:$C$263,MATCH($D200*100+23,Key!$G$2:$G$263,0)),"#"),1,0))</f>
        <v/>
      </c>
      <c r="BO200">
        <f>IF(OR($D200="",AJ200="",24&gt;$F200),0,IF(UPPER(TRIM(AJ200))=IFERROR(INDEX(Key!$C$2:$C$263,MATCH($D200*100+24,Key!$G$2:$G$263,0)),"#"),1,0))</f>
        <v/>
      </c>
      <c r="BP200">
        <f>IF(OR($D200="",AK200="",25&gt;$F200),0,IF(UPPER(TRIM(AK200))=IFERROR(INDEX(Key!$C$2:$C$263,MATCH($D200*100+25,Key!$G$2:$G$263,0)),"#"),1,0))</f>
        <v/>
      </c>
      <c r="BQ200">
        <f>IF(OR($D200="",AL200="",26&gt;$F200),0,IF(UPPER(TRIM(AL200))=IFERROR(INDEX(Key!$C$2:$C$263,MATCH($D200*100+26,Key!$G$2:$G$263,0)),"#"),1,0))</f>
        <v/>
      </c>
      <c r="BR200">
        <f>IF(OR($D200="",AM200="",27&gt;$F200),0,IF(UPPER(TRIM(AM200))=IFERROR(INDEX(Key!$C$2:$C$263,MATCH($D200*100+27,Key!$G$2:$G$263,0)),"#"),1,0))</f>
        <v/>
      </c>
      <c r="BS200">
        <f>IF(OR($D200="",AN200="",28&gt;$F200),0,IF(UPPER(TRIM(AN200))=IFERROR(INDEX(Key!$C$2:$C$263,MATCH($D200*100+28,Key!$G$2:$G$263,0)),"#"),1,0))</f>
        <v/>
      </c>
      <c r="BT200">
        <f>IF(OR($D200="",AO200="",29&gt;$F200),0,IF(UPPER(TRIM(AO200))=IFERROR(INDEX(Key!$C$2:$C$263,MATCH($D200*100+29,Key!$G$2:$G$263,0)),"#"),1,0))</f>
        <v/>
      </c>
      <c r="BU200">
        <f>IF(OR($D200="",AP200="",30&gt;$F200),0,IF(UPPER(TRIM(AP200))=IFERROR(INDEX(Key!$C$2:$C$263,MATCH($D200*100+30,Key!$G$2:$G$263,0)),"#"),1,0))</f>
        <v/>
      </c>
    </row>
  </sheetData>
  <dataValidations count="2">
    <dataValidation sqref="D2:D200" showDropDown="0" showInputMessage="0" showErrorMessage="0" allowBlank="1" type="whole" operator="between">
      <formula1>1</formula1>
      <formula2>11</formula2>
    </dataValidation>
    <dataValidation sqref="M2:AP200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  <col width="26" customWidth="1" min="4" max="4"/>
    <col width="8" customWidth="1" min="5" max="5"/>
    <col width="8" customWidth="1" min="6" max="6"/>
    <col width="8" customWidth="1" min="7" max="7"/>
    <col width="26" customWidth="1" min="8" max="8"/>
    <col width="8" customWidth="1" min="9" max="9"/>
    <col width="8" customWidth="1" min="10" max="10"/>
    <col width="8" customWidth="1" min="11" max="11"/>
    <col width="26" customWidth="1" min="12" max="12"/>
    <col width="8" customWidth="1" min="13" max="13"/>
    <col width="8" customWidth="1" min="14" max="14"/>
    <col width="8" customWidth="1" min="15" max="15"/>
    <col width="26" customWidth="1" min="16" max="16"/>
    <col width="8" customWidth="1" min="17" max="17"/>
    <col width="8" customWidth="1" min="18" max="18"/>
    <col width="8" customWidth="1" min="19" max="19"/>
    <col width="26" customWidth="1" min="20" max="20"/>
    <col width="8" customWidth="1" min="21" max="21"/>
    <col width="8" customWidth="1" min="22" max="22"/>
    <col width="8" customWidth="1" min="23" max="23"/>
    <col width="26" customWidth="1" min="24" max="24"/>
    <col width="8" customWidth="1" min="25" max="25"/>
    <col width="8" customWidth="1" min="26" max="26"/>
    <col width="8" customWidth="1" min="27" max="27"/>
    <col width="30" customWidth="1" min="28" max="28"/>
    <col width="10" customWidth="1" min="29" max="29"/>
    <col width="36" customWidth="1" min="30" max="30"/>
    <col width="22" customWidth="1" min="31" max="31"/>
  </cols>
  <sheetData>
    <row r="1">
      <c r="A1" s="3" t="inlineStr">
        <is>
          <t>Attempt ID</t>
        </is>
      </c>
      <c r="B1" s="3" t="inlineStr">
        <is>
          <t>Candidate</t>
        </is>
      </c>
      <c r="C1" s="3" t="inlineStr">
        <is>
          <t>Paper</t>
        </is>
      </c>
      <c r="D1" s="3" t="inlineStr">
        <is>
          <t>S1 name</t>
        </is>
      </c>
      <c r="E1" s="3" t="inlineStr">
        <is>
          <t>S1 correct</t>
        </is>
      </c>
      <c r="F1" s="3" t="inlineStr">
        <is>
          <t>S1 total</t>
        </is>
      </c>
      <c r="G1" s="3" t="inlineStr">
        <is>
          <t>S1 %</t>
        </is>
      </c>
      <c r="H1" s="3" t="inlineStr">
        <is>
          <t>S2 name</t>
        </is>
      </c>
      <c r="I1" s="3" t="inlineStr">
        <is>
          <t>S2 correct</t>
        </is>
      </c>
      <c r="J1" s="3" t="inlineStr">
        <is>
          <t>S2 total</t>
        </is>
      </c>
      <c r="K1" s="3" t="inlineStr">
        <is>
          <t>S2 %</t>
        </is>
      </c>
      <c r="L1" s="3" t="inlineStr">
        <is>
          <t>S3 name</t>
        </is>
      </c>
      <c r="M1" s="3" t="inlineStr">
        <is>
          <t>S3 correct</t>
        </is>
      </c>
      <c r="N1" s="3" t="inlineStr">
        <is>
          <t>S3 total</t>
        </is>
      </c>
      <c r="O1" s="3" t="inlineStr">
        <is>
          <t>S3 %</t>
        </is>
      </c>
      <c r="P1" s="3" t="inlineStr">
        <is>
          <t>S4 name</t>
        </is>
      </c>
      <c r="Q1" s="3" t="inlineStr">
        <is>
          <t>S4 correct</t>
        </is>
      </c>
      <c r="R1" s="3" t="inlineStr">
        <is>
          <t>S4 total</t>
        </is>
      </c>
      <c r="S1" s="3" t="inlineStr">
        <is>
          <t>S4 %</t>
        </is>
      </c>
      <c r="T1" s="3" t="inlineStr">
        <is>
          <t>S5 name</t>
        </is>
      </c>
      <c r="U1" s="3" t="inlineStr">
        <is>
          <t>S5 correct</t>
        </is>
      </c>
      <c r="V1" s="3" t="inlineStr">
        <is>
          <t>S5 total</t>
        </is>
      </c>
      <c r="W1" s="3" t="inlineStr">
        <is>
          <t>S5 %</t>
        </is>
      </c>
      <c r="X1" s="3" t="inlineStr">
        <is>
          <t>S6 name</t>
        </is>
      </c>
      <c r="Y1" s="3" t="inlineStr">
        <is>
          <t>S6 correct</t>
        </is>
      </c>
      <c r="Z1" s="3" t="inlineStr">
        <is>
          <t>S6 total</t>
        </is>
      </c>
      <c r="AA1" s="3" t="inlineStr">
        <is>
          <t>S6 %</t>
        </is>
      </c>
      <c r="AB1" s="3" t="inlineStr">
        <is>
          <t>Weakest subtopic</t>
        </is>
      </c>
      <c r="AC1" s="3" t="inlineStr">
        <is>
          <t>Weakest %</t>
        </is>
      </c>
      <c r="AD1" s="3" t="inlineStr">
        <is>
          <t>Recommended remedial lesson</t>
        </is>
      </c>
      <c r="AE1" s="3" t="inlineStr">
        <is>
          <t>Guide (not official)</t>
        </is>
      </c>
    </row>
    <row r="2">
      <c r="A2">
        <f>IF(Attempts!A2="","",Attempts!A2)</f>
        <v/>
      </c>
      <c r="B2">
        <f>IF(Attempts!A2="","",Attempts!B2)</f>
        <v/>
      </c>
      <c r="C2">
        <f>IF(Attempts!A2="","",Attempts!D2)</f>
        <v/>
      </c>
      <c r="D2">
        <f>IF($A2="","",IFERROR(INDEX(Papers!$E$2:$E$12,MATCH($C2,Papers!$A$2:$A$12,0)),""))</f>
        <v/>
      </c>
      <c r="E2">
        <f>IF($A2="","",IFERROR(SUMPRODUCT((INDEX(SubMap!$B$2:$AE$12,MATCH($C2,SubMap!$A$2:$A$12,0),0)=1)*Attempts!$AR2:$BU2),0))</f>
        <v/>
      </c>
      <c r="F2">
        <f>IF($A2="","",IFERROR(COUNTIF(INDEX(SubMap!$B$2:$AE$12,MATCH($C2,SubMap!$A$2:$A$12,0),0),1),0))</f>
        <v/>
      </c>
      <c r="G2">
        <f>IF(OR($A2="",F2=0),"",ROUND(E2/F2*100,1))</f>
        <v/>
      </c>
      <c r="H2">
        <f>IF($A2="","",IFERROR(INDEX(Papers!$F$2:$F$12,MATCH($C2,Papers!$A$2:$A$12,0)),""))</f>
        <v/>
      </c>
      <c r="I2">
        <f>IF($A2="","",IFERROR(SUMPRODUCT((INDEX(SubMap!$B$2:$AE$12,MATCH($C2,SubMap!$A$2:$A$12,0),0)=2)*Attempts!$AR2:$BU2),0))</f>
        <v/>
      </c>
      <c r="J2">
        <f>IF($A2="","",IFERROR(COUNTIF(INDEX(SubMap!$B$2:$AE$12,MATCH($C2,SubMap!$A$2:$A$12,0),0),2),0))</f>
        <v/>
      </c>
      <c r="K2">
        <f>IF(OR($A2="",J2=0),"",ROUND(I2/J2*100,1))</f>
        <v/>
      </c>
      <c r="L2">
        <f>IF($A2="","",IFERROR(INDEX(Papers!$G$2:$G$12,MATCH($C2,Papers!$A$2:$A$12,0)),""))</f>
        <v/>
      </c>
      <c r="M2">
        <f>IF($A2="","",IFERROR(SUMPRODUCT((INDEX(SubMap!$B$2:$AE$12,MATCH($C2,SubMap!$A$2:$A$12,0),0)=3)*Attempts!$AR2:$BU2),0))</f>
        <v/>
      </c>
      <c r="N2">
        <f>IF($A2="","",IFERROR(COUNTIF(INDEX(SubMap!$B$2:$AE$12,MATCH($C2,SubMap!$A$2:$A$12,0),0),3),0))</f>
        <v/>
      </c>
      <c r="O2">
        <f>IF(OR($A2="",N2=0),"",ROUND(M2/N2*100,1))</f>
        <v/>
      </c>
      <c r="P2">
        <f>IF($A2="","",IFERROR(INDEX(Papers!$H$2:$H$12,MATCH($C2,Papers!$A$2:$A$12,0)),""))</f>
        <v/>
      </c>
      <c r="Q2">
        <f>IF($A2="","",IFERROR(SUMPRODUCT((INDEX(SubMap!$B$2:$AE$12,MATCH($C2,SubMap!$A$2:$A$12,0),0)=4)*Attempts!$AR2:$BU2),0))</f>
        <v/>
      </c>
      <c r="R2">
        <f>IF($A2="","",IFERROR(COUNTIF(INDEX(SubMap!$B$2:$AE$12,MATCH($C2,SubMap!$A$2:$A$12,0),0),4),0))</f>
        <v/>
      </c>
      <c r="S2">
        <f>IF(OR($A2="",R2=0),"",ROUND(Q2/R2*100,1))</f>
        <v/>
      </c>
      <c r="T2">
        <f>IF($A2="","",IFERROR(INDEX(Papers!$I$2:$I$12,MATCH($C2,Papers!$A$2:$A$12,0)),""))</f>
        <v/>
      </c>
      <c r="U2">
        <f>IF($A2="","",IFERROR(SUMPRODUCT((INDEX(SubMap!$B$2:$AE$12,MATCH($C2,SubMap!$A$2:$A$12,0),0)=5)*Attempts!$AR2:$BU2),0))</f>
        <v/>
      </c>
      <c r="V2">
        <f>IF($A2="","",IFERROR(COUNTIF(INDEX(SubMap!$B$2:$AE$12,MATCH($C2,SubMap!$A$2:$A$12,0),0),5),0))</f>
        <v/>
      </c>
      <c r="W2">
        <f>IF(OR($A2="",V2=0),"",ROUND(U2/V2*100,1))</f>
        <v/>
      </c>
      <c r="X2">
        <f>IF($A2="","",IFERROR(INDEX(Papers!$J$2:$J$12,MATCH($C2,Papers!$A$2:$A$12,0)),""))</f>
        <v/>
      </c>
      <c r="Y2">
        <f>IF($A2="","",IFERROR(SUMPRODUCT((INDEX(SubMap!$B$2:$AE$12,MATCH($C2,SubMap!$A$2:$A$12,0),0)=6)*Attempts!$AR2:$BU2),0))</f>
        <v/>
      </c>
      <c r="Z2">
        <f>IF($A2="","",IFERROR(COUNTIF(INDEX(SubMap!$B$2:$AE$12,MATCH($C2,SubMap!$A$2:$A$12,0),0),6),0))</f>
        <v/>
      </c>
      <c r="AA2">
        <f>IF(OR($A2="",Z2=0),"",ROUND(Y2/Z2*100,1))</f>
        <v/>
      </c>
      <c r="AB2">
        <f>IF($A2="","",IFERROR(INDEX(CHOOSE({1,2,3,4,5,6},D2,H2,L2,P2,T2,X2),MATCH(MIN(G2,K2,O2,S2,W2,AA2),CHOOSE({1,2,3,4,5,6},G2,K2,O2,S2,W2,AA2),0)),""))</f>
        <v/>
      </c>
      <c r="AC2">
        <f>IF($A2="","",IF(COUNT(G2,K2,O2,S2,W2,AA2)=0,"",MIN(G2,K2,O2,S2,W2,AA2)))</f>
        <v/>
      </c>
      <c r="AD2">
        <f>IF($A2="","",IFERROR(INDEX(CHOOSE({1,2,3,4,5,6},IFERROR(INDEX(Papers!$K$2:$K$12,MATCH($C2,Papers!$A$2:$A$12,0)),""),IFERROR(INDEX(Papers!$L$2:$L$12,MATCH($C2,Papers!$A$2:$A$12,0)),""),IFERROR(INDEX(Papers!$M$2:$M$12,MATCH($C2,Papers!$A$2:$A$12,0)),""),IFERROR(INDEX(Papers!$N$2:$N$12,MATCH($C2,Papers!$A$2:$A$12,0)),""),IFERROR(INDEX(Papers!$O$2:$O$12,MATCH($C2,Papers!$A$2:$A$12,0)),""),IFERROR(INDEX(Papers!$P$2:$P$12,MATCH($C2,Papers!$A$2:$A$12,0)),"")),MATCH(MIN(G2,K2,O2,S2,W2,AA2),CHOOSE({1,2,3,4,5,6},G2,K2,O2,S2,W2,AA2),0)),""))</f>
        <v/>
      </c>
      <c r="AE2">
        <f>IF(AC2="","",IF(AC2&lt;50,"Re-teach",IF(AC2&lt;75,"Practice more","Relatively secure")))</f>
        <v/>
      </c>
    </row>
    <row r="3">
      <c r="A3">
        <f>IF(Attempts!A3="","",Attempts!A3)</f>
        <v/>
      </c>
      <c r="B3">
        <f>IF(Attempts!A3="","",Attempts!B3)</f>
        <v/>
      </c>
      <c r="C3">
        <f>IF(Attempts!A3="","",Attempts!D3)</f>
        <v/>
      </c>
      <c r="D3">
        <f>IF($A3="","",IFERROR(INDEX(Papers!$E$2:$E$12,MATCH($C3,Papers!$A$2:$A$12,0)),""))</f>
        <v/>
      </c>
      <c r="E3">
        <f>IF($A3="","",IFERROR(SUMPRODUCT((INDEX(SubMap!$B$2:$AE$12,MATCH($C3,SubMap!$A$2:$A$12,0),0)=1)*Attempts!$AR3:$BU3),0))</f>
        <v/>
      </c>
      <c r="F3">
        <f>IF($A3="","",IFERROR(COUNTIF(INDEX(SubMap!$B$2:$AE$12,MATCH($C3,SubMap!$A$2:$A$12,0),0),1),0))</f>
        <v/>
      </c>
      <c r="G3">
        <f>IF(OR($A3="",F3=0),"",ROUND(E3/F3*100,1))</f>
        <v/>
      </c>
      <c r="H3">
        <f>IF($A3="","",IFERROR(INDEX(Papers!$F$2:$F$12,MATCH($C3,Papers!$A$2:$A$12,0)),""))</f>
        <v/>
      </c>
      <c r="I3">
        <f>IF($A3="","",IFERROR(SUMPRODUCT((INDEX(SubMap!$B$2:$AE$12,MATCH($C3,SubMap!$A$2:$A$12,0),0)=2)*Attempts!$AR3:$BU3),0))</f>
        <v/>
      </c>
      <c r="J3">
        <f>IF($A3="","",IFERROR(COUNTIF(INDEX(SubMap!$B$2:$AE$12,MATCH($C3,SubMap!$A$2:$A$12,0),0),2),0))</f>
        <v/>
      </c>
      <c r="K3">
        <f>IF(OR($A3="",J3=0),"",ROUND(I3/J3*100,1))</f>
        <v/>
      </c>
      <c r="L3">
        <f>IF($A3="","",IFERROR(INDEX(Papers!$G$2:$G$12,MATCH($C3,Papers!$A$2:$A$12,0)),""))</f>
        <v/>
      </c>
      <c r="M3">
        <f>IF($A3="","",IFERROR(SUMPRODUCT((INDEX(SubMap!$B$2:$AE$12,MATCH($C3,SubMap!$A$2:$A$12,0),0)=3)*Attempts!$AR3:$BU3),0))</f>
        <v/>
      </c>
      <c r="N3">
        <f>IF($A3="","",IFERROR(COUNTIF(INDEX(SubMap!$B$2:$AE$12,MATCH($C3,SubMap!$A$2:$A$12,0),0),3),0))</f>
        <v/>
      </c>
      <c r="O3">
        <f>IF(OR($A3="",N3=0),"",ROUND(M3/N3*100,1))</f>
        <v/>
      </c>
      <c r="P3">
        <f>IF($A3="","",IFERROR(INDEX(Papers!$H$2:$H$12,MATCH($C3,Papers!$A$2:$A$12,0)),""))</f>
        <v/>
      </c>
      <c r="Q3">
        <f>IF($A3="","",IFERROR(SUMPRODUCT((INDEX(SubMap!$B$2:$AE$12,MATCH($C3,SubMap!$A$2:$A$12,0),0)=4)*Attempts!$AR3:$BU3),0))</f>
        <v/>
      </c>
      <c r="R3">
        <f>IF($A3="","",IFERROR(COUNTIF(INDEX(SubMap!$B$2:$AE$12,MATCH($C3,SubMap!$A$2:$A$12,0),0),4),0))</f>
        <v/>
      </c>
      <c r="S3">
        <f>IF(OR($A3="",R3=0),"",ROUND(Q3/R3*100,1))</f>
        <v/>
      </c>
      <c r="T3">
        <f>IF($A3="","",IFERROR(INDEX(Papers!$I$2:$I$12,MATCH($C3,Papers!$A$2:$A$12,0)),""))</f>
        <v/>
      </c>
      <c r="U3">
        <f>IF($A3="","",IFERROR(SUMPRODUCT((INDEX(SubMap!$B$2:$AE$12,MATCH($C3,SubMap!$A$2:$A$12,0),0)=5)*Attempts!$AR3:$BU3),0))</f>
        <v/>
      </c>
      <c r="V3">
        <f>IF($A3="","",IFERROR(COUNTIF(INDEX(SubMap!$B$2:$AE$12,MATCH($C3,SubMap!$A$2:$A$12,0),0),5),0))</f>
        <v/>
      </c>
      <c r="W3">
        <f>IF(OR($A3="",V3=0),"",ROUND(U3/V3*100,1))</f>
        <v/>
      </c>
      <c r="X3">
        <f>IF($A3="","",IFERROR(INDEX(Papers!$J$2:$J$12,MATCH($C3,Papers!$A$2:$A$12,0)),""))</f>
        <v/>
      </c>
      <c r="Y3">
        <f>IF($A3="","",IFERROR(SUMPRODUCT((INDEX(SubMap!$B$2:$AE$12,MATCH($C3,SubMap!$A$2:$A$12,0),0)=6)*Attempts!$AR3:$BU3),0))</f>
        <v/>
      </c>
      <c r="Z3">
        <f>IF($A3="","",IFERROR(COUNTIF(INDEX(SubMap!$B$2:$AE$12,MATCH($C3,SubMap!$A$2:$A$12,0),0),6),0))</f>
        <v/>
      </c>
      <c r="AA3">
        <f>IF(OR($A3="",Z3=0),"",ROUND(Y3/Z3*100,1))</f>
        <v/>
      </c>
      <c r="AB3">
        <f>IF($A3="","",IFERROR(INDEX(CHOOSE({1,2,3,4,5,6},D3,H3,L3,P3,T3,X3),MATCH(MIN(G3,K3,O3,S3,W3,AA3),CHOOSE({1,2,3,4,5,6},G3,K3,O3,S3,W3,AA3),0)),""))</f>
        <v/>
      </c>
      <c r="AC3">
        <f>IF($A3="","",IF(COUNT(G3,K3,O3,S3,W3,AA3)=0,"",MIN(G3,K3,O3,S3,W3,AA3)))</f>
        <v/>
      </c>
      <c r="AD3">
        <f>IF($A3="","",IFERROR(INDEX(CHOOSE({1,2,3,4,5,6},IFERROR(INDEX(Papers!$K$2:$K$12,MATCH($C3,Papers!$A$2:$A$12,0)),""),IFERROR(INDEX(Papers!$L$2:$L$12,MATCH($C3,Papers!$A$2:$A$12,0)),""),IFERROR(INDEX(Papers!$M$2:$M$12,MATCH($C3,Papers!$A$2:$A$12,0)),""),IFERROR(INDEX(Papers!$N$2:$N$12,MATCH($C3,Papers!$A$2:$A$12,0)),""),IFERROR(INDEX(Papers!$O$2:$O$12,MATCH($C3,Papers!$A$2:$A$12,0)),""),IFERROR(INDEX(Papers!$P$2:$P$12,MATCH($C3,Papers!$A$2:$A$12,0)),"")),MATCH(MIN(G3,K3,O3,S3,W3,AA3),CHOOSE({1,2,3,4,5,6},G3,K3,O3,S3,W3,AA3),0)),""))</f>
        <v/>
      </c>
      <c r="AE3">
        <f>IF(AC3="","",IF(AC3&lt;50,"Re-teach",IF(AC3&lt;75,"Practice more","Relatively secure")))</f>
        <v/>
      </c>
    </row>
    <row r="4">
      <c r="A4">
        <f>IF(Attempts!A4="","",Attempts!A4)</f>
        <v/>
      </c>
      <c r="B4">
        <f>IF(Attempts!A4="","",Attempts!B4)</f>
        <v/>
      </c>
      <c r="C4">
        <f>IF(Attempts!A4="","",Attempts!D4)</f>
        <v/>
      </c>
      <c r="D4">
        <f>IF($A4="","",IFERROR(INDEX(Papers!$E$2:$E$12,MATCH($C4,Papers!$A$2:$A$12,0)),""))</f>
        <v/>
      </c>
      <c r="E4">
        <f>IF($A4="","",IFERROR(SUMPRODUCT((INDEX(SubMap!$B$2:$AE$12,MATCH($C4,SubMap!$A$2:$A$12,0),0)=1)*Attempts!$AR4:$BU4),0))</f>
        <v/>
      </c>
      <c r="F4">
        <f>IF($A4="","",IFERROR(COUNTIF(INDEX(SubMap!$B$2:$AE$12,MATCH($C4,SubMap!$A$2:$A$12,0),0),1),0))</f>
        <v/>
      </c>
      <c r="G4">
        <f>IF(OR($A4="",F4=0),"",ROUND(E4/F4*100,1))</f>
        <v/>
      </c>
      <c r="H4">
        <f>IF($A4="","",IFERROR(INDEX(Papers!$F$2:$F$12,MATCH($C4,Papers!$A$2:$A$12,0)),""))</f>
        <v/>
      </c>
      <c r="I4">
        <f>IF($A4="","",IFERROR(SUMPRODUCT((INDEX(SubMap!$B$2:$AE$12,MATCH($C4,SubMap!$A$2:$A$12,0),0)=2)*Attempts!$AR4:$BU4),0))</f>
        <v/>
      </c>
      <c r="J4">
        <f>IF($A4="","",IFERROR(COUNTIF(INDEX(SubMap!$B$2:$AE$12,MATCH($C4,SubMap!$A$2:$A$12,0),0),2),0))</f>
        <v/>
      </c>
      <c r="K4">
        <f>IF(OR($A4="",J4=0),"",ROUND(I4/J4*100,1))</f>
        <v/>
      </c>
      <c r="L4">
        <f>IF($A4="","",IFERROR(INDEX(Papers!$G$2:$G$12,MATCH($C4,Papers!$A$2:$A$12,0)),""))</f>
        <v/>
      </c>
      <c r="M4">
        <f>IF($A4="","",IFERROR(SUMPRODUCT((INDEX(SubMap!$B$2:$AE$12,MATCH($C4,SubMap!$A$2:$A$12,0),0)=3)*Attempts!$AR4:$BU4),0))</f>
        <v/>
      </c>
      <c r="N4">
        <f>IF($A4="","",IFERROR(COUNTIF(INDEX(SubMap!$B$2:$AE$12,MATCH($C4,SubMap!$A$2:$A$12,0),0),3),0))</f>
        <v/>
      </c>
      <c r="O4">
        <f>IF(OR($A4="",N4=0),"",ROUND(M4/N4*100,1))</f>
        <v/>
      </c>
      <c r="P4">
        <f>IF($A4="","",IFERROR(INDEX(Papers!$H$2:$H$12,MATCH($C4,Papers!$A$2:$A$12,0)),""))</f>
        <v/>
      </c>
      <c r="Q4">
        <f>IF($A4="","",IFERROR(SUMPRODUCT((INDEX(SubMap!$B$2:$AE$12,MATCH($C4,SubMap!$A$2:$A$12,0),0)=4)*Attempts!$AR4:$BU4),0))</f>
        <v/>
      </c>
      <c r="R4">
        <f>IF($A4="","",IFERROR(COUNTIF(INDEX(SubMap!$B$2:$AE$12,MATCH($C4,SubMap!$A$2:$A$12,0),0),4),0))</f>
        <v/>
      </c>
      <c r="S4">
        <f>IF(OR($A4="",R4=0),"",ROUND(Q4/R4*100,1))</f>
        <v/>
      </c>
      <c r="T4">
        <f>IF($A4="","",IFERROR(INDEX(Papers!$I$2:$I$12,MATCH($C4,Papers!$A$2:$A$12,0)),""))</f>
        <v/>
      </c>
      <c r="U4">
        <f>IF($A4="","",IFERROR(SUMPRODUCT((INDEX(SubMap!$B$2:$AE$12,MATCH($C4,SubMap!$A$2:$A$12,0),0)=5)*Attempts!$AR4:$BU4),0))</f>
        <v/>
      </c>
      <c r="V4">
        <f>IF($A4="","",IFERROR(COUNTIF(INDEX(SubMap!$B$2:$AE$12,MATCH($C4,SubMap!$A$2:$A$12,0),0),5),0))</f>
        <v/>
      </c>
      <c r="W4">
        <f>IF(OR($A4="",V4=0),"",ROUND(U4/V4*100,1))</f>
        <v/>
      </c>
      <c r="X4">
        <f>IF($A4="","",IFERROR(INDEX(Papers!$J$2:$J$12,MATCH($C4,Papers!$A$2:$A$12,0)),""))</f>
        <v/>
      </c>
      <c r="Y4">
        <f>IF($A4="","",IFERROR(SUMPRODUCT((INDEX(SubMap!$B$2:$AE$12,MATCH($C4,SubMap!$A$2:$A$12,0),0)=6)*Attempts!$AR4:$BU4),0))</f>
        <v/>
      </c>
      <c r="Z4">
        <f>IF($A4="","",IFERROR(COUNTIF(INDEX(SubMap!$B$2:$AE$12,MATCH($C4,SubMap!$A$2:$A$12,0),0),6),0))</f>
        <v/>
      </c>
      <c r="AA4">
        <f>IF(OR($A4="",Z4=0),"",ROUND(Y4/Z4*100,1))</f>
        <v/>
      </c>
      <c r="AB4">
        <f>IF($A4="","",IFERROR(INDEX(CHOOSE({1,2,3,4,5,6},D4,H4,L4,P4,T4,X4),MATCH(MIN(G4,K4,O4,S4,W4,AA4),CHOOSE({1,2,3,4,5,6},G4,K4,O4,S4,W4,AA4),0)),""))</f>
        <v/>
      </c>
      <c r="AC4">
        <f>IF($A4="","",IF(COUNT(G4,K4,O4,S4,W4,AA4)=0,"",MIN(G4,K4,O4,S4,W4,AA4)))</f>
        <v/>
      </c>
      <c r="AD4">
        <f>IF($A4="","",IFERROR(INDEX(CHOOSE({1,2,3,4,5,6},IFERROR(INDEX(Papers!$K$2:$K$12,MATCH($C4,Papers!$A$2:$A$12,0)),""),IFERROR(INDEX(Papers!$L$2:$L$12,MATCH($C4,Papers!$A$2:$A$12,0)),""),IFERROR(INDEX(Papers!$M$2:$M$12,MATCH($C4,Papers!$A$2:$A$12,0)),""),IFERROR(INDEX(Papers!$N$2:$N$12,MATCH($C4,Papers!$A$2:$A$12,0)),""),IFERROR(INDEX(Papers!$O$2:$O$12,MATCH($C4,Papers!$A$2:$A$12,0)),""),IFERROR(INDEX(Papers!$P$2:$P$12,MATCH($C4,Papers!$A$2:$A$12,0)),"")),MATCH(MIN(G4,K4,O4,S4,W4,AA4),CHOOSE({1,2,3,4,5,6},G4,K4,O4,S4,W4,AA4),0)),""))</f>
        <v/>
      </c>
      <c r="AE4">
        <f>IF(AC4="","",IF(AC4&lt;50,"Re-teach",IF(AC4&lt;75,"Practice more","Relatively secure")))</f>
        <v/>
      </c>
    </row>
    <row r="5">
      <c r="A5">
        <f>IF(Attempts!A5="","",Attempts!A5)</f>
        <v/>
      </c>
      <c r="B5">
        <f>IF(Attempts!A5="","",Attempts!B5)</f>
        <v/>
      </c>
      <c r="C5">
        <f>IF(Attempts!A5="","",Attempts!D5)</f>
        <v/>
      </c>
      <c r="D5">
        <f>IF($A5="","",IFERROR(INDEX(Papers!$E$2:$E$12,MATCH($C5,Papers!$A$2:$A$12,0)),""))</f>
        <v/>
      </c>
      <c r="E5">
        <f>IF($A5="","",IFERROR(SUMPRODUCT((INDEX(SubMap!$B$2:$AE$12,MATCH($C5,SubMap!$A$2:$A$12,0),0)=1)*Attempts!$AR5:$BU5),0))</f>
        <v/>
      </c>
      <c r="F5">
        <f>IF($A5="","",IFERROR(COUNTIF(INDEX(SubMap!$B$2:$AE$12,MATCH($C5,SubMap!$A$2:$A$12,0),0),1),0))</f>
        <v/>
      </c>
      <c r="G5">
        <f>IF(OR($A5="",F5=0),"",ROUND(E5/F5*100,1))</f>
        <v/>
      </c>
      <c r="H5">
        <f>IF($A5="","",IFERROR(INDEX(Papers!$F$2:$F$12,MATCH($C5,Papers!$A$2:$A$12,0)),""))</f>
        <v/>
      </c>
      <c r="I5">
        <f>IF($A5="","",IFERROR(SUMPRODUCT((INDEX(SubMap!$B$2:$AE$12,MATCH($C5,SubMap!$A$2:$A$12,0),0)=2)*Attempts!$AR5:$BU5),0))</f>
        <v/>
      </c>
      <c r="J5">
        <f>IF($A5="","",IFERROR(COUNTIF(INDEX(SubMap!$B$2:$AE$12,MATCH($C5,SubMap!$A$2:$A$12,0),0),2),0))</f>
        <v/>
      </c>
      <c r="K5">
        <f>IF(OR($A5="",J5=0),"",ROUND(I5/J5*100,1))</f>
        <v/>
      </c>
      <c r="L5">
        <f>IF($A5="","",IFERROR(INDEX(Papers!$G$2:$G$12,MATCH($C5,Papers!$A$2:$A$12,0)),""))</f>
        <v/>
      </c>
      <c r="M5">
        <f>IF($A5="","",IFERROR(SUMPRODUCT((INDEX(SubMap!$B$2:$AE$12,MATCH($C5,SubMap!$A$2:$A$12,0),0)=3)*Attempts!$AR5:$BU5),0))</f>
        <v/>
      </c>
      <c r="N5">
        <f>IF($A5="","",IFERROR(COUNTIF(INDEX(SubMap!$B$2:$AE$12,MATCH($C5,SubMap!$A$2:$A$12,0),0),3),0))</f>
        <v/>
      </c>
      <c r="O5">
        <f>IF(OR($A5="",N5=0),"",ROUND(M5/N5*100,1))</f>
        <v/>
      </c>
      <c r="P5">
        <f>IF($A5="","",IFERROR(INDEX(Papers!$H$2:$H$12,MATCH($C5,Papers!$A$2:$A$12,0)),""))</f>
        <v/>
      </c>
      <c r="Q5">
        <f>IF($A5="","",IFERROR(SUMPRODUCT((INDEX(SubMap!$B$2:$AE$12,MATCH($C5,SubMap!$A$2:$A$12,0),0)=4)*Attempts!$AR5:$BU5),0))</f>
        <v/>
      </c>
      <c r="R5">
        <f>IF($A5="","",IFERROR(COUNTIF(INDEX(SubMap!$B$2:$AE$12,MATCH($C5,SubMap!$A$2:$A$12,0),0),4),0))</f>
        <v/>
      </c>
      <c r="S5">
        <f>IF(OR($A5="",R5=0),"",ROUND(Q5/R5*100,1))</f>
        <v/>
      </c>
      <c r="T5">
        <f>IF($A5="","",IFERROR(INDEX(Papers!$I$2:$I$12,MATCH($C5,Papers!$A$2:$A$12,0)),""))</f>
        <v/>
      </c>
      <c r="U5">
        <f>IF($A5="","",IFERROR(SUMPRODUCT((INDEX(SubMap!$B$2:$AE$12,MATCH($C5,SubMap!$A$2:$A$12,0),0)=5)*Attempts!$AR5:$BU5),0))</f>
        <v/>
      </c>
      <c r="V5">
        <f>IF($A5="","",IFERROR(COUNTIF(INDEX(SubMap!$B$2:$AE$12,MATCH($C5,SubMap!$A$2:$A$12,0),0),5),0))</f>
        <v/>
      </c>
      <c r="W5">
        <f>IF(OR($A5="",V5=0),"",ROUND(U5/V5*100,1))</f>
        <v/>
      </c>
      <c r="X5">
        <f>IF($A5="","",IFERROR(INDEX(Papers!$J$2:$J$12,MATCH($C5,Papers!$A$2:$A$12,0)),""))</f>
        <v/>
      </c>
      <c r="Y5">
        <f>IF($A5="","",IFERROR(SUMPRODUCT((INDEX(SubMap!$B$2:$AE$12,MATCH($C5,SubMap!$A$2:$A$12,0),0)=6)*Attempts!$AR5:$BU5),0))</f>
        <v/>
      </c>
      <c r="Z5">
        <f>IF($A5="","",IFERROR(COUNTIF(INDEX(SubMap!$B$2:$AE$12,MATCH($C5,SubMap!$A$2:$A$12,0),0),6),0))</f>
        <v/>
      </c>
      <c r="AA5">
        <f>IF(OR($A5="",Z5=0),"",ROUND(Y5/Z5*100,1))</f>
        <v/>
      </c>
      <c r="AB5">
        <f>IF($A5="","",IFERROR(INDEX(CHOOSE({1,2,3,4,5,6},D5,H5,L5,P5,T5,X5),MATCH(MIN(G5,K5,O5,S5,W5,AA5),CHOOSE({1,2,3,4,5,6},G5,K5,O5,S5,W5,AA5),0)),""))</f>
        <v/>
      </c>
      <c r="AC5">
        <f>IF($A5="","",IF(COUNT(G5,K5,O5,S5,W5,AA5)=0,"",MIN(G5,K5,O5,S5,W5,AA5)))</f>
        <v/>
      </c>
      <c r="AD5">
        <f>IF($A5="","",IFERROR(INDEX(CHOOSE({1,2,3,4,5,6},IFERROR(INDEX(Papers!$K$2:$K$12,MATCH($C5,Papers!$A$2:$A$12,0)),""),IFERROR(INDEX(Papers!$L$2:$L$12,MATCH($C5,Papers!$A$2:$A$12,0)),""),IFERROR(INDEX(Papers!$M$2:$M$12,MATCH($C5,Papers!$A$2:$A$12,0)),""),IFERROR(INDEX(Papers!$N$2:$N$12,MATCH($C5,Papers!$A$2:$A$12,0)),""),IFERROR(INDEX(Papers!$O$2:$O$12,MATCH($C5,Papers!$A$2:$A$12,0)),""),IFERROR(INDEX(Papers!$P$2:$P$12,MATCH($C5,Papers!$A$2:$A$12,0)),"")),MATCH(MIN(G5,K5,O5,S5,W5,AA5),CHOOSE({1,2,3,4,5,6},G5,K5,O5,S5,W5,AA5),0)),""))</f>
        <v/>
      </c>
      <c r="AE5">
        <f>IF(AC5="","",IF(AC5&lt;50,"Re-teach",IF(AC5&lt;75,"Practice more","Relatively secure")))</f>
        <v/>
      </c>
    </row>
    <row r="6">
      <c r="A6">
        <f>IF(Attempts!A6="","",Attempts!A6)</f>
        <v/>
      </c>
      <c r="B6">
        <f>IF(Attempts!A6="","",Attempts!B6)</f>
        <v/>
      </c>
      <c r="C6">
        <f>IF(Attempts!A6="","",Attempts!D6)</f>
        <v/>
      </c>
      <c r="D6">
        <f>IF($A6="","",IFERROR(INDEX(Papers!$E$2:$E$12,MATCH($C6,Papers!$A$2:$A$12,0)),""))</f>
        <v/>
      </c>
      <c r="E6">
        <f>IF($A6="","",IFERROR(SUMPRODUCT((INDEX(SubMap!$B$2:$AE$12,MATCH($C6,SubMap!$A$2:$A$12,0),0)=1)*Attempts!$AR6:$BU6),0))</f>
        <v/>
      </c>
      <c r="F6">
        <f>IF($A6="","",IFERROR(COUNTIF(INDEX(SubMap!$B$2:$AE$12,MATCH($C6,SubMap!$A$2:$A$12,0),0),1),0))</f>
        <v/>
      </c>
      <c r="G6">
        <f>IF(OR($A6="",F6=0),"",ROUND(E6/F6*100,1))</f>
        <v/>
      </c>
      <c r="H6">
        <f>IF($A6="","",IFERROR(INDEX(Papers!$F$2:$F$12,MATCH($C6,Papers!$A$2:$A$12,0)),""))</f>
        <v/>
      </c>
      <c r="I6">
        <f>IF($A6="","",IFERROR(SUMPRODUCT((INDEX(SubMap!$B$2:$AE$12,MATCH($C6,SubMap!$A$2:$A$12,0),0)=2)*Attempts!$AR6:$BU6),0))</f>
        <v/>
      </c>
      <c r="J6">
        <f>IF($A6="","",IFERROR(COUNTIF(INDEX(SubMap!$B$2:$AE$12,MATCH($C6,SubMap!$A$2:$A$12,0),0),2),0))</f>
        <v/>
      </c>
      <c r="K6">
        <f>IF(OR($A6="",J6=0),"",ROUND(I6/J6*100,1))</f>
        <v/>
      </c>
      <c r="L6">
        <f>IF($A6="","",IFERROR(INDEX(Papers!$G$2:$G$12,MATCH($C6,Papers!$A$2:$A$12,0)),""))</f>
        <v/>
      </c>
      <c r="M6">
        <f>IF($A6="","",IFERROR(SUMPRODUCT((INDEX(SubMap!$B$2:$AE$12,MATCH($C6,SubMap!$A$2:$A$12,0),0)=3)*Attempts!$AR6:$BU6),0))</f>
        <v/>
      </c>
      <c r="N6">
        <f>IF($A6="","",IFERROR(COUNTIF(INDEX(SubMap!$B$2:$AE$12,MATCH($C6,SubMap!$A$2:$A$12,0),0),3),0))</f>
        <v/>
      </c>
      <c r="O6">
        <f>IF(OR($A6="",N6=0),"",ROUND(M6/N6*100,1))</f>
        <v/>
      </c>
      <c r="P6">
        <f>IF($A6="","",IFERROR(INDEX(Papers!$H$2:$H$12,MATCH($C6,Papers!$A$2:$A$12,0)),""))</f>
        <v/>
      </c>
      <c r="Q6">
        <f>IF($A6="","",IFERROR(SUMPRODUCT((INDEX(SubMap!$B$2:$AE$12,MATCH($C6,SubMap!$A$2:$A$12,0),0)=4)*Attempts!$AR6:$BU6),0))</f>
        <v/>
      </c>
      <c r="R6">
        <f>IF($A6="","",IFERROR(COUNTIF(INDEX(SubMap!$B$2:$AE$12,MATCH($C6,SubMap!$A$2:$A$12,0),0),4),0))</f>
        <v/>
      </c>
      <c r="S6">
        <f>IF(OR($A6="",R6=0),"",ROUND(Q6/R6*100,1))</f>
        <v/>
      </c>
      <c r="T6">
        <f>IF($A6="","",IFERROR(INDEX(Papers!$I$2:$I$12,MATCH($C6,Papers!$A$2:$A$12,0)),""))</f>
        <v/>
      </c>
      <c r="U6">
        <f>IF($A6="","",IFERROR(SUMPRODUCT((INDEX(SubMap!$B$2:$AE$12,MATCH($C6,SubMap!$A$2:$A$12,0),0)=5)*Attempts!$AR6:$BU6),0))</f>
        <v/>
      </c>
      <c r="V6">
        <f>IF($A6="","",IFERROR(COUNTIF(INDEX(SubMap!$B$2:$AE$12,MATCH($C6,SubMap!$A$2:$A$12,0),0),5),0))</f>
        <v/>
      </c>
      <c r="W6">
        <f>IF(OR($A6="",V6=0),"",ROUND(U6/V6*100,1))</f>
        <v/>
      </c>
      <c r="X6">
        <f>IF($A6="","",IFERROR(INDEX(Papers!$J$2:$J$12,MATCH($C6,Papers!$A$2:$A$12,0)),""))</f>
        <v/>
      </c>
      <c r="Y6">
        <f>IF($A6="","",IFERROR(SUMPRODUCT((INDEX(SubMap!$B$2:$AE$12,MATCH($C6,SubMap!$A$2:$A$12,0),0)=6)*Attempts!$AR6:$BU6),0))</f>
        <v/>
      </c>
      <c r="Z6">
        <f>IF($A6="","",IFERROR(COUNTIF(INDEX(SubMap!$B$2:$AE$12,MATCH($C6,SubMap!$A$2:$A$12,0),0),6),0))</f>
        <v/>
      </c>
      <c r="AA6">
        <f>IF(OR($A6="",Z6=0),"",ROUND(Y6/Z6*100,1))</f>
        <v/>
      </c>
      <c r="AB6">
        <f>IF($A6="","",IFERROR(INDEX(CHOOSE({1,2,3,4,5,6},D6,H6,L6,P6,T6,X6),MATCH(MIN(G6,K6,O6,S6,W6,AA6),CHOOSE({1,2,3,4,5,6},G6,K6,O6,S6,W6,AA6),0)),""))</f>
        <v/>
      </c>
      <c r="AC6">
        <f>IF($A6="","",IF(COUNT(G6,K6,O6,S6,W6,AA6)=0,"",MIN(G6,K6,O6,S6,W6,AA6)))</f>
        <v/>
      </c>
      <c r="AD6">
        <f>IF($A6="","",IFERROR(INDEX(CHOOSE({1,2,3,4,5,6},IFERROR(INDEX(Papers!$K$2:$K$12,MATCH($C6,Papers!$A$2:$A$12,0)),""),IFERROR(INDEX(Papers!$L$2:$L$12,MATCH($C6,Papers!$A$2:$A$12,0)),""),IFERROR(INDEX(Papers!$M$2:$M$12,MATCH($C6,Papers!$A$2:$A$12,0)),""),IFERROR(INDEX(Papers!$N$2:$N$12,MATCH($C6,Papers!$A$2:$A$12,0)),""),IFERROR(INDEX(Papers!$O$2:$O$12,MATCH($C6,Papers!$A$2:$A$12,0)),""),IFERROR(INDEX(Papers!$P$2:$P$12,MATCH($C6,Papers!$A$2:$A$12,0)),"")),MATCH(MIN(G6,K6,O6,S6,W6,AA6),CHOOSE({1,2,3,4,5,6},G6,K6,O6,S6,W6,AA6),0)),""))</f>
        <v/>
      </c>
      <c r="AE6">
        <f>IF(AC6="","",IF(AC6&lt;50,"Re-teach",IF(AC6&lt;75,"Practice more","Relatively secure")))</f>
        <v/>
      </c>
    </row>
    <row r="7">
      <c r="A7">
        <f>IF(Attempts!A7="","",Attempts!A7)</f>
        <v/>
      </c>
      <c r="B7">
        <f>IF(Attempts!A7="","",Attempts!B7)</f>
        <v/>
      </c>
      <c r="C7">
        <f>IF(Attempts!A7="","",Attempts!D7)</f>
        <v/>
      </c>
      <c r="D7">
        <f>IF($A7="","",IFERROR(INDEX(Papers!$E$2:$E$12,MATCH($C7,Papers!$A$2:$A$12,0)),""))</f>
        <v/>
      </c>
      <c r="E7">
        <f>IF($A7="","",IFERROR(SUMPRODUCT((INDEX(SubMap!$B$2:$AE$12,MATCH($C7,SubMap!$A$2:$A$12,0),0)=1)*Attempts!$AR7:$BU7),0))</f>
        <v/>
      </c>
      <c r="F7">
        <f>IF($A7="","",IFERROR(COUNTIF(INDEX(SubMap!$B$2:$AE$12,MATCH($C7,SubMap!$A$2:$A$12,0),0),1),0))</f>
        <v/>
      </c>
      <c r="G7">
        <f>IF(OR($A7="",F7=0),"",ROUND(E7/F7*100,1))</f>
        <v/>
      </c>
      <c r="H7">
        <f>IF($A7="","",IFERROR(INDEX(Papers!$F$2:$F$12,MATCH($C7,Papers!$A$2:$A$12,0)),""))</f>
        <v/>
      </c>
      <c r="I7">
        <f>IF($A7="","",IFERROR(SUMPRODUCT((INDEX(SubMap!$B$2:$AE$12,MATCH($C7,SubMap!$A$2:$A$12,0),0)=2)*Attempts!$AR7:$BU7),0))</f>
        <v/>
      </c>
      <c r="J7">
        <f>IF($A7="","",IFERROR(COUNTIF(INDEX(SubMap!$B$2:$AE$12,MATCH($C7,SubMap!$A$2:$A$12,0),0),2),0))</f>
        <v/>
      </c>
      <c r="K7">
        <f>IF(OR($A7="",J7=0),"",ROUND(I7/J7*100,1))</f>
        <v/>
      </c>
      <c r="L7">
        <f>IF($A7="","",IFERROR(INDEX(Papers!$G$2:$G$12,MATCH($C7,Papers!$A$2:$A$12,0)),""))</f>
        <v/>
      </c>
      <c r="M7">
        <f>IF($A7="","",IFERROR(SUMPRODUCT((INDEX(SubMap!$B$2:$AE$12,MATCH($C7,SubMap!$A$2:$A$12,0),0)=3)*Attempts!$AR7:$BU7),0))</f>
        <v/>
      </c>
      <c r="N7">
        <f>IF($A7="","",IFERROR(COUNTIF(INDEX(SubMap!$B$2:$AE$12,MATCH($C7,SubMap!$A$2:$A$12,0),0),3),0))</f>
        <v/>
      </c>
      <c r="O7">
        <f>IF(OR($A7="",N7=0),"",ROUND(M7/N7*100,1))</f>
        <v/>
      </c>
      <c r="P7">
        <f>IF($A7="","",IFERROR(INDEX(Papers!$H$2:$H$12,MATCH($C7,Papers!$A$2:$A$12,0)),""))</f>
        <v/>
      </c>
      <c r="Q7">
        <f>IF($A7="","",IFERROR(SUMPRODUCT((INDEX(SubMap!$B$2:$AE$12,MATCH($C7,SubMap!$A$2:$A$12,0),0)=4)*Attempts!$AR7:$BU7),0))</f>
        <v/>
      </c>
      <c r="R7">
        <f>IF($A7="","",IFERROR(COUNTIF(INDEX(SubMap!$B$2:$AE$12,MATCH($C7,SubMap!$A$2:$A$12,0),0),4),0))</f>
        <v/>
      </c>
      <c r="S7">
        <f>IF(OR($A7="",R7=0),"",ROUND(Q7/R7*100,1))</f>
        <v/>
      </c>
      <c r="T7">
        <f>IF($A7="","",IFERROR(INDEX(Papers!$I$2:$I$12,MATCH($C7,Papers!$A$2:$A$12,0)),""))</f>
        <v/>
      </c>
      <c r="U7">
        <f>IF($A7="","",IFERROR(SUMPRODUCT((INDEX(SubMap!$B$2:$AE$12,MATCH($C7,SubMap!$A$2:$A$12,0),0)=5)*Attempts!$AR7:$BU7),0))</f>
        <v/>
      </c>
      <c r="V7">
        <f>IF($A7="","",IFERROR(COUNTIF(INDEX(SubMap!$B$2:$AE$12,MATCH($C7,SubMap!$A$2:$A$12,0),0),5),0))</f>
        <v/>
      </c>
      <c r="W7">
        <f>IF(OR($A7="",V7=0),"",ROUND(U7/V7*100,1))</f>
        <v/>
      </c>
      <c r="X7">
        <f>IF($A7="","",IFERROR(INDEX(Papers!$J$2:$J$12,MATCH($C7,Papers!$A$2:$A$12,0)),""))</f>
        <v/>
      </c>
      <c r="Y7">
        <f>IF($A7="","",IFERROR(SUMPRODUCT((INDEX(SubMap!$B$2:$AE$12,MATCH($C7,SubMap!$A$2:$A$12,0),0)=6)*Attempts!$AR7:$BU7),0))</f>
        <v/>
      </c>
      <c r="Z7">
        <f>IF($A7="","",IFERROR(COUNTIF(INDEX(SubMap!$B$2:$AE$12,MATCH($C7,SubMap!$A$2:$A$12,0),0),6),0))</f>
        <v/>
      </c>
      <c r="AA7">
        <f>IF(OR($A7="",Z7=0),"",ROUND(Y7/Z7*100,1))</f>
        <v/>
      </c>
      <c r="AB7">
        <f>IF($A7="","",IFERROR(INDEX(CHOOSE({1,2,3,4,5,6},D7,H7,L7,P7,T7,X7),MATCH(MIN(G7,K7,O7,S7,W7,AA7),CHOOSE({1,2,3,4,5,6},G7,K7,O7,S7,W7,AA7),0)),""))</f>
        <v/>
      </c>
      <c r="AC7">
        <f>IF($A7="","",IF(COUNT(G7,K7,O7,S7,W7,AA7)=0,"",MIN(G7,K7,O7,S7,W7,AA7)))</f>
        <v/>
      </c>
      <c r="AD7">
        <f>IF($A7="","",IFERROR(INDEX(CHOOSE({1,2,3,4,5,6},IFERROR(INDEX(Papers!$K$2:$K$12,MATCH($C7,Papers!$A$2:$A$12,0)),""),IFERROR(INDEX(Papers!$L$2:$L$12,MATCH($C7,Papers!$A$2:$A$12,0)),""),IFERROR(INDEX(Papers!$M$2:$M$12,MATCH($C7,Papers!$A$2:$A$12,0)),""),IFERROR(INDEX(Papers!$N$2:$N$12,MATCH($C7,Papers!$A$2:$A$12,0)),""),IFERROR(INDEX(Papers!$O$2:$O$12,MATCH($C7,Papers!$A$2:$A$12,0)),""),IFERROR(INDEX(Papers!$P$2:$P$12,MATCH($C7,Papers!$A$2:$A$12,0)),"")),MATCH(MIN(G7,K7,O7,S7,W7,AA7),CHOOSE({1,2,3,4,5,6},G7,K7,O7,S7,W7,AA7),0)),""))</f>
        <v/>
      </c>
      <c r="AE7">
        <f>IF(AC7="","",IF(AC7&lt;50,"Re-teach",IF(AC7&lt;75,"Practice more","Relatively secure")))</f>
        <v/>
      </c>
    </row>
    <row r="8">
      <c r="A8">
        <f>IF(Attempts!A8="","",Attempts!A8)</f>
        <v/>
      </c>
      <c r="B8">
        <f>IF(Attempts!A8="","",Attempts!B8)</f>
        <v/>
      </c>
      <c r="C8">
        <f>IF(Attempts!A8="","",Attempts!D8)</f>
        <v/>
      </c>
      <c r="D8">
        <f>IF($A8="","",IFERROR(INDEX(Papers!$E$2:$E$12,MATCH($C8,Papers!$A$2:$A$12,0)),""))</f>
        <v/>
      </c>
      <c r="E8">
        <f>IF($A8="","",IFERROR(SUMPRODUCT((INDEX(SubMap!$B$2:$AE$12,MATCH($C8,SubMap!$A$2:$A$12,0),0)=1)*Attempts!$AR8:$BU8),0))</f>
        <v/>
      </c>
      <c r="F8">
        <f>IF($A8="","",IFERROR(COUNTIF(INDEX(SubMap!$B$2:$AE$12,MATCH($C8,SubMap!$A$2:$A$12,0),0),1),0))</f>
        <v/>
      </c>
      <c r="G8">
        <f>IF(OR($A8="",F8=0),"",ROUND(E8/F8*100,1))</f>
        <v/>
      </c>
      <c r="H8">
        <f>IF($A8="","",IFERROR(INDEX(Papers!$F$2:$F$12,MATCH($C8,Papers!$A$2:$A$12,0)),""))</f>
        <v/>
      </c>
      <c r="I8">
        <f>IF($A8="","",IFERROR(SUMPRODUCT((INDEX(SubMap!$B$2:$AE$12,MATCH($C8,SubMap!$A$2:$A$12,0),0)=2)*Attempts!$AR8:$BU8),0))</f>
        <v/>
      </c>
      <c r="J8">
        <f>IF($A8="","",IFERROR(COUNTIF(INDEX(SubMap!$B$2:$AE$12,MATCH($C8,SubMap!$A$2:$A$12,0),0),2),0))</f>
        <v/>
      </c>
      <c r="K8">
        <f>IF(OR($A8="",J8=0),"",ROUND(I8/J8*100,1))</f>
        <v/>
      </c>
      <c r="L8">
        <f>IF($A8="","",IFERROR(INDEX(Papers!$G$2:$G$12,MATCH($C8,Papers!$A$2:$A$12,0)),""))</f>
        <v/>
      </c>
      <c r="M8">
        <f>IF($A8="","",IFERROR(SUMPRODUCT((INDEX(SubMap!$B$2:$AE$12,MATCH($C8,SubMap!$A$2:$A$12,0),0)=3)*Attempts!$AR8:$BU8),0))</f>
        <v/>
      </c>
      <c r="N8">
        <f>IF($A8="","",IFERROR(COUNTIF(INDEX(SubMap!$B$2:$AE$12,MATCH($C8,SubMap!$A$2:$A$12,0),0),3),0))</f>
        <v/>
      </c>
      <c r="O8">
        <f>IF(OR($A8="",N8=0),"",ROUND(M8/N8*100,1))</f>
        <v/>
      </c>
      <c r="P8">
        <f>IF($A8="","",IFERROR(INDEX(Papers!$H$2:$H$12,MATCH($C8,Papers!$A$2:$A$12,0)),""))</f>
        <v/>
      </c>
      <c r="Q8">
        <f>IF($A8="","",IFERROR(SUMPRODUCT((INDEX(SubMap!$B$2:$AE$12,MATCH($C8,SubMap!$A$2:$A$12,0),0)=4)*Attempts!$AR8:$BU8),0))</f>
        <v/>
      </c>
      <c r="R8">
        <f>IF($A8="","",IFERROR(COUNTIF(INDEX(SubMap!$B$2:$AE$12,MATCH($C8,SubMap!$A$2:$A$12,0),0),4),0))</f>
        <v/>
      </c>
      <c r="S8">
        <f>IF(OR($A8="",R8=0),"",ROUND(Q8/R8*100,1))</f>
        <v/>
      </c>
      <c r="T8">
        <f>IF($A8="","",IFERROR(INDEX(Papers!$I$2:$I$12,MATCH($C8,Papers!$A$2:$A$12,0)),""))</f>
        <v/>
      </c>
      <c r="U8">
        <f>IF($A8="","",IFERROR(SUMPRODUCT((INDEX(SubMap!$B$2:$AE$12,MATCH($C8,SubMap!$A$2:$A$12,0),0)=5)*Attempts!$AR8:$BU8),0))</f>
        <v/>
      </c>
      <c r="V8">
        <f>IF($A8="","",IFERROR(COUNTIF(INDEX(SubMap!$B$2:$AE$12,MATCH($C8,SubMap!$A$2:$A$12,0),0),5),0))</f>
        <v/>
      </c>
      <c r="W8">
        <f>IF(OR($A8="",V8=0),"",ROUND(U8/V8*100,1))</f>
        <v/>
      </c>
      <c r="X8">
        <f>IF($A8="","",IFERROR(INDEX(Papers!$J$2:$J$12,MATCH($C8,Papers!$A$2:$A$12,0)),""))</f>
        <v/>
      </c>
      <c r="Y8">
        <f>IF($A8="","",IFERROR(SUMPRODUCT((INDEX(SubMap!$B$2:$AE$12,MATCH($C8,SubMap!$A$2:$A$12,0),0)=6)*Attempts!$AR8:$BU8),0))</f>
        <v/>
      </c>
      <c r="Z8">
        <f>IF($A8="","",IFERROR(COUNTIF(INDEX(SubMap!$B$2:$AE$12,MATCH($C8,SubMap!$A$2:$A$12,0),0),6),0))</f>
        <v/>
      </c>
      <c r="AA8">
        <f>IF(OR($A8="",Z8=0),"",ROUND(Y8/Z8*100,1))</f>
        <v/>
      </c>
      <c r="AB8">
        <f>IF($A8="","",IFERROR(INDEX(CHOOSE({1,2,3,4,5,6},D8,H8,L8,P8,T8,X8),MATCH(MIN(G8,K8,O8,S8,W8,AA8),CHOOSE({1,2,3,4,5,6},G8,K8,O8,S8,W8,AA8),0)),""))</f>
        <v/>
      </c>
      <c r="AC8">
        <f>IF($A8="","",IF(COUNT(G8,K8,O8,S8,W8,AA8)=0,"",MIN(G8,K8,O8,S8,W8,AA8)))</f>
        <v/>
      </c>
      <c r="AD8">
        <f>IF($A8="","",IFERROR(INDEX(CHOOSE({1,2,3,4,5,6},IFERROR(INDEX(Papers!$K$2:$K$12,MATCH($C8,Papers!$A$2:$A$12,0)),""),IFERROR(INDEX(Papers!$L$2:$L$12,MATCH($C8,Papers!$A$2:$A$12,0)),""),IFERROR(INDEX(Papers!$M$2:$M$12,MATCH($C8,Papers!$A$2:$A$12,0)),""),IFERROR(INDEX(Papers!$N$2:$N$12,MATCH($C8,Papers!$A$2:$A$12,0)),""),IFERROR(INDEX(Papers!$O$2:$O$12,MATCH($C8,Papers!$A$2:$A$12,0)),""),IFERROR(INDEX(Papers!$P$2:$P$12,MATCH($C8,Papers!$A$2:$A$12,0)),"")),MATCH(MIN(G8,K8,O8,S8,W8,AA8),CHOOSE({1,2,3,4,5,6},G8,K8,O8,S8,W8,AA8),0)),""))</f>
        <v/>
      </c>
      <c r="AE8">
        <f>IF(AC8="","",IF(AC8&lt;50,"Re-teach",IF(AC8&lt;75,"Practice more","Relatively secure")))</f>
        <v/>
      </c>
    </row>
    <row r="9">
      <c r="A9">
        <f>IF(Attempts!A9="","",Attempts!A9)</f>
        <v/>
      </c>
      <c r="B9">
        <f>IF(Attempts!A9="","",Attempts!B9)</f>
        <v/>
      </c>
      <c r="C9">
        <f>IF(Attempts!A9="","",Attempts!D9)</f>
        <v/>
      </c>
      <c r="D9">
        <f>IF($A9="","",IFERROR(INDEX(Papers!$E$2:$E$12,MATCH($C9,Papers!$A$2:$A$12,0)),""))</f>
        <v/>
      </c>
      <c r="E9">
        <f>IF($A9="","",IFERROR(SUMPRODUCT((INDEX(SubMap!$B$2:$AE$12,MATCH($C9,SubMap!$A$2:$A$12,0),0)=1)*Attempts!$AR9:$BU9),0))</f>
        <v/>
      </c>
      <c r="F9">
        <f>IF($A9="","",IFERROR(COUNTIF(INDEX(SubMap!$B$2:$AE$12,MATCH($C9,SubMap!$A$2:$A$12,0),0),1),0))</f>
        <v/>
      </c>
      <c r="G9">
        <f>IF(OR($A9="",F9=0),"",ROUND(E9/F9*100,1))</f>
        <v/>
      </c>
      <c r="H9">
        <f>IF($A9="","",IFERROR(INDEX(Papers!$F$2:$F$12,MATCH($C9,Papers!$A$2:$A$12,0)),""))</f>
        <v/>
      </c>
      <c r="I9">
        <f>IF($A9="","",IFERROR(SUMPRODUCT((INDEX(SubMap!$B$2:$AE$12,MATCH($C9,SubMap!$A$2:$A$12,0),0)=2)*Attempts!$AR9:$BU9),0))</f>
        <v/>
      </c>
      <c r="J9">
        <f>IF($A9="","",IFERROR(COUNTIF(INDEX(SubMap!$B$2:$AE$12,MATCH($C9,SubMap!$A$2:$A$12,0),0),2),0))</f>
        <v/>
      </c>
      <c r="K9">
        <f>IF(OR($A9="",J9=0),"",ROUND(I9/J9*100,1))</f>
        <v/>
      </c>
      <c r="L9">
        <f>IF($A9="","",IFERROR(INDEX(Papers!$G$2:$G$12,MATCH($C9,Papers!$A$2:$A$12,0)),""))</f>
        <v/>
      </c>
      <c r="M9">
        <f>IF($A9="","",IFERROR(SUMPRODUCT((INDEX(SubMap!$B$2:$AE$12,MATCH($C9,SubMap!$A$2:$A$12,0),0)=3)*Attempts!$AR9:$BU9),0))</f>
        <v/>
      </c>
      <c r="N9">
        <f>IF($A9="","",IFERROR(COUNTIF(INDEX(SubMap!$B$2:$AE$12,MATCH($C9,SubMap!$A$2:$A$12,0),0),3),0))</f>
        <v/>
      </c>
      <c r="O9">
        <f>IF(OR($A9="",N9=0),"",ROUND(M9/N9*100,1))</f>
        <v/>
      </c>
      <c r="P9">
        <f>IF($A9="","",IFERROR(INDEX(Papers!$H$2:$H$12,MATCH($C9,Papers!$A$2:$A$12,0)),""))</f>
        <v/>
      </c>
      <c r="Q9">
        <f>IF($A9="","",IFERROR(SUMPRODUCT((INDEX(SubMap!$B$2:$AE$12,MATCH($C9,SubMap!$A$2:$A$12,0),0)=4)*Attempts!$AR9:$BU9),0))</f>
        <v/>
      </c>
      <c r="R9">
        <f>IF($A9="","",IFERROR(COUNTIF(INDEX(SubMap!$B$2:$AE$12,MATCH($C9,SubMap!$A$2:$A$12,0),0),4),0))</f>
        <v/>
      </c>
      <c r="S9">
        <f>IF(OR($A9="",R9=0),"",ROUND(Q9/R9*100,1))</f>
        <v/>
      </c>
      <c r="T9">
        <f>IF($A9="","",IFERROR(INDEX(Papers!$I$2:$I$12,MATCH($C9,Papers!$A$2:$A$12,0)),""))</f>
        <v/>
      </c>
      <c r="U9">
        <f>IF($A9="","",IFERROR(SUMPRODUCT((INDEX(SubMap!$B$2:$AE$12,MATCH($C9,SubMap!$A$2:$A$12,0),0)=5)*Attempts!$AR9:$BU9),0))</f>
        <v/>
      </c>
      <c r="V9">
        <f>IF($A9="","",IFERROR(COUNTIF(INDEX(SubMap!$B$2:$AE$12,MATCH($C9,SubMap!$A$2:$A$12,0),0),5),0))</f>
        <v/>
      </c>
      <c r="W9">
        <f>IF(OR($A9="",V9=0),"",ROUND(U9/V9*100,1))</f>
        <v/>
      </c>
      <c r="X9">
        <f>IF($A9="","",IFERROR(INDEX(Papers!$J$2:$J$12,MATCH($C9,Papers!$A$2:$A$12,0)),""))</f>
        <v/>
      </c>
      <c r="Y9">
        <f>IF($A9="","",IFERROR(SUMPRODUCT((INDEX(SubMap!$B$2:$AE$12,MATCH($C9,SubMap!$A$2:$A$12,0),0)=6)*Attempts!$AR9:$BU9),0))</f>
        <v/>
      </c>
      <c r="Z9">
        <f>IF($A9="","",IFERROR(COUNTIF(INDEX(SubMap!$B$2:$AE$12,MATCH($C9,SubMap!$A$2:$A$12,0),0),6),0))</f>
        <v/>
      </c>
      <c r="AA9">
        <f>IF(OR($A9="",Z9=0),"",ROUND(Y9/Z9*100,1))</f>
        <v/>
      </c>
      <c r="AB9">
        <f>IF($A9="","",IFERROR(INDEX(CHOOSE({1,2,3,4,5,6},D9,H9,L9,P9,T9,X9),MATCH(MIN(G9,K9,O9,S9,W9,AA9),CHOOSE({1,2,3,4,5,6},G9,K9,O9,S9,W9,AA9),0)),""))</f>
        <v/>
      </c>
      <c r="AC9">
        <f>IF($A9="","",IF(COUNT(G9,K9,O9,S9,W9,AA9)=0,"",MIN(G9,K9,O9,S9,W9,AA9)))</f>
        <v/>
      </c>
      <c r="AD9">
        <f>IF($A9="","",IFERROR(INDEX(CHOOSE({1,2,3,4,5,6},IFERROR(INDEX(Papers!$K$2:$K$12,MATCH($C9,Papers!$A$2:$A$12,0)),""),IFERROR(INDEX(Papers!$L$2:$L$12,MATCH($C9,Papers!$A$2:$A$12,0)),""),IFERROR(INDEX(Papers!$M$2:$M$12,MATCH($C9,Papers!$A$2:$A$12,0)),""),IFERROR(INDEX(Papers!$N$2:$N$12,MATCH($C9,Papers!$A$2:$A$12,0)),""),IFERROR(INDEX(Papers!$O$2:$O$12,MATCH($C9,Papers!$A$2:$A$12,0)),""),IFERROR(INDEX(Papers!$P$2:$P$12,MATCH($C9,Papers!$A$2:$A$12,0)),"")),MATCH(MIN(G9,K9,O9,S9,W9,AA9),CHOOSE({1,2,3,4,5,6},G9,K9,O9,S9,W9,AA9),0)),""))</f>
        <v/>
      </c>
      <c r="AE9">
        <f>IF(AC9="","",IF(AC9&lt;50,"Re-teach",IF(AC9&lt;75,"Practice more","Relatively secure")))</f>
        <v/>
      </c>
    </row>
    <row r="10">
      <c r="A10">
        <f>IF(Attempts!A10="","",Attempts!A10)</f>
        <v/>
      </c>
      <c r="B10">
        <f>IF(Attempts!A10="","",Attempts!B10)</f>
        <v/>
      </c>
      <c r="C10">
        <f>IF(Attempts!A10="","",Attempts!D10)</f>
        <v/>
      </c>
      <c r="D10">
        <f>IF($A10="","",IFERROR(INDEX(Papers!$E$2:$E$12,MATCH($C10,Papers!$A$2:$A$12,0)),""))</f>
        <v/>
      </c>
      <c r="E10">
        <f>IF($A10="","",IFERROR(SUMPRODUCT((INDEX(SubMap!$B$2:$AE$12,MATCH($C10,SubMap!$A$2:$A$12,0),0)=1)*Attempts!$AR10:$BU10),0))</f>
        <v/>
      </c>
      <c r="F10">
        <f>IF($A10="","",IFERROR(COUNTIF(INDEX(SubMap!$B$2:$AE$12,MATCH($C10,SubMap!$A$2:$A$12,0),0),1),0))</f>
        <v/>
      </c>
      <c r="G10">
        <f>IF(OR($A10="",F10=0),"",ROUND(E10/F10*100,1))</f>
        <v/>
      </c>
      <c r="H10">
        <f>IF($A10="","",IFERROR(INDEX(Papers!$F$2:$F$12,MATCH($C10,Papers!$A$2:$A$12,0)),""))</f>
        <v/>
      </c>
      <c r="I10">
        <f>IF($A10="","",IFERROR(SUMPRODUCT((INDEX(SubMap!$B$2:$AE$12,MATCH($C10,SubMap!$A$2:$A$12,0),0)=2)*Attempts!$AR10:$BU10),0))</f>
        <v/>
      </c>
      <c r="J10">
        <f>IF($A10="","",IFERROR(COUNTIF(INDEX(SubMap!$B$2:$AE$12,MATCH($C10,SubMap!$A$2:$A$12,0),0),2),0))</f>
        <v/>
      </c>
      <c r="K10">
        <f>IF(OR($A10="",J10=0),"",ROUND(I10/J10*100,1))</f>
        <v/>
      </c>
      <c r="L10">
        <f>IF($A10="","",IFERROR(INDEX(Papers!$G$2:$G$12,MATCH($C10,Papers!$A$2:$A$12,0)),""))</f>
        <v/>
      </c>
      <c r="M10">
        <f>IF($A10="","",IFERROR(SUMPRODUCT((INDEX(SubMap!$B$2:$AE$12,MATCH($C10,SubMap!$A$2:$A$12,0),0)=3)*Attempts!$AR10:$BU10),0))</f>
        <v/>
      </c>
      <c r="N10">
        <f>IF($A10="","",IFERROR(COUNTIF(INDEX(SubMap!$B$2:$AE$12,MATCH($C10,SubMap!$A$2:$A$12,0),0),3),0))</f>
        <v/>
      </c>
      <c r="O10">
        <f>IF(OR($A10="",N10=0),"",ROUND(M10/N10*100,1))</f>
        <v/>
      </c>
      <c r="P10">
        <f>IF($A10="","",IFERROR(INDEX(Papers!$H$2:$H$12,MATCH($C10,Papers!$A$2:$A$12,0)),""))</f>
        <v/>
      </c>
      <c r="Q10">
        <f>IF($A10="","",IFERROR(SUMPRODUCT((INDEX(SubMap!$B$2:$AE$12,MATCH($C10,SubMap!$A$2:$A$12,0),0)=4)*Attempts!$AR10:$BU10),0))</f>
        <v/>
      </c>
      <c r="R10">
        <f>IF($A10="","",IFERROR(COUNTIF(INDEX(SubMap!$B$2:$AE$12,MATCH($C10,SubMap!$A$2:$A$12,0),0),4),0))</f>
        <v/>
      </c>
      <c r="S10">
        <f>IF(OR($A10="",R10=0),"",ROUND(Q10/R10*100,1))</f>
        <v/>
      </c>
      <c r="T10">
        <f>IF($A10="","",IFERROR(INDEX(Papers!$I$2:$I$12,MATCH($C10,Papers!$A$2:$A$12,0)),""))</f>
        <v/>
      </c>
      <c r="U10">
        <f>IF($A10="","",IFERROR(SUMPRODUCT((INDEX(SubMap!$B$2:$AE$12,MATCH($C10,SubMap!$A$2:$A$12,0),0)=5)*Attempts!$AR10:$BU10),0))</f>
        <v/>
      </c>
      <c r="V10">
        <f>IF($A10="","",IFERROR(COUNTIF(INDEX(SubMap!$B$2:$AE$12,MATCH($C10,SubMap!$A$2:$A$12,0),0),5),0))</f>
        <v/>
      </c>
      <c r="W10">
        <f>IF(OR($A10="",V10=0),"",ROUND(U10/V10*100,1))</f>
        <v/>
      </c>
      <c r="X10">
        <f>IF($A10="","",IFERROR(INDEX(Papers!$J$2:$J$12,MATCH($C10,Papers!$A$2:$A$12,0)),""))</f>
        <v/>
      </c>
      <c r="Y10">
        <f>IF($A10="","",IFERROR(SUMPRODUCT((INDEX(SubMap!$B$2:$AE$12,MATCH($C10,SubMap!$A$2:$A$12,0),0)=6)*Attempts!$AR10:$BU10),0))</f>
        <v/>
      </c>
      <c r="Z10">
        <f>IF($A10="","",IFERROR(COUNTIF(INDEX(SubMap!$B$2:$AE$12,MATCH($C10,SubMap!$A$2:$A$12,0),0),6),0))</f>
        <v/>
      </c>
      <c r="AA10">
        <f>IF(OR($A10="",Z10=0),"",ROUND(Y10/Z10*100,1))</f>
        <v/>
      </c>
      <c r="AB10">
        <f>IF($A10="","",IFERROR(INDEX(CHOOSE({1,2,3,4,5,6},D10,H10,L10,P10,T10,X10),MATCH(MIN(G10,K10,O10,S10,W10,AA10),CHOOSE({1,2,3,4,5,6},G10,K10,O10,S10,W10,AA10),0)),""))</f>
        <v/>
      </c>
      <c r="AC10">
        <f>IF($A10="","",IF(COUNT(G10,K10,O10,S10,W10,AA10)=0,"",MIN(G10,K10,O10,S10,W10,AA10)))</f>
        <v/>
      </c>
      <c r="AD10">
        <f>IF($A10="","",IFERROR(INDEX(CHOOSE({1,2,3,4,5,6},IFERROR(INDEX(Papers!$K$2:$K$12,MATCH($C10,Papers!$A$2:$A$12,0)),""),IFERROR(INDEX(Papers!$L$2:$L$12,MATCH($C10,Papers!$A$2:$A$12,0)),""),IFERROR(INDEX(Papers!$M$2:$M$12,MATCH($C10,Papers!$A$2:$A$12,0)),""),IFERROR(INDEX(Papers!$N$2:$N$12,MATCH($C10,Papers!$A$2:$A$12,0)),""),IFERROR(INDEX(Papers!$O$2:$O$12,MATCH($C10,Papers!$A$2:$A$12,0)),""),IFERROR(INDEX(Papers!$P$2:$P$12,MATCH($C10,Papers!$A$2:$A$12,0)),"")),MATCH(MIN(G10,K10,O10,S10,W10,AA10),CHOOSE({1,2,3,4,5,6},G10,K10,O10,S10,W10,AA10),0)),""))</f>
        <v/>
      </c>
      <c r="AE10">
        <f>IF(AC10="","",IF(AC10&lt;50,"Re-teach",IF(AC10&lt;75,"Practice more","Relatively secure")))</f>
        <v/>
      </c>
    </row>
    <row r="11">
      <c r="A11">
        <f>IF(Attempts!A11="","",Attempts!A11)</f>
        <v/>
      </c>
      <c r="B11">
        <f>IF(Attempts!A11="","",Attempts!B11)</f>
        <v/>
      </c>
      <c r="C11">
        <f>IF(Attempts!A11="","",Attempts!D11)</f>
        <v/>
      </c>
      <c r="D11">
        <f>IF($A11="","",IFERROR(INDEX(Papers!$E$2:$E$12,MATCH($C11,Papers!$A$2:$A$12,0)),""))</f>
        <v/>
      </c>
      <c r="E11">
        <f>IF($A11="","",IFERROR(SUMPRODUCT((INDEX(SubMap!$B$2:$AE$12,MATCH($C11,SubMap!$A$2:$A$12,0),0)=1)*Attempts!$AR11:$BU11),0))</f>
        <v/>
      </c>
      <c r="F11">
        <f>IF($A11="","",IFERROR(COUNTIF(INDEX(SubMap!$B$2:$AE$12,MATCH($C11,SubMap!$A$2:$A$12,0),0),1),0))</f>
        <v/>
      </c>
      <c r="G11">
        <f>IF(OR($A11="",F11=0),"",ROUND(E11/F11*100,1))</f>
        <v/>
      </c>
      <c r="H11">
        <f>IF($A11="","",IFERROR(INDEX(Papers!$F$2:$F$12,MATCH($C11,Papers!$A$2:$A$12,0)),""))</f>
        <v/>
      </c>
      <c r="I11">
        <f>IF($A11="","",IFERROR(SUMPRODUCT((INDEX(SubMap!$B$2:$AE$12,MATCH($C11,SubMap!$A$2:$A$12,0),0)=2)*Attempts!$AR11:$BU11),0))</f>
        <v/>
      </c>
      <c r="J11">
        <f>IF($A11="","",IFERROR(COUNTIF(INDEX(SubMap!$B$2:$AE$12,MATCH($C11,SubMap!$A$2:$A$12,0),0),2),0))</f>
        <v/>
      </c>
      <c r="K11">
        <f>IF(OR($A11="",J11=0),"",ROUND(I11/J11*100,1))</f>
        <v/>
      </c>
      <c r="L11">
        <f>IF($A11="","",IFERROR(INDEX(Papers!$G$2:$G$12,MATCH($C11,Papers!$A$2:$A$12,0)),""))</f>
        <v/>
      </c>
      <c r="M11">
        <f>IF($A11="","",IFERROR(SUMPRODUCT((INDEX(SubMap!$B$2:$AE$12,MATCH($C11,SubMap!$A$2:$A$12,0),0)=3)*Attempts!$AR11:$BU11),0))</f>
        <v/>
      </c>
      <c r="N11">
        <f>IF($A11="","",IFERROR(COUNTIF(INDEX(SubMap!$B$2:$AE$12,MATCH($C11,SubMap!$A$2:$A$12,0),0),3),0))</f>
        <v/>
      </c>
      <c r="O11">
        <f>IF(OR($A11="",N11=0),"",ROUND(M11/N11*100,1))</f>
        <v/>
      </c>
      <c r="P11">
        <f>IF($A11="","",IFERROR(INDEX(Papers!$H$2:$H$12,MATCH($C11,Papers!$A$2:$A$12,0)),""))</f>
        <v/>
      </c>
      <c r="Q11">
        <f>IF($A11="","",IFERROR(SUMPRODUCT((INDEX(SubMap!$B$2:$AE$12,MATCH($C11,SubMap!$A$2:$A$12,0),0)=4)*Attempts!$AR11:$BU11),0))</f>
        <v/>
      </c>
      <c r="R11">
        <f>IF($A11="","",IFERROR(COUNTIF(INDEX(SubMap!$B$2:$AE$12,MATCH($C11,SubMap!$A$2:$A$12,0),0),4),0))</f>
        <v/>
      </c>
      <c r="S11">
        <f>IF(OR($A11="",R11=0),"",ROUND(Q11/R11*100,1))</f>
        <v/>
      </c>
      <c r="T11">
        <f>IF($A11="","",IFERROR(INDEX(Papers!$I$2:$I$12,MATCH($C11,Papers!$A$2:$A$12,0)),""))</f>
        <v/>
      </c>
      <c r="U11">
        <f>IF($A11="","",IFERROR(SUMPRODUCT((INDEX(SubMap!$B$2:$AE$12,MATCH($C11,SubMap!$A$2:$A$12,0),0)=5)*Attempts!$AR11:$BU11),0))</f>
        <v/>
      </c>
      <c r="V11">
        <f>IF($A11="","",IFERROR(COUNTIF(INDEX(SubMap!$B$2:$AE$12,MATCH($C11,SubMap!$A$2:$A$12,0),0),5),0))</f>
        <v/>
      </c>
      <c r="W11">
        <f>IF(OR($A11="",V11=0),"",ROUND(U11/V11*100,1))</f>
        <v/>
      </c>
      <c r="X11">
        <f>IF($A11="","",IFERROR(INDEX(Papers!$J$2:$J$12,MATCH($C11,Papers!$A$2:$A$12,0)),""))</f>
        <v/>
      </c>
      <c r="Y11">
        <f>IF($A11="","",IFERROR(SUMPRODUCT((INDEX(SubMap!$B$2:$AE$12,MATCH($C11,SubMap!$A$2:$A$12,0),0)=6)*Attempts!$AR11:$BU11),0))</f>
        <v/>
      </c>
      <c r="Z11">
        <f>IF($A11="","",IFERROR(COUNTIF(INDEX(SubMap!$B$2:$AE$12,MATCH($C11,SubMap!$A$2:$A$12,0),0),6),0))</f>
        <v/>
      </c>
      <c r="AA11">
        <f>IF(OR($A11="",Z11=0),"",ROUND(Y11/Z11*100,1))</f>
        <v/>
      </c>
      <c r="AB11">
        <f>IF($A11="","",IFERROR(INDEX(CHOOSE({1,2,3,4,5,6},D11,H11,L11,P11,T11,X11),MATCH(MIN(G11,K11,O11,S11,W11,AA11),CHOOSE({1,2,3,4,5,6},G11,K11,O11,S11,W11,AA11),0)),""))</f>
        <v/>
      </c>
      <c r="AC11">
        <f>IF($A11="","",IF(COUNT(G11,K11,O11,S11,W11,AA11)=0,"",MIN(G11,K11,O11,S11,W11,AA11)))</f>
        <v/>
      </c>
      <c r="AD11">
        <f>IF($A11="","",IFERROR(INDEX(CHOOSE({1,2,3,4,5,6},IFERROR(INDEX(Papers!$K$2:$K$12,MATCH($C11,Papers!$A$2:$A$12,0)),""),IFERROR(INDEX(Papers!$L$2:$L$12,MATCH($C11,Papers!$A$2:$A$12,0)),""),IFERROR(INDEX(Papers!$M$2:$M$12,MATCH($C11,Papers!$A$2:$A$12,0)),""),IFERROR(INDEX(Papers!$N$2:$N$12,MATCH($C11,Papers!$A$2:$A$12,0)),""),IFERROR(INDEX(Papers!$O$2:$O$12,MATCH($C11,Papers!$A$2:$A$12,0)),""),IFERROR(INDEX(Papers!$P$2:$P$12,MATCH($C11,Papers!$A$2:$A$12,0)),"")),MATCH(MIN(G11,K11,O11,S11,W11,AA11),CHOOSE({1,2,3,4,5,6},G11,K11,O11,S11,W11,AA11),0)),""))</f>
        <v/>
      </c>
      <c r="AE11">
        <f>IF(AC11="","",IF(AC11&lt;50,"Re-teach",IF(AC11&lt;75,"Practice more","Relatively secure")))</f>
        <v/>
      </c>
    </row>
    <row r="12">
      <c r="A12">
        <f>IF(Attempts!A12="","",Attempts!A12)</f>
        <v/>
      </c>
      <c r="B12">
        <f>IF(Attempts!A12="","",Attempts!B12)</f>
        <v/>
      </c>
      <c r="C12">
        <f>IF(Attempts!A12="","",Attempts!D12)</f>
        <v/>
      </c>
      <c r="D12">
        <f>IF($A12="","",IFERROR(INDEX(Papers!$E$2:$E$12,MATCH($C12,Papers!$A$2:$A$12,0)),""))</f>
        <v/>
      </c>
      <c r="E12">
        <f>IF($A12="","",IFERROR(SUMPRODUCT((INDEX(SubMap!$B$2:$AE$12,MATCH($C12,SubMap!$A$2:$A$12,0),0)=1)*Attempts!$AR12:$BU12),0))</f>
        <v/>
      </c>
      <c r="F12">
        <f>IF($A12="","",IFERROR(COUNTIF(INDEX(SubMap!$B$2:$AE$12,MATCH($C12,SubMap!$A$2:$A$12,0),0),1),0))</f>
        <v/>
      </c>
      <c r="G12">
        <f>IF(OR($A12="",F12=0),"",ROUND(E12/F12*100,1))</f>
        <v/>
      </c>
      <c r="H12">
        <f>IF($A12="","",IFERROR(INDEX(Papers!$F$2:$F$12,MATCH($C12,Papers!$A$2:$A$12,0)),""))</f>
        <v/>
      </c>
      <c r="I12">
        <f>IF($A12="","",IFERROR(SUMPRODUCT((INDEX(SubMap!$B$2:$AE$12,MATCH($C12,SubMap!$A$2:$A$12,0),0)=2)*Attempts!$AR12:$BU12),0))</f>
        <v/>
      </c>
      <c r="J12">
        <f>IF($A12="","",IFERROR(COUNTIF(INDEX(SubMap!$B$2:$AE$12,MATCH($C12,SubMap!$A$2:$A$12,0),0),2),0))</f>
        <v/>
      </c>
      <c r="K12">
        <f>IF(OR($A12="",J12=0),"",ROUND(I12/J12*100,1))</f>
        <v/>
      </c>
      <c r="L12">
        <f>IF($A12="","",IFERROR(INDEX(Papers!$G$2:$G$12,MATCH($C12,Papers!$A$2:$A$12,0)),""))</f>
        <v/>
      </c>
      <c r="M12">
        <f>IF($A12="","",IFERROR(SUMPRODUCT((INDEX(SubMap!$B$2:$AE$12,MATCH($C12,SubMap!$A$2:$A$12,0),0)=3)*Attempts!$AR12:$BU12),0))</f>
        <v/>
      </c>
      <c r="N12">
        <f>IF($A12="","",IFERROR(COUNTIF(INDEX(SubMap!$B$2:$AE$12,MATCH($C12,SubMap!$A$2:$A$12,0),0),3),0))</f>
        <v/>
      </c>
      <c r="O12">
        <f>IF(OR($A12="",N12=0),"",ROUND(M12/N12*100,1))</f>
        <v/>
      </c>
      <c r="P12">
        <f>IF($A12="","",IFERROR(INDEX(Papers!$H$2:$H$12,MATCH($C12,Papers!$A$2:$A$12,0)),""))</f>
        <v/>
      </c>
      <c r="Q12">
        <f>IF($A12="","",IFERROR(SUMPRODUCT((INDEX(SubMap!$B$2:$AE$12,MATCH($C12,SubMap!$A$2:$A$12,0),0)=4)*Attempts!$AR12:$BU12),0))</f>
        <v/>
      </c>
      <c r="R12">
        <f>IF($A12="","",IFERROR(COUNTIF(INDEX(SubMap!$B$2:$AE$12,MATCH($C12,SubMap!$A$2:$A$12,0),0),4),0))</f>
        <v/>
      </c>
      <c r="S12">
        <f>IF(OR($A12="",R12=0),"",ROUND(Q12/R12*100,1))</f>
        <v/>
      </c>
      <c r="T12">
        <f>IF($A12="","",IFERROR(INDEX(Papers!$I$2:$I$12,MATCH($C12,Papers!$A$2:$A$12,0)),""))</f>
        <v/>
      </c>
      <c r="U12">
        <f>IF($A12="","",IFERROR(SUMPRODUCT((INDEX(SubMap!$B$2:$AE$12,MATCH($C12,SubMap!$A$2:$A$12,0),0)=5)*Attempts!$AR12:$BU12),0))</f>
        <v/>
      </c>
      <c r="V12">
        <f>IF($A12="","",IFERROR(COUNTIF(INDEX(SubMap!$B$2:$AE$12,MATCH($C12,SubMap!$A$2:$A$12,0),0),5),0))</f>
        <v/>
      </c>
      <c r="W12">
        <f>IF(OR($A12="",V12=0),"",ROUND(U12/V12*100,1))</f>
        <v/>
      </c>
      <c r="X12">
        <f>IF($A12="","",IFERROR(INDEX(Papers!$J$2:$J$12,MATCH($C12,Papers!$A$2:$A$12,0)),""))</f>
        <v/>
      </c>
      <c r="Y12">
        <f>IF($A12="","",IFERROR(SUMPRODUCT((INDEX(SubMap!$B$2:$AE$12,MATCH($C12,SubMap!$A$2:$A$12,0),0)=6)*Attempts!$AR12:$BU12),0))</f>
        <v/>
      </c>
      <c r="Z12">
        <f>IF($A12="","",IFERROR(COUNTIF(INDEX(SubMap!$B$2:$AE$12,MATCH($C12,SubMap!$A$2:$A$12,0),0),6),0))</f>
        <v/>
      </c>
      <c r="AA12">
        <f>IF(OR($A12="",Z12=0),"",ROUND(Y12/Z12*100,1))</f>
        <v/>
      </c>
      <c r="AB12">
        <f>IF($A12="","",IFERROR(INDEX(CHOOSE({1,2,3,4,5,6},D12,H12,L12,P12,T12,X12),MATCH(MIN(G12,K12,O12,S12,W12,AA12),CHOOSE({1,2,3,4,5,6},G12,K12,O12,S12,W12,AA12),0)),""))</f>
        <v/>
      </c>
      <c r="AC12">
        <f>IF($A12="","",IF(COUNT(G12,K12,O12,S12,W12,AA12)=0,"",MIN(G12,K12,O12,S12,W12,AA12)))</f>
        <v/>
      </c>
      <c r="AD12">
        <f>IF($A12="","",IFERROR(INDEX(CHOOSE({1,2,3,4,5,6},IFERROR(INDEX(Papers!$K$2:$K$12,MATCH($C12,Papers!$A$2:$A$12,0)),""),IFERROR(INDEX(Papers!$L$2:$L$12,MATCH($C12,Papers!$A$2:$A$12,0)),""),IFERROR(INDEX(Papers!$M$2:$M$12,MATCH($C12,Papers!$A$2:$A$12,0)),""),IFERROR(INDEX(Papers!$N$2:$N$12,MATCH($C12,Papers!$A$2:$A$12,0)),""),IFERROR(INDEX(Papers!$O$2:$O$12,MATCH($C12,Papers!$A$2:$A$12,0)),""),IFERROR(INDEX(Papers!$P$2:$P$12,MATCH($C12,Papers!$A$2:$A$12,0)),"")),MATCH(MIN(G12,K12,O12,S12,W12,AA12),CHOOSE({1,2,3,4,5,6},G12,K12,O12,S12,W12,AA12),0)),""))</f>
        <v/>
      </c>
      <c r="AE12">
        <f>IF(AC12="","",IF(AC12&lt;50,"Re-teach",IF(AC12&lt;75,"Practice more","Relatively secure")))</f>
        <v/>
      </c>
    </row>
    <row r="13">
      <c r="A13">
        <f>IF(Attempts!A13="","",Attempts!A13)</f>
        <v/>
      </c>
      <c r="B13">
        <f>IF(Attempts!A13="","",Attempts!B13)</f>
        <v/>
      </c>
      <c r="C13">
        <f>IF(Attempts!A13="","",Attempts!D13)</f>
        <v/>
      </c>
      <c r="D13">
        <f>IF($A13="","",IFERROR(INDEX(Papers!$E$2:$E$12,MATCH($C13,Papers!$A$2:$A$12,0)),""))</f>
        <v/>
      </c>
      <c r="E13">
        <f>IF($A13="","",IFERROR(SUMPRODUCT((INDEX(SubMap!$B$2:$AE$12,MATCH($C13,SubMap!$A$2:$A$12,0),0)=1)*Attempts!$AR13:$BU13),0))</f>
        <v/>
      </c>
      <c r="F13">
        <f>IF($A13="","",IFERROR(COUNTIF(INDEX(SubMap!$B$2:$AE$12,MATCH($C13,SubMap!$A$2:$A$12,0),0),1),0))</f>
        <v/>
      </c>
      <c r="G13">
        <f>IF(OR($A13="",F13=0),"",ROUND(E13/F13*100,1))</f>
        <v/>
      </c>
      <c r="H13">
        <f>IF($A13="","",IFERROR(INDEX(Papers!$F$2:$F$12,MATCH($C13,Papers!$A$2:$A$12,0)),""))</f>
        <v/>
      </c>
      <c r="I13">
        <f>IF($A13="","",IFERROR(SUMPRODUCT((INDEX(SubMap!$B$2:$AE$12,MATCH($C13,SubMap!$A$2:$A$12,0),0)=2)*Attempts!$AR13:$BU13),0))</f>
        <v/>
      </c>
      <c r="J13">
        <f>IF($A13="","",IFERROR(COUNTIF(INDEX(SubMap!$B$2:$AE$12,MATCH($C13,SubMap!$A$2:$A$12,0),0),2),0))</f>
        <v/>
      </c>
      <c r="K13">
        <f>IF(OR($A13="",J13=0),"",ROUND(I13/J13*100,1))</f>
        <v/>
      </c>
      <c r="L13">
        <f>IF($A13="","",IFERROR(INDEX(Papers!$G$2:$G$12,MATCH($C13,Papers!$A$2:$A$12,0)),""))</f>
        <v/>
      </c>
      <c r="M13">
        <f>IF($A13="","",IFERROR(SUMPRODUCT((INDEX(SubMap!$B$2:$AE$12,MATCH($C13,SubMap!$A$2:$A$12,0),0)=3)*Attempts!$AR13:$BU13),0))</f>
        <v/>
      </c>
      <c r="N13">
        <f>IF($A13="","",IFERROR(COUNTIF(INDEX(SubMap!$B$2:$AE$12,MATCH($C13,SubMap!$A$2:$A$12,0),0),3),0))</f>
        <v/>
      </c>
      <c r="O13">
        <f>IF(OR($A13="",N13=0),"",ROUND(M13/N13*100,1))</f>
        <v/>
      </c>
      <c r="P13">
        <f>IF($A13="","",IFERROR(INDEX(Papers!$H$2:$H$12,MATCH($C13,Papers!$A$2:$A$12,0)),""))</f>
        <v/>
      </c>
      <c r="Q13">
        <f>IF($A13="","",IFERROR(SUMPRODUCT((INDEX(SubMap!$B$2:$AE$12,MATCH($C13,SubMap!$A$2:$A$12,0),0)=4)*Attempts!$AR13:$BU13),0))</f>
        <v/>
      </c>
      <c r="R13">
        <f>IF($A13="","",IFERROR(COUNTIF(INDEX(SubMap!$B$2:$AE$12,MATCH($C13,SubMap!$A$2:$A$12,0),0),4),0))</f>
        <v/>
      </c>
      <c r="S13">
        <f>IF(OR($A13="",R13=0),"",ROUND(Q13/R13*100,1))</f>
        <v/>
      </c>
      <c r="T13">
        <f>IF($A13="","",IFERROR(INDEX(Papers!$I$2:$I$12,MATCH($C13,Papers!$A$2:$A$12,0)),""))</f>
        <v/>
      </c>
      <c r="U13">
        <f>IF($A13="","",IFERROR(SUMPRODUCT((INDEX(SubMap!$B$2:$AE$12,MATCH($C13,SubMap!$A$2:$A$12,0),0)=5)*Attempts!$AR13:$BU13),0))</f>
        <v/>
      </c>
      <c r="V13">
        <f>IF($A13="","",IFERROR(COUNTIF(INDEX(SubMap!$B$2:$AE$12,MATCH($C13,SubMap!$A$2:$A$12,0),0),5),0))</f>
        <v/>
      </c>
      <c r="W13">
        <f>IF(OR($A13="",V13=0),"",ROUND(U13/V13*100,1))</f>
        <v/>
      </c>
      <c r="X13">
        <f>IF($A13="","",IFERROR(INDEX(Papers!$J$2:$J$12,MATCH($C13,Papers!$A$2:$A$12,0)),""))</f>
        <v/>
      </c>
      <c r="Y13">
        <f>IF($A13="","",IFERROR(SUMPRODUCT((INDEX(SubMap!$B$2:$AE$12,MATCH($C13,SubMap!$A$2:$A$12,0),0)=6)*Attempts!$AR13:$BU13),0))</f>
        <v/>
      </c>
      <c r="Z13">
        <f>IF($A13="","",IFERROR(COUNTIF(INDEX(SubMap!$B$2:$AE$12,MATCH($C13,SubMap!$A$2:$A$12,0),0),6),0))</f>
        <v/>
      </c>
      <c r="AA13">
        <f>IF(OR($A13="",Z13=0),"",ROUND(Y13/Z13*100,1))</f>
        <v/>
      </c>
      <c r="AB13">
        <f>IF($A13="","",IFERROR(INDEX(CHOOSE({1,2,3,4,5,6},D13,H13,L13,P13,T13,X13),MATCH(MIN(G13,K13,O13,S13,W13,AA13),CHOOSE({1,2,3,4,5,6},G13,K13,O13,S13,W13,AA13),0)),""))</f>
        <v/>
      </c>
      <c r="AC13">
        <f>IF($A13="","",IF(COUNT(G13,K13,O13,S13,W13,AA13)=0,"",MIN(G13,K13,O13,S13,W13,AA13)))</f>
        <v/>
      </c>
      <c r="AD13">
        <f>IF($A13="","",IFERROR(INDEX(CHOOSE({1,2,3,4,5,6},IFERROR(INDEX(Papers!$K$2:$K$12,MATCH($C13,Papers!$A$2:$A$12,0)),""),IFERROR(INDEX(Papers!$L$2:$L$12,MATCH($C13,Papers!$A$2:$A$12,0)),""),IFERROR(INDEX(Papers!$M$2:$M$12,MATCH($C13,Papers!$A$2:$A$12,0)),""),IFERROR(INDEX(Papers!$N$2:$N$12,MATCH($C13,Papers!$A$2:$A$12,0)),""),IFERROR(INDEX(Papers!$O$2:$O$12,MATCH($C13,Papers!$A$2:$A$12,0)),""),IFERROR(INDEX(Papers!$P$2:$P$12,MATCH($C13,Papers!$A$2:$A$12,0)),"")),MATCH(MIN(G13,K13,O13,S13,W13,AA13),CHOOSE({1,2,3,4,5,6},G13,K13,O13,S13,W13,AA13),0)),""))</f>
        <v/>
      </c>
      <c r="AE13">
        <f>IF(AC13="","",IF(AC13&lt;50,"Re-teach",IF(AC13&lt;75,"Practice more","Relatively secure")))</f>
        <v/>
      </c>
    </row>
    <row r="14">
      <c r="A14">
        <f>IF(Attempts!A14="","",Attempts!A14)</f>
        <v/>
      </c>
      <c r="B14">
        <f>IF(Attempts!A14="","",Attempts!B14)</f>
        <v/>
      </c>
      <c r="C14">
        <f>IF(Attempts!A14="","",Attempts!D14)</f>
        <v/>
      </c>
      <c r="D14">
        <f>IF($A14="","",IFERROR(INDEX(Papers!$E$2:$E$12,MATCH($C14,Papers!$A$2:$A$12,0)),""))</f>
        <v/>
      </c>
      <c r="E14">
        <f>IF($A14="","",IFERROR(SUMPRODUCT((INDEX(SubMap!$B$2:$AE$12,MATCH($C14,SubMap!$A$2:$A$12,0),0)=1)*Attempts!$AR14:$BU14),0))</f>
        <v/>
      </c>
      <c r="F14">
        <f>IF($A14="","",IFERROR(COUNTIF(INDEX(SubMap!$B$2:$AE$12,MATCH($C14,SubMap!$A$2:$A$12,0),0),1),0))</f>
        <v/>
      </c>
      <c r="G14">
        <f>IF(OR($A14="",F14=0),"",ROUND(E14/F14*100,1))</f>
        <v/>
      </c>
      <c r="H14">
        <f>IF($A14="","",IFERROR(INDEX(Papers!$F$2:$F$12,MATCH($C14,Papers!$A$2:$A$12,0)),""))</f>
        <v/>
      </c>
      <c r="I14">
        <f>IF($A14="","",IFERROR(SUMPRODUCT((INDEX(SubMap!$B$2:$AE$12,MATCH($C14,SubMap!$A$2:$A$12,0),0)=2)*Attempts!$AR14:$BU14),0))</f>
        <v/>
      </c>
      <c r="J14">
        <f>IF($A14="","",IFERROR(COUNTIF(INDEX(SubMap!$B$2:$AE$12,MATCH($C14,SubMap!$A$2:$A$12,0),0),2),0))</f>
        <v/>
      </c>
      <c r="K14">
        <f>IF(OR($A14="",J14=0),"",ROUND(I14/J14*100,1))</f>
        <v/>
      </c>
      <c r="L14">
        <f>IF($A14="","",IFERROR(INDEX(Papers!$G$2:$G$12,MATCH($C14,Papers!$A$2:$A$12,0)),""))</f>
        <v/>
      </c>
      <c r="M14">
        <f>IF($A14="","",IFERROR(SUMPRODUCT((INDEX(SubMap!$B$2:$AE$12,MATCH($C14,SubMap!$A$2:$A$12,0),0)=3)*Attempts!$AR14:$BU14),0))</f>
        <v/>
      </c>
      <c r="N14">
        <f>IF($A14="","",IFERROR(COUNTIF(INDEX(SubMap!$B$2:$AE$12,MATCH($C14,SubMap!$A$2:$A$12,0),0),3),0))</f>
        <v/>
      </c>
      <c r="O14">
        <f>IF(OR($A14="",N14=0),"",ROUND(M14/N14*100,1))</f>
        <v/>
      </c>
      <c r="P14">
        <f>IF($A14="","",IFERROR(INDEX(Papers!$H$2:$H$12,MATCH($C14,Papers!$A$2:$A$12,0)),""))</f>
        <v/>
      </c>
      <c r="Q14">
        <f>IF($A14="","",IFERROR(SUMPRODUCT((INDEX(SubMap!$B$2:$AE$12,MATCH($C14,SubMap!$A$2:$A$12,0),0)=4)*Attempts!$AR14:$BU14),0))</f>
        <v/>
      </c>
      <c r="R14">
        <f>IF($A14="","",IFERROR(COUNTIF(INDEX(SubMap!$B$2:$AE$12,MATCH($C14,SubMap!$A$2:$A$12,0),0),4),0))</f>
        <v/>
      </c>
      <c r="S14">
        <f>IF(OR($A14="",R14=0),"",ROUND(Q14/R14*100,1))</f>
        <v/>
      </c>
      <c r="T14">
        <f>IF($A14="","",IFERROR(INDEX(Papers!$I$2:$I$12,MATCH($C14,Papers!$A$2:$A$12,0)),""))</f>
        <v/>
      </c>
      <c r="U14">
        <f>IF($A14="","",IFERROR(SUMPRODUCT((INDEX(SubMap!$B$2:$AE$12,MATCH($C14,SubMap!$A$2:$A$12,0),0)=5)*Attempts!$AR14:$BU14),0))</f>
        <v/>
      </c>
      <c r="V14">
        <f>IF($A14="","",IFERROR(COUNTIF(INDEX(SubMap!$B$2:$AE$12,MATCH($C14,SubMap!$A$2:$A$12,0),0),5),0))</f>
        <v/>
      </c>
      <c r="W14">
        <f>IF(OR($A14="",V14=0),"",ROUND(U14/V14*100,1))</f>
        <v/>
      </c>
      <c r="X14">
        <f>IF($A14="","",IFERROR(INDEX(Papers!$J$2:$J$12,MATCH($C14,Papers!$A$2:$A$12,0)),""))</f>
        <v/>
      </c>
      <c r="Y14">
        <f>IF($A14="","",IFERROR(SUMPRODUCT((INDEX(SubMap!$B$2:$AE$12,MATCH($C14,SubMap!$A$2:$A$12,0),0)=6)*Attempts!$AR14:$BU14),0))</f>
        <v/>
      </c>
      <c r="Z14">
        <f>IF($A14="","",IFERROR(COUNTIF(INDEX(SubMap!$B$2:$AE$12,MATCH($C14,SubMap!$A$2:$A$12,0),0),6),0))</f>
        <v/>
      </c>
      <c r="AA14">
        <f>IF(OR($A14="",Z14=0),"",ROUND(Y14/Z14*100,1))</f>
        <v/>
      </c>
      <c r="AB14">
        <f>IF($A14="","",IFERROR(INDEX(CHOOSE({1,2,3,4,5,6},D14,H14,L14,P14,T14,X14),MATCH(MIN(G14,K14,O14,S14,W14,AA14),CHOOSE({1,2,3,4,5,6},G14,K14,O14,S14,W14,AA14),0)),""))</f>
        <v/>
      </c>
      <c r="AC14">
        <f>IF($A14="","",IF(COUNT(G14,K14,O14,S14,W14,AA14)=0,"",MIN(G14,K14,O14,S14,W14,AA14)))</f>
        <v/>
      </c>
      <c r="AD14">
        <f>IF($A14="","",IFERROR(INDEX(CHOOSE({1,2,3,4,5,6},IFERROR(INDEX(Papers!$K$2:$K$12,MATCH($C14,Papers!$A$2:$A$12,0)),""),IFERROR(INDEX(Papers!$L$2:$L$12,MATCH($C14,Papers!$A$2:$A$12,0)),""),IFERROR(INDEX(Papers!$M$2:$M$12,MATCH($C14,Papers!$A$2:$A$12,0)),""),IFERROR(INDEX(Papers!$N$2:$N$12,MATCH($C14,Papers!$A$2:$A$12,0)),""),IFERROR(INDEX(Papers!$O$2:$O$12,MATCH($C14,Papers!$A$2:$A$12,0)),""),IFERROR(INDEX(Papers!$P$2:$P$12,MATCH($C14,Papers!$A$2:$A$12,0)),"")),MATCH(MIN(G14,K14,O14,S14,W14,AA14),CHOOSE({1,2,3,4,5,6},G14,K14,O14,S14,W14,AA14),0)),""))</f>
        <v/>
      </c>
      <c r="AE14">
        <f>IF(AC14="","",IF(AC14&lt;50,"Re-teach",IF(AC14&lt;75,"Practice more","Relatively secure")))</f>
        <v/>
      </c>
    </row>
    <row r="15">
      <c r="A15">
        <f>IF(Attempts!A15="","",Attempts!A15)</f>
        <v/>
      </c>
      <c r="B15">
        <f>IF(Attempts!A15="","",Attempts!B15)</f>
        <v/>
      </c>
      <c r="C15">
        <f>IF(Attempts!A15="","",Attempts!D15)</f>
        <v/>
      </c>
      <c r="D15">
        <f>IF($A15="","",IFERROR(INDEX(Papers!$E$2:$E$12,MATCH($C15,Papers!$A$2:$A$12,0)),""))</f>
        <v/>
      </c>
      <c r="E15">
        <f>IF($A15="","",IFERROR(SUMPRODUCT((INDEX(SubMap!$B$2:$AE$12,MATCH($C15,SubMap!$A$2:$A$12,0),0)=1)*Attempts!$AR15:$BU15),0))</f>
        <v/>
      </c>
      <c r="F15">
        <f>IF($A15="","",IFERROR(COUNTIF(INDEX(SubMap!$B$2:$AE$12,MATCH($C15,SubMap!$A$2:$A$12,0),0),1),0))</f>
        <v/>
      </c>
      <c r="G15">
        <f>IF(OR($A15="",F15=0),"",ROUND(E15/F15*100,1))</f>
        <v/>
      </c>
      <c r="H15">
        <f>IF($A15="","",IFERROR(INDEX(Papers!$F$2:$F$12,MATCH($C15,Papers!$A$2:$A$12,0)),""))</f>
        <v/>
      </c>
      <c r="I15">
        <f>IF($A15="","",IFERROR(SUMPRODUCT((INDEX(SubMap!$B$2:$AE$12,MATCH($C15,SubMap!$A$2:$A$12,0),0)=2)*Attempts!$AR15:$BU15),0))</f>
        <v/>
      </c>
      <c r="J15">
        <f>IF($A15="","",IFERROR(COUNTIF(INDEX(SubMap!$B$2:$AE$12,MATCH($C15,SubMap!$A$2:$A$12,0),0),2),0))</f>
        <v/>
      </c>
      <c r="K15">
        <f>IF(OR($A15="",J15=0),"",ROUND(I15/J15*100,1))</f>
        <v/>
      </c>
      <c r="L15">
        <f>IF($A15="","",IFERROR(INDEX(Papers!$G$2:$G$12,MATCH($C15,Papers!$A$2:$A$12,0)),""))</f>
        <v/>
      </c>
      <c r="M15">
        <f>IF($A15="","",IFERROR(SUMPRODUCT((INDEX(SubMap!$B$2:$AE$12,MATCH($C15,SubMap!$A$2:$A$12,0),0)=3)*Attempts!$AR15:$BU15),0))</f>
        <v/>
      </c>
      <c r="N15">
        <f>IF($A15="","",IFERROR(COUNTIF(INDEX(SubMap!$B$2:$AE$12,MATCH($C15,SubMap!$A$2:$A$12,0),0),3),0))</f>
        <v/>
      </c>
      <c r="O15">
        <f>IF(OR($A15="",N15=0),"",ROUND(M15/N15*100,1))</f>
        <v/>
      </c>
      <c r="P15">
        <f>IF($A15="","",IFERROR(INDEX(Papers!$H$2:$H$12,MATCH($C15,Papers!$A$2:$A$12,0)),""))</f>
        <v/>
      </c>
      <c r="Q15">
        <f>IF($A15="","",IFERROR(SUMPRODUCT((INDEX(SubMap!$B$2:$AE$12,MATCH($C15,SubMap!$A$2:$A$12,0),0)=4)*Attempts!$AR15:$BU15),0))</f>
        <v/>
      </c>
      <c r="R15">
        <f>IF($A15="","",IFERROR(COUNTIF(INDEX(SubMap!$B$2:$AE$12,MATCH($C15,SubMap!$A$2:$A$12,0),0),4),0))</f>
        <v/>
      </c>
      <c r="S15">
        <f>IF(OR($A15="",R15=0),"",ROUND(Q15/R15*100,1))</f>
        <v/>
      </c>
      <c r="T15">
        <f>IF($A15="","",IFERROR(INDEX(Papers!$I$2:$I$12,MATCH($C15,Papers!$A$2:$A$12,0)),""))</f>
        <v/>
      </c>
      <c r="U15">
        <f>IF($A15="","",IFERROR(SUMPRODUCT((INDEX(SubMap!$B$2:$AE$12,MATCH($C15,SubMap!$A$2:$A$12,0),0)=5)*Attempts!$AR15:$BU15),0))</f>
        <v/>
      </c>
      <c r="V15">
        <f>IF($A15="","",IFERROR(COUNTIF(INDEX(SubMap!$B$2:$AE$12,MATCH($C15,SubMap!$A$2:$A$12,0),0),5),0))</f>
        <v/>
      </c>
      <c r="W15">
        <f>IF(OR($A15="",V15=0),"",ROUND(U15/V15*100,1))</f>
        <v/>
      </c>
      <c r="X15">
        <f>IF($A15="","",IFERROR(INDEX(Papers!$J$2:$J$12,MATCH($C15,Papers!$A$2:$A$12,0)),""))</f>
        <v/>
      </c>
      <c r="Y15">
        <f>IF($A15="","",IFERROR(SUMPRODUCT((INDEX(SubMap!$B$2:$AE$12,MATCH($C15,SubMap!$A$2:$A$12,0),0)=6)*Attempts!$AR15:$BU15),0))</f>
        <v/>
      </c>
      <c r="Z15">
        <f>IF($A15="","",IFERROR(COUNTIF(INDEX(SubMap!$B$2:$AE$12,MATCH($C15,SubMap!$A$2:$A$12,0),0),6),0))</f>
        <v/>
      </c>
      <c r="AA15">
        <f>IF(OR($A15="",Z15=0),"",ROUND(Y15/Z15*100,1))</f>
        <v/>
      </c>
      <c r="AB15">
        <f>IF($A15="","",IFERROR(INDEX(CHOOSE({1,2,3,4,5,6},D15,H15,L15,P15,T15,X15),MATCH(MIN(G15,K15,O15,S15,W15,AA15),CHOOSE({1,2,3,4,5,6},G15,K15,O15,S15,W15,AA15),0)),""))</f>
        <v/>
      </c>
      <c r="AC15">
        <f>IF($A15="","",IF(COUNT(G15,K15,O15,S15,W15,AA15)=0,"",MIN(G15,K15,O15,S15,W15,AA15)))</f>
        <v/>
      </c>
      <c r="AD15">
        <f>IF($A15="","",IFERROR(INDEX(CHOOSE({1,2,3,4,5,6},IFERROR(INDEX(Papers!$K$2:$K$12,MATCH($C15,Papers!$A$2:$A$12,0)),""),IFERROR(INDEX(Papers!$L$2:$L$12,MATCH($C15,Papers!$A$2:$A$12,0)),""),IFERROR(INDEX(Papers!$M$2:$M$12,MATCH($C15,Papers!$A$2:$A$12,0)),""),IFERROR(INDEX(Papers!$N$2:$N$12,MATCH($C15,Papers!$A$2:$A$12,0)),""),IFERROR(INDEX(Papers!$O$2:$O$12,MATCH($C15,Papers!$A$2:$A$12,0)),""),IFERROR(INDEX(Papers!$P$2:$P$12,MATCH($C15,Papers!$A$2:$A$12,0)),"")),MATCH(MIN(G15,K15,O15,S15,W15,AA15),CHOOSE({1,2,3,4,5,6},G15,K15,O15,S15,W15,AA15),0)),""))</f>
        <v/>
      </c>
      <c r="AE15">
        <f>IF(AC15="","",IF(AC15&lt;50,"Re-teach",IF(AC15&lt;75,"Practice more","Relatively secure")))</f>
        <v/>
      </c>
    </row>
    <row r="16">
      <c r="A16">
        <f>IF(Attempts!A16="","",Attempts!A16)</f>
        <v/>
      </c>
      <c r="B16">
        <f>IF(Attempts!A16="","",Attempts!B16)</f>
        <v/>
      </c>
      <c r="C16">
        <f>IF(Attempts!A16="","",Attempts!D16)</f>
        <v/>
      </c>
      <c r="D16">
        <f>IF($A16="","",IFERROR(INDEX(Papers!$E$2:$E$12,MATCH($C16,Papers!$A$2:$A$12,0)),""))</f>
        <v/>
      </c>
      <c r="E16">
        <f>IF($A16="","",IFERROR(SUMPRODUCT((INDEX(SubMap!$B$2:$AE$12,MATCH($C16,SubMap!$A$2:$A$12,0),0)=1)*Attempts!$AR16:$BU16),0))</f>
        <v/>
      </c>
      <c r="F16">
        <f>IF($A16="","",IFERROR(COUNTIF(INDEX(SubMap!$B$2:$AE$12,MATCH($C16,SubMap!$A$2:$A$12,0),0),1),0))</f>
        <v/>
      </c>
      <c r="G16">
        <f>IF(OR($A16="",F16=0),"",ROUND(E16/F16*100,1))</f>
        <v/>
      </c>
      <c r="H16">
        <f>IF($A16="","",IFERROR(INDEX(Papers!$F$2:$F$12,MATCH($C16,Papers!$A$2:$A$12,0)),""))</f>
        <v/>
      </c>
      <c r="I16">
        <f>IF($A16="","",IFERROR(SUMPRODUCT((INDEX(SubMap!$B$2:$AE$12,MATCH($C16,SubMap!$A$2:$A$12,0),0)=2)*Attempts!$AR16:$BU16),0))</f>
        <v/>
      </c>
      <c r="J16">
        <f>IF($A16="","",IFERROR(COUNTIF(INDEX(SubMap!$B$2:$AE$12,MATCH($C16,SubMap!$A$2:$A$12,0),0),2),0))</f>
        <v/>
      </c>
      <c r="K16">
        <f>IF(OR($A16="",J16=0),"",ROUND(I16/J16*100,1))</f>
        <v/>
      </c>
      <c r="L16">
        <f>IF($A16="","",IFERROR(INDEX(Papers!$G$2:$G$12,MATCH($C16,Papers!$A$2:$A$12,0)),""))</f>
        <v/>
      </c>
      <c r="M16">
        <f>IF($A16="","",IFERROR(SUMPRODUCT((INDEX(SubMap!$B$2:$AE$12,MATCH($C16,SubMap!$A$2:$A$12,0),0)=3)*Attempts!$AR16:$BU16),0))</f>
        <v/>
      </c>
      <c r="N16">
        <f>IF($A16="","",IFERROR(COUNTIF(INDEX(SubMap!$B$2:$AE$12,MATCH($C16,SubMap!$A$2:$A$12,0),0),3),0))</f>
        <v/>
      </c>
      <c r="O16">
        <f>IF(OR($A16="",N16=0),"",ROUND(M16/N16*100,1))</f>
        <v/>
      </c>
      <c r="P16">
        <f>IF($A16="","",IFERROR(INDEX(Papers!$H$2:$H$12,MATCH($C16,Papers!$A$2:$A$12,0)),""))</f>
        <v/>
      </c>
      <c r="Q16">
        <f>IF($A16="","",IFERROR(SUMPRODUCT((INDEX(SubMap!$B$2:$AE$12,MATCH($C16,SubMap!$A$2:$A$12,0),0)=4)*Attempts!$AR16:$BU16),0))</f>
        <v/>
      </c>
      <c r="R16">
        <f>IF($A16="","",IFERROR(COUNTIF(INDEX(SubMap!$B$2:$AE$12,MATCH($C16,SubMap!$A$2:$A$12,0),0),4),0))</f>
        <v/>
      </c>
      <c r="S16">
        <f>IF(OR($A16="",R16=0),"",ROUND(Q16/R16*100,1))</f>
        <v/>
      </c>
      <c r="T16">
        <f>IF($A16="","",IFERROR(INDEX(Papers!$I$2:$I$12,MATCH($C16,Papers!$A$2:$A$12,0)),""))</f>
        <v/>
      </c>
      <c r="U16">
        <f>IF($A16="","",IFERROR(SUMPRODUCT((INDEX(SubMap!$B$2:$AE$12,MATCH($C16,SubMap!$A$2:$A$12,0),0)=5)*Attempts!$AR16:$BU16),0))</f>
        <v/>
      </c>
      <c r="V16">
        <f>IF($A16="","",IFERROR(COUNTIF(INDEX(SubMap!$B$2:$AE$12,MATCH($C16,SubMap!$A$2:$A$12,0),0),5),0))</f>
        <v/>
      </c>
      <c r="W16">
        <f>IF(OR($A16="",V16=0),"",ROUND(U16/V16*100,1))</f>
        <v/>
      </c>
      <c r="X16">
        <f>IF($A16="","",IFERROR(INDEX(Papers!$J$2:$J$12,MATCH($C16,Papers!$A$2:$A$12,0)),""))</f>
        <v/>
      </c>
      <c r="Y16">
        <f>IF($A16="","",IFERROR(SUMPRODUCT((INDEX(SubMap!$B$2:$AE$12,MATCH($C16,SubMap!$A$2:$A$12,0),0)=6)*Attempts!$AR16:$BU16),0))</f>
        <v/>
      </c>
      <c r="Z16">
        <f>IF($A16="","",IFERROR(COUNTIF(INDEX(SubMap!$B$2:$AE$12,MATCH($C16,SubMap!$A$2:$A$12,0),0),6),0))</f>
        <v/>
      </c>
      <c r="AA16">
        <f>IF(OR($A16="",Z16=0),"",ROUND(Y16/Z16*100,1))</f>
        <v/>
      </c>
      <c r="AB16">
        <f>IF($A16="","",IFERROR(INDEX(CHOOSE({1,2,3,4,5,6},D16,H16,L16,P16,T16,X16),MATCH(MIN(G16,K16,O16,S16,W16,AA16),CHOOSE({1,2,3,4,5,6},G16,K16,O16,S16,W16,AA16),0)),""))</f>
        <v/>
      </c>
      <c r="AC16">
        <f>IF($A16="","",IF(COUNT(G16,K16,O16,S16,W16,AA16)=0,"",MIN(G16,K16,O16,S16,W16,AA16)))</f>
        <v/>
      </c>
      <c r="AD16">
        <f>IF($A16="","",IFERROR(INDEX(CHOOSE({1,2,3,4,5,6},IFERROR(INDEX(Papers!$K$2:$K$12,MATCH($C16,Papers!$A$2:$A$12,0)),""),IFERROR(INDEX(Papers!$L$2:$L$12,MATCH($C16,Papers!$A$2:$A$12,0)),""),IFERROR(INDEX(Papers!$M$2:$M$12,MATCH($C16,Papers!$A$2:$A$12,0)),""),IFERROR(INDEX(Papers!$N$2:$N$12,MATCH($C16,Papers!$A$2:$A$12,0)),""),IFERROR(INDEX(Papers!$O$2:$O$12,MATCH($C16,Papers!$A$2:$A$12,0)),""),IFERROR(INDEX(Papers!$P$2:$P$12,MATCH($C16,Papers!$A$2:$A$12,0)),"")),MATCH(MIN(G16,K16,O16,S16,W16,AA16),CHOOSE({1,2,3,4,5,6},G16,K16,O16,S16,W16,AA16),0)),""))</f>
        <v/>
      </c>
      <c r="AE16">
        <f>IF(AC16="","",IF(AC16&lt;50,"Re-teach",IF(AC16&lt;75,"Practice more","Relatively secure")))</f>
        <v/>
      </c>
    </row>
    <row r="17">
      <c r="A17">
        <f>IF(Attempts!A17="","",Attempts!A17)</f>
        <v/>
      </c>
      <c r="B17">
        <f>IF(Attempts!A17="","",Attempts!B17)</f>
        <v/>
      </c>
      <c r="C17">
        <f>IF(Attempts!A17="","",Attempts!D17)</f>
        <v/>
      </c>
      <c r="D17">
        <f>IF($A17="","",IFERROR(INDEX(Papers!$E$2:$E$12,MATCH($C17,Papers!$A$2:$A$12,0)),""))</f>
        <v/>
      </c>
      <c r="E17">
        <f>IF($A17="","",IFERROR(SUMPRODUCT((INDEX(SubMap!$B$2:$AE$12,MATCH($C17,SubMap!$A$2:$A$12,0),0)=1)*Attempts!$AR17:$BU17),0))</f>
        <v/>
      </c>
      <c r="F17">
        <f>IF($A17="","",IFERROR(COUNTIF(INDEX(SubMap!$B$2:$AE$12,MATCH($C17,SubMap!$A$2:$A$12,0),0),1),0))</f>
        <v/>
      </c>
      <c r="G17">
        <f>IF(OR($A17="",F17=0),"",ROUND(E17/F17*100,1))</f>
        <v/>
      </c>
      <c r="H17">
        <f>IF($A17="","",IFERROR(INDEX(Papers!$F$2:$F$12,MATCH($C17,Papers!$A$2:$A$12,0)),""))</f>
        <v/>
      </c>
      <c r="I17">
        <f>IF($A17="","",IFERROR(SUMPRODUCT((INDEX(SubMap!$B$2:$AE$12,MATCH($C17,SubMap!$A$2:$A$12,0),0)=2)*Attempts!$AR17:$BU17),0))</f>
        <v/>
      </c>
      <c r="J17">
        <f>IF($A17="","",IFERROR(COUNTIF(INDEX(SubMap!$B$2:$AE$12,MATCH($C17,SubMap!$A$2:$A$12,0),0),2),0))</f>
        <v/>
      </c>
      <c r="K17">
        <f>IF(OR($A17="",J17=0),"",ROUND(I17/J17*100,1))</f>
        <v/>
      </c>
      <c r="L17">
        <f>IF($A17="","",IFERROR(INDEX(Papers!$G$2:$G$12,MATCH($C17,Papers!$A$2:$A$12,0)),""))</f>
        <v/>
      </c>
      <c r="M17">
        <f>IF($A17="","",IFERROR(SUMPRODUCT((INDEX(SubMap!$B$2:$AE$12,MATCH($C17,SubMap!$A$2:$A$12,0),0)=3)*Attempts!$AR17:$BU17),0))</f>
        <v/>
      </c>
      <c r="N17">
        <f>IF($A17="","",IFERROR(COUNTIF(INDEX(SubMap!$B$2:$AE$12,MATCH($C17,SubMap!$A$2:$A$12,0),0),3),0))</f>
        <v/>
      </c>
      <c r="O17">
        <f>IF(OR($A17="",N17=0),"",ROUND(M17/N17*100,1))</f>
        <v/>
      </c>
      <c r="P17">
        <f>IF($A17="","",IFERROR(INDEX(Papers!$H$2:$H$12,MATCH($C17,Papers!$A$2:$A$12,0)),""))</f>
        <v/>
      </c>
      <c r="Q17">
        <f>IF($A17="","",IFERROR(SUMPRODUCT((INDEX(SubMap!$B$2:$AE$12,MATCH($C17,SubMap!$A$2:$A$12,0),0)=4)*Attempts!$AR17:$BU17),0))</f>
        <v/>
      </c>
      <c r="R17">
        <f>IF($A17="","",IFERROR(COUNTIF(INDEX(SubMap!$B$2:$AE$12,MATCH($C17,SubMap!$A$2:$A$12,0),0),4),0))</f>
        <v/>
      </c>
      <c r="S17">
        <f>IF(OR($A17="",R17=0),"",ROUND(Q17/R17*100,1))</f>
        <v/>
      </c>
      <c r="T17">
        <f>IF($A17="","",IFERROR(INDEX(Papers!$I$2:$I$12,MATCH($C17,Papers!$A$2:$A$12,0)),""))</f>
        <v/>
      </c>
      <c r="U17">
        <f>IF($A17="","",IFERROR(SUMPRODUCT((INDEX(SubMap!$B$2:$AE$12,MATCH($C17,SubMap!$A$2:$A$12,0),0)=5)*Attempts!$AR17:$BU17),0))</f>
        <v/>
      </c>
      <c r="V17">
        <f>IF($A17="","",IFERROR(COUNTIF(INDEX(SubMap!$B$2:$AE$12,MATCH($C17,SubMap!$A$2:$A$12,0),0),5),0))</f>
        <v/>
      </c>
      <c r="W17">
        <f>IF(OR($A17="",V17=0),"",ROUND(U17/V17*100,1))</f>
        <v/>
      </c>
      <c r="X17">
        <f>IF($A17="","",IFERROR(INDEX(Papers!$J$2:$J$12,MATCH($C17,Papers!$A$2:$A$12,0)),""))</f>
        <v/>
      </c>
      <c r="Y17">
        <f>IF($A17="","",IFERROR(SUMPRODUCT((INDEX(SubMap!$B$2:$AE$12,MATCH($C17,SubMap!$A$2:$A$12,0),0)=6)*Attempts!$AR17:$BU17),0))</f>
        <v/>
      </c>
      <c r="Z17">
        <f>IF($A17="","",IFERROR(COUNTIF(INDEX(SubMap!$B$2:$AE$12,MATCH($C17,SubMap!$A$2:$A$12,0),0),6),0))</f>
        <v/>
      </c>
      <c r="AA17">
        <f>IF(OR($A17="",Z17=0),"",ROUND(Y17/Z17*100,1))</f>
        <v/>
      </c>
      <c r="AB17">
        <f>IF($A17="","",IFERROR(INDEX(CHOOSE({1,2,3,4,5,6},D17,H17,L17,P17,T17,X17),MATCH(MIN(G17,K17,O17,S17,W17,AA17),CHOOSE({1,2,3,4,5,6},G17,K17,O17,S17,W17,AA17),0)),""))</f>
        <v/>
      </c>
      <c r="AC17">
        <f>IF($A17="","",IF(COUNT(G17,K17,O17,S17,W17,AA17)=0,"",MIN(G17,K17,O17,S17,W17,AA17)))</f>
        <v/>
      </c>
      <c r="AD17">
        <f>IF($A17="","",IFERROR(INDEX(CHOOSE({1,2,3,4,5,6},IFERROR(INDEX(Papers!$K$2:$K$12,MATCH($C17,Papers!$A$2:$A$12,0)),""),IFERROR(INDEX(Papers!$L$2:$L$12,MATCH($C17,Papers!$A$2:$A$12,0)),""),IFERROR(INDEX(Papers!$M$2:$M$12,MATCH($C17,Papers!$A$2:$A$12,0)),""),IFERROR(INDEX(Papers!$N$2:$N$12,MATCH($C17,Papers!$A$2:$A$12,0)),""),IFERROR(INDEX(Papers!$O$2:$O$12,MATCH($C17,Papers!$A$2:$A$12,0)),""),IFERROR(INDEX(Papers!$P$2:$P$12,MATCH($C17,Papers!$A$2:$A$12,0)),"")),MATCH(MIN(G17,K17,O17,S17,W17,AA17),CHOOSE({1,2,3,4,5,6},G17,K17,O17,S17,W17,AA17),0)),""))</f>
        <v/>
      </c>
      <c r="AE17">
        <f>IF(AC17="","",IF(AC17&lt;50,"Re-teach",IF(AC17&lt;75,"Practice more","Relatively secure")))</f>
        <v/>
      </c>
    </row>
    <row r="18">
      <c r="A18">
        <f>IF(Attempts!A18="","",Attempts!A18)</f>
        <v/>
      </c>
      <c r="B18">
        <f>IF(Attempts!A18="","",Attempts!B18)</f>
        <v/>
      </c>
      <c r="C18">
        <f>IF(Attempts!A18="","",Attempts!D18)</f>
        <v/>
      </c>
      <c r="D18">
        <f>IF($A18="","",IFERROR(INDEX(Papers!$E$2:$E$12,MATCH($C18,Papers!$A$2:$A$12,0)),""))</f>
        <v/>
      </c>
      <c r="E18">
        <f>IF($A18="","",IFERROR(SUMPRODUCT((INDEX(SubMap!$B$2:$AE$12,MATCH($C18,SubMap!$A$2:$A$12,0),0)=1)*Attempts!$AR18:$BU18),0))</f>
        <v/>
      </c>
      <c r="F18">
        <f>IF($A18="","",IFERROR(COUNTIF(INDEX(SubMap!$B$2:$AE$12,MATCH($C18,SubMap!$A$2:$A$12,0),0),1),0))</f>
        <v/>
      </c>
      <c r="G18">
        <f>IF(OR($A18="",F18=0),"",ROUND(E18/F18*100,1))</f>
        <v/>
      </c>
      <c r="H18">
        <f>IF($A18="","",IFERROR(INDEX(Papers!$F$2:$F$12,MATCH($C18,Papers!$A$2:$A$12,0)),""))</f>
        <v/>
      </c>
      <c r="I18">
        <f>IF($A18="","",IFERROR(SUMPRODUCT((INDEX(SubMap!$B$2:$AE$12,MATCH($C18,SubMap!$A$2:$A$12,0),0)=2)*Attempts!$AR18:$BU18),0))</f>
        <v/>
      </c>
      <c r="J18">
        <f>IF($A18="","",IFERROR(COUNTIF(INDEX(SubMap!$B$2:$AE$12,MATCH($C18,SubMap!$A$2:$A$12,0),0),2),0))</f>
        <v/>
      </c>
      <c r="K18">
        <f>IF(OR($A18="",J18=0),"",ROUND(I18/J18*100,1))</f>
        <v/>
      </c>
      <c r="L18">
        <f>IF($A18="","",IFERROR(INDEX(Papers!$G$2:$G$12,MATCH($C18,Papers!$A$2:$A$12,0)),""))</f>
        <v/>
      </c>
      <c r="M18">
        <f>IF($A18="","",IFERROR(SUMPRODUCT((INDEX(SubMap!$B$2:$AE$12,MATCH($C18,SubMap!$A$2:$A$12,0),0)=3)*Attempts!$AR18:$BU18),0))</f>
        <v/>
      </c>
      <c r="N18">
        <f>IF($A18="","",IFERROR(COUNTIF(INDEX(SubMap!$B$2:$AE$12,MATCH($C18,SubMap!$A$2:$A$12,0),0),3),0))</f>
        <v/>
      </c>
      <c r="O18">
        <f>IF(OR($A18="",N18=0),"",ROUND(M18/N18*100,1))</f>
        <v/>
      </c>
      <c r="P18">
        <f>IF($A18="","",IFERROR(INDEX(Papers!$H$2:$H$12,MATCH($C18,Papers!$A$2:$A$12,0)),""))</f>
        <v/>
      </c>
      <c r="Q18">
        <f>IF($A18="","",IFERROR(SUMPRODUCT((INDEX(SubMap!$B$2:$AE$12,MATCH($C18,SubMap!$A$2:$A$12,0),0)=4)*Attempts!$AR18:$BU18),0))</f>
        <v/>
      </c>
      <c r="R18">
        <f>IF($A18="","",IFERROR(COUNTIF(INDEX(SubMap!$B$2:$AE$12,MATCH($C18,SubMap!$A$2:$A$12,0),0),4),0))</f>
        <v/>
      </c>
      <c r="S18">
        <f>IF(OR($A18="",R18=0),"",ROUND(Q18/R18*100,1))</f>
        <v/>
      </c>
      <c r="T18">
        <f>IF($A18="","",IFERROR(INDEX(Papers!$I$2:$I$12,MATCH($C18,Papers!$A$2:$A$12,0)),""))</f>
        <v/>
      </c>
      <c r="U18">
        <f>IF($A18="","",IFERROR(SUMPRODUCT((INDEX(SubMap!$B$2:$AE$12,MATCH($C18,SubMap!$A$2:$A$12,0),0)=5)*Attempts!$AR18:$BU18),0))</f>
        <v/>
      </c>
      <c r="V18">
        <f>IF($A18="","",IFERROR(COUNTIF(INDEX(SubMap!$B$2:$AE$12,MATCH($C18,SubMap!$A$2:$A$12,0),0),5),0))</f>
        <v/>
      </c>
      <c r="W18">
        <f>IF(OR($A18="",V18=0),"",ROUND(U18/V18*100,1))</f>
        <v/>
      </c>
      <c r="X18">
        <f>IF($A18="","",IFERROR(INDEX(Papers!$J$2:$J$12,MATCH($C18,Papers!$A$2:$A$12,0)),""))</f>
        <v/>
      </c>
      <c r="Y18">
        <f>IF($A18="","",IFERROR(SUMPRODUCT((INDEX(SubMap!$B$2:$AE$12,MATCH($C18,SubMap!$A$2:$A$12,0),0)=6)*Attempts!$AR18:$BU18),0))</f>
        <v/>
      </c>
      <c r="Z18">
        <f>IF($A18="","",IFERROR(COUNTIF(INDEX(SubMap!$B$2:$AE$12,MATCH($C18,SubMap!$A$2:$A$12,0),0),6),0))</f>
        <v/>
      </c>
      <c r="AA18">
        <f>IF(OR($A18="",Z18=0),"",ROUND(Y18/Z18*100,1))</f>
        <v/>
      </c>
      <c r="AB18">
        <f>IF($A18="","",IFERROR(INDEX(CHOOSE({1,2,3,4,5,6},D18,H18,L18,P18,T18,X18),MATCH(MIN(G18,K18,O18,S18,W18,AA18),CHOOSE({1,2,3,4,5,6},G18,K18,O18,S18,W18,AA18),0)),""))</f>
        <v/>
      </c>
      <c r="AC18">
        <f>IF($A18="","",IF(COUNT(G18,K18,O18,S18,W18,AA18)=0,"",MIN(G18,K18,O18,S18,W18,AA18)))</f>
        <v/>
      </c>
      <c r="AD18">
        <f>IF($A18="","",IFERROR(INDEX(CHOOSE({1,2,3,4,5,6},IFERROR(INDEX(Papers!$K$2:$K$12,MATCH($C18,Papers!$A$2:$A$12,0)),""),IFERROR(INDEX(Papers!$L$2:$L$12,MATCH($C18,Papers!$A$2:$A$12,0)),""),IFERROR(INDEX(Papers!$M$2:$M$12,MATCH($C18,Papers!$A$2:$A$12,0)),""),IFERROR(INDEX(Papers!$N$2:$N$12,MATCH($C18,Papers!$A$2:$A$12,0)),""),IFERROR(INDEX(Papers!$O$2:$O$12,MATCH($C18,Papers!$A$2:$A$12,0)),""),IFERROR(INDEX(Papers!$P$2:$P$12,MATCH($C18,Papers!$A$2:$A$12,0)),"")),MATCH(MIN(G18,K18,O18,S18,W18,AA18),CHOOSE({1,2,3,4,5,6},G18,K18,O18,S18,W18,AA18),0)),""))</f>
        <v/>
      </c>
      <c r="AE18">
        <f>IF(AC18="","",IF(AC18&lt;50,"Re-teach",IF(AC18&lt;75,"Practice more","Relatively secure")))</f>
        <v/>
      </c>
    </row>
    <row r="19">
      <c r="A19">
        <f>IF(Attempts!A19="","",Attempts!A19)</f>
        <v/>
      </c>
      <c r="B19">
        <f>IF(Attempts!A19="","",Attempts!B19)</f>
        <v/>
      </c>
      <c r="C19">
        <f>IF(Attempts!A19="","",Attempts!D19)</f>
        <v/>
      </c>
      <c r="D19">
        <f>IF($A19="","",IFERROR(INDEX(Papers!$E$2:$E$12,MATCH($C19,Papers!$A$2:$A$12,0)),""))</f>
        <v/>
      </c>
      <c r="E19">
        <f>IF($A19="","",IFERROR(SUMPRODUCT((INDEX(SubMap!$B$2:$AE$12,MATCH($C19,SubMap!$A$2:$A$12,0),0)=1)*Attempts!$AR19:$BU19),0))</f>
        <v/>
      </c>
      <c r="F19">
        <f>IF($A19="","",IFERROR(COUNTIF(INDEX(SubMap!$B$2:$AE$12,MATCH($C19,SubMap!$A$2:$A$12,0),0),1),0))</f>
        <v/>
      </c>
      <c r="G19">
        <f>IF(OR($A19="",F19=0),"",ROUND(E19/F19*100,1))</f>
        <v/>
      </c>
      <c r="H19">
        <f>IF($A19="","",IFERROR(INDEX(Papers!$F$2:$F$12,MATCH($C19,Papers!$A$2:$A$12,0)),""))</f>
        <v/>
      </c>
      <c r="I19">
        <f>IF($A19="","",IFERROR(SUMPRODUCT((INDEX(SubMap!$B$2:$AE$12,MATCH($C19,SubMap!$A$2:$A$12,0),0)=2)*Attempts!$AR19:$BU19),0))</f>
        <v/>
      </c>
      <c r="J19">
        <f>IF($A19="","",IFERROR(COUNTIF(INDEX(SubMap!$B$2:$AE$12,MATCH($C19,SubMap!$A$2:$A$12,0),0),2),0))</f>
        <v/>
      </c>
      <c r="K19">
        <f>IF(OR($A19="",J19=0),"",ROUND(I19/J19*100,1))</f>
        <v/>
      </c>
      <c r="L19">
        <f>IF($A19="","",IFERROR(INDEX(Papers!$G$2:$G$12,MATCH($C19,Papers!$A$2:$A$12,0)),""))</f>
        <v/>
      </c>
      <c r="M19">
        <f>IF($A19="","",IFERROR(SUMPRODUCT((INDEX(SubMap!$B$2:$AE$12,MATCH($C19,SubMap!$A$2:$A$12,0),0)=3)*Attempts!$AR19:$BU19),0))</f>
        <v/>
      </c>
      <c r="N19">
        <f>IF($A19="","",IFERROR(COUNTIF(INDEX(SubMap!$B$2:$AE$12,MATCH($C19,SubMap!$A$2:$A$12,0),0),3),0))</f>
        <v/>
      </c>
      <c r="O19">
        <f>IF(OR($A19="",N19=0),"",ROUND(M19/N19*100,1))</f>
        <v/>
      </c>
      <c r="P19">
        <f>IF($A19="","",IFERROR(INDEX(Papers!$H$2:$H$12,MATCH($C19,Papers!$A$2:$A$12,0)),""))</f>
        <v/>
      </c>
      <c r="Q19">
        <f>IF($A19="","",IFERROR(SUMPRODUCT((INDEX(SubMap!$B$2:$AE$12,MATCH($C19,SubMap!$A$2:$A$12,0),0)=4)*Attempts!$AR19:$BU19),0))</f>
        <v/>
      </c>
      <c r="R19">
        <f>IF($A19="","",IFERROR(COUNTIF(INDEX(SubMap!$B$2:$AE$12,MATCH($C19,SubMap!$A$2:$A$12,0),0),4),0))</f>
        <v/>
      </c>
      <c r="S19">
        <f>IF(OR($A19="",R19=0),"",ROUND(Q19/R19*100,1))</f>
        <v/>
      </c>
      <c r="T19">
        <f>IF($A19="","",IFERROR(INDEX(Papers!$I$2:$I$12,MATCH($C19,Papers!$A$2:$A$12,0)),""))</f>
        <v/>
      </c>
      <c r="U19">
        <f>IF($A19="","",IFERROR(SUMPRODUCT((INDEX(SubMap!$B$2:$AE$12,MATCH($C19,SubMap!$A$2:$A$12,0),0)=5)*Attempts!$AR19:$BU19),0))</f>
        <v/>
      </c>
      <c r="V19">
        <f>IF($A19="","",IFERROR(COUNTIF(INDEX(SubMap!$B$2:$AE$12,MATCH($C19,SubMap!$A$2:$A$12,0),0),5),0))</f>
        <v/>
      </c>
      <c r="W19">
        <f>IF(OR($A19="",V19=0),"",ROUND(U19/V19*100,1))</f>
        <v/>
      </c>
      <c r="X19">
        <f>IF($A19="","",IFERROR(INDEX(Papers!$J$2:$J$12,MATCH($C19,Papers!$A$2:$A$12,0)),""))</f>
        <v/>
      </c>
      <c r="Y19">
        <f>IF($A19="","",IFERROR(SUMPRODUCT((INDEX(SubMap!$B$2:$AE$12,MATCH($C19,SubMap!$A$2:$A$12,0),0)=6)*Attempts!$AR19:$BU19),0))</f>
        <v/>
      </c>
      <c r="Z19">
        <f>IF($A19="","",IFERROR(COUNTIF(INDEX(SubMap!$B$2:$AE$12,MATCH($C19,SubMap!$A$2:$A$12,0),0),6),0))</f>
        <v/>
      </c>
      <c r="AA19">
        <f>IF(OR($A19="",Z19=0),"",ROUND(Y19/Z19*100,1))</f>
        <v/>
      </c>
      <c r="AB19">
        <f>IF($A19="","",IFERROR(INDEX(CHOOSE({1,2,3,4,5,6},D19,H19,L19,P19,T19,X19),MATCH(MIN(G19,K19,O19,S19,W19,AA19),CHOOSE({1,2,3,4,5,6},G19,K19,O19,S19,W19,AA19),0)),""))</f>
        <v/>
      </c>
      <c r="AC19">
        <f>IF($A19="","",IF(COUNT(G19,K19,O19,S19,W19,AA19)=0,"",MIN(G19,K19,O19,S19,W19,AA19)))</f>
        <v/>
      </c>
      <c r="AD19">
        <f>IF($A19="","",IFERROR(INDEX(CHOOSE({1,2,3,4,5,6},IFERROR(INDEX(Papers!$K$2:$K$12,MATCH($C19,Papers!$A$2:$A$12,0)),""),IFERROR(INDEX(Papers!$L$2:$L$12,MATCH($C19,Papers!$A$2:$A$12,0)),""),IFERROR(INDEX(Papers!$M$2:$M$12,MATCH($C19,Papers!$A$2:$A$12,0)),""),IFERROR(INDEX(Papers!$N$2:$N$12,MATCH($C19,Papers!$A$2:$A$12,0)),""),IFERROR(INDEX(Papers!$O$2:$O$12,MATCH($C19,Papers!$A$2:$A$12,0)),""),IFERROR(INDEX(Papers!$P$2:$P$12,MATCH($C19,Papers!$A$2:$A$12,0)),"")),MATCH(MIN(G19,K19,O19,S19,W19,AA19),CHOOSE({1,2,3,4,5,6},G19,K19,O19,S19,W19,AA19),0)),""))</f>
        <v/>
      </c>
      <c r="AE19">
        <f>IF(AC19="","",IF(AC19&lt;50,"Re-teach",IF(AC19&lt;75,"Practice more","Relatively secure")))</f>
        <v/>
      </c>
    </row>
    <row r="20">
      <c r="A20">
        <f>IF(Attempts!A20="","",Attempts!A20)</f>
        <v/>
      </c>
      <c r="B20">
        <f>IF(Attempts!A20="","",Attempts!B20)</f>
        <v/>
      </c>
      <c r="C20">
        <f>IF(Attempts!A20="","",Attempts!D20)</f>
        <v/>
      </c>
      <c r="D20">
        <f>IF($A20="","",IFERROR(INDEX(Papers!$E$2:$E$12,MATCH($C20,Papers!$A$2:$A$12,0)),""))</f>
        <v/>
      </c>
      <c r="E20">
        <f>IF($A20="","",IFERROR(SUMPRODUCT((INDEX(SubMap!$B$2:$AE$12,MATCH($C20,SubMap!$A$2:$A$12,0),0)=1)*Attempts!$AR20:$BU20),0))</f>
        <v/>
      </c>
      <c r="F20">
        <f>IF($A20="","",IFERROR(COUNTIF(INDEX(SubMap!$B$2:$AE$12,MATCH($C20,SubMap!$A$2:$A$12,0),0),1),0))</f>
        <v/>
      </c>
      <c r="G20">
        <f>IF(OR($A20="",F20=0),"",ROUND(E20/F20*100,1))</f>
        <v/>
      </c>
      <c r="H20">
        <f>IF($A20="","",IFERROR(INDEX(Papers!$F$2:$F$12,MATCH($C20,Papers!$A$2:$A$12,0)),""))</f>
        <v/>
      </c>
      <c r="I20">
        <f>IF($A20="","",IFERROR(SUMPRODUCT((INDEX(SubMap!$B$2:$AE$12,MATCH($C20,SubMap!$A$2:$A$12,0),0)=2)*Attempts!$AR20:$BU20),0))</f>
        <v/>
      </c>
      <c r="J20">
        <f>IF($A20="","",IFERROR(COUNTIF(INDEX(SubMap!$B$2:$AE$12,MATCH($C20,SubMap!$A$2:$A$12,0),0),2),0))</f>
        <v/>
      </c>
      <c r="K20">
        <f>IF(OR($A20="",J20=0),"",ROUND(I20/J20*100,1))</f>
        <v/>
      </c>
      <c r="L20">
        <f>IF($A20="","",IFERROR(INDEX(Papers!$G$2:$G$12,MATCH($C20,Papers!$A$2:$A$12,0)),""))</f>
        <v/>
      </c>
      <c r="M20">
        <f>IF($A20="","",IFERROR(SUMPRODUCT((INDEX(SubMap!$B$2:$AE$12,MATCH($C20,SubMap!$A$2:$A$12,0),0)=3)*Attempts!$AR20:$BU20),0))</f>
        <v/>
      </c>
      <c r="N20">
        <f>IF($A20="","",IFERROR(COUNTIF(INDEX(SubMap!$B$2:$AE$12,MATCH($C20,SubMap!$A$2:$A$12,0),0),3),0))</f>
        <v/>
      </c>
      <c r="O20">
        <f>IF(OR($A20="",N20=0),"",ROUND(M20/N20*100,1))</f>
        <v/>
      </c>
      <c r="P20">
        <f>IF($A20="","",IFERROR(INDEX(Papers!$H$2:$H$12,MATCH($C20,Papers!$A$2:$A$12,0)),""))</f>
        <v/>
      </c>
      <c r="Q20">
        <f>IF($A20="","",IFERROR(SUMPRODUCT((INDEX(SubMap!$B$2:$AE$12,MATCH($C20,SubMap!$A$2:$A$12,0),0)=4)*Attempts!$AR20:$BU20),0))</f>
        <v/>
      </c>
      <c r="R20">
        <f>IF($A20="","",IFERROR(COUNTIF(INDEX(SubMap!$B$2:$AE$12,MATCH($C20,SubMap!$A$2:$A$12,0),0),4),0))</f>
        <v/>
      </c>
      <c r="S20">
        <f>IF(OR($A20="",R20=0),"",ROUND(Q20/R20*100,1))</f>
        <v/>
      </c>
      <c r="T20">
        <f>IF($A20="","",IFERROR(INDEX(Papers!$I$2:$I$12,MATCH($C20,Papers!$A$2:$A$12,0)),""))</f>
        <v/>
      </c>
      <c r="U20">
        <f>IF($A20="","",IFERROR(SUMPRODUCT((INDEX(SubMap!$B$2:$AE$12,MATCH($C20,SubMap!$A$2:$A$12,0),0)=5)*Attempts!$AR20:$BU20),0))</f>
        <v/>
      </c>
      <c r="V20">
        <f>IF($A20="","",IFERROR(COUNTIF(INDEX(SubMap!$B$2:$AE$12,MATCH($C20,SubMap!$A$2:$A$12,0),0),5),0))</f>
        <v/>
      </c>
      <c r="W20">
        <f>IF(OR($A20="",V20=0),"",ROUND(U20/V20*100,1))</f>
        <v/>
      </c>
      <c r="X20">
        <f>IF($A20="","",IFERROR(INDEX(Papers!$J$2:$J$12,MATCH($C20,Papers!$A$2:$A$12,0)),""))</f>
        <v/>
      </c>
      <c r="Y20">
        <f>IF($A20="","",IFERROR(SUMPRODUCT((INDEX(SubMap!$B$2:$AE$12,MATCH($C20,SubMap!$A$2:$A$12,0),0)=6)*Attempts!$AR20:$BU20),0))</f>
        <v/>
      </c>
      <c r="Z20">
        <f>IF($A20="","",IFERROR(COUNTIF(INDEX(SubMap!$B$2:$AE$12,MATCH($C20,SubMap!$A$2:$A$12,0),0),6),0))</f>
        <v/>
      </c>
      <c r="AA20">
        <f>IF(OR($A20="",Z20=0),"",ROUND(Y20/Z20*100,1))</f>
        <v/>
      </c>
      <c r="AB20">
        <f>IF($A20="","",IFERROR(INDEX(CHOOSE({1,2,3,4,5,6},D20,H20,L20,P20,T20,X20),MATCH(MIN(G20,K20,O20,S20,W20,AA20),CHOOSE({1,2,3,4,5,6},G20,K20,O20,S20,W20,AA20),0)),""))</f>
        <v/>
      </c>
      <c r="AC20">
        <f>IF($A20="","",IF(COUNT(G20,K20,O20,S20,W20,AA20)=0,"",MIN(G20,K20,O20,S20,W20,AA20)))</f>
        <v/>
      </c>
      <c r="AD20">
        <f>IF($A20="","",IFERROR(INDEX(CHOOSE({1,2,3,4,5,6},IFERROR(INDEX(Papers!$K$2:$K$12,MATCH($C20,Papers!$A$2:$A$12,0)),""),IFERROR(INDEX(Papers!$L$2:$L$12,MATCH($C20,Papers!$A$2:$A$12,0)),""),IFERROR(INDEX(Papers!$M$2:$M$12,MATCH($C20,Papers!$A$2:$A$12,0)),""),IFERROR(INDEX(Papers!$N$2:$N$12,MATCH($C20,Papers!$A$2:$A$12,0)),""),IFERROR(INDEX(Papers!$O$2:$O$12,MATCH($C20,Papers!$A$2:$A$12,0)),""),IFERROR(INDEX(Papers!$P$2:$P$12,MATCH($C20,Papers!$A$2:$A$12,0)),"")),MATCH(MIN(G20,K20,O20,S20,W20,AA20),CHOOSE({1,2,3,4,5,6},G20,K20,O20,S20,W20,AA20),0)),""))</f>
        <v/>
      </c>
      <c r="AE20">
        <f>IF(AC20="","",IF(AC20&lt;50,"Re-teach",IF(AC20&lt;75,"Practice more","Relatively secure")))</f>
        <v/>
      </c>
    </row>
    <row r="21">
      <c r="A21">
        <f>IF(Attempts!A21="","",Attempts!A21)</f>
        <v/>
      </c>
      <c r="B21">
        <f>IF(Attempts!A21="","",Attempts!B21)</f>
        <v/>
      </c>
      <c r="C21">
        <f>IF(Attempts!A21="","",Attempts!D21)</f>
        <v/>
      </c>
      <c r="D21">
        <f>IF($A21="","",IFERROR(INDEX(Papers!$E$2:$E$12,MATCH($C21,Papers!$A$2:$A$12,0)),""))</f>
        <v/>
      </c>
      <c r="E21">
        <f>IF($A21="","",IFERROR(SUMPRODUCT((INDEX(SubMap!$B$2:$AE$12,MATCH($C21,SubMap!$A$2:$A$12,0),0)=1)*Attempts!$AR21:$BU21),0))</f>
        <v/>
      </c>
      <c r="F21">
        <f>IF($A21="","",IFERROR(COUNTIF(INDEX(SubMap!$B$2:$AE$12,MATCH($C21,SubMap!$A$2:$A$12,0),0),1),0))</f>
        <v/>
      </c>
      <c r="G21">
        <f>IF(OR($A21="",F21=0),"",ROUND(E21/F21*100,1))</f>
        <v/>
      </c>
      <c r="H21">
        <f>IF($A21="","",IFERROR(INDEX(Papers!$F$2:$F$12,MATCH($C21,Papers!$A$2:$A$12,0)),""))</f>
        <v/>
      </c>
      <c r="I21">
        <f>IF($A21="","",IFERROR(SUMPRODUCT((INDEX(SubMap!$B$2:$AE$12,MATCH($C21,SubMap!$A$2:$A$12,0),0)=2)*Attempts!$AR21:$BU21),0))</f>
        <v/>
      </c>
      <c r="J21">
        <f>IF($A21="","",IFERROR(COUNTIF(INDEX(SubMap!$B$2:$AE$12,MATCH($C21,SubMap!$A$2:$A$12,0),0),2),0))</f>
        <v/>
      </c>
      <c r="K21">
        <f>IF(OR($A21="",J21=0),"",ROUND(I21/J21*100,1))</f>
        <v/>
      </c>
      <c r="L21">
        <f>IF($A21="","",IFERROR(INDEX(Papers!$G$2:$G$12,MATCH($C21,Papers!$A$2:$A$12,0)),""))</f>
        <v/>
      </c>
      <c r="M21">
        <f>IF($A21="","",IFERROR(SUMPRODUCT((INDEX(SubMap!$B$2:$AE$12,MATCH($C21,SubMap!$A$2:$A$12,0),0)=3)*Attempts!$AR21:$BU21),0))</f>
        <v/>
      </c>
      <c r="N21">
        <f>IF($A21="","",IFERROR(COUNTIF(INDEX(SubMap!$B$2:$AE$12,MATCH($C21,SubMap!$A$2:$A$12,0),0),3),0))</f>
        <v/>
      </c>
      <c r="O21">
        <f>IF(OR($A21="",N21=0),"",ROUND(M21/N21*100,1))</f>
        <v/>
      </c>
      <c r="P21">
        <f>IF($A21="","",IFERROR(INDEX(Papers!$H$2:$H$12,MATCH($C21,Papers!$A$2:$A$12,0)),""))</f>
        <v/>
      </c>
      <c r="Q21">
        <f>IF($A21="","",IFERROR(SUMPRODUCT((INDEX(SubMap!$B$2:$AE$12,MATCH($C21,SubMap!$A$2:$A$12,0),0)=4)*Attempts!$AR21:$BU21),0))</f>
        <v/>
      </c>
      <c r="R21">
        <f>IF($A21="","",IFERROR(COUNTIF(INDEX(SubMap!$B$2:$AE$12,MATCH($C21,SubMap!$A$2:$A$12,0),0),4),0))</f>
        <v/>
      </c>
      <c r="S21">
        <f>IF(OR($A21="",R21=0),"",ROUND(Q21/R21*100,1))</f>
        <v/>
      </c>
      <c r="T21">
        <f>IF($A21="","",IFERROR(INDEX(Papers!$I$2:$I$12,MATCH($C21,Papers!$A$2:$A$12,0)),""))</f>
        <v/>
      </c>
      <c r="U21">
        <f>IF($A21="","",IFERROR(SUMPRODUCT((INDEX(SubMap!$B$2:$AE$12,MATCH($C21,SubMap!$A$2:$A$12,0),0)=5)*Attempts!$AR21:$BU21),0))</f>
        <v/>
      </c>
      <c r="V21">
        <f>IF($A21="","",IFERROR(COUNTIF(INDEX(SubMap!$B$2:$AE$12,MATCH($C21,SubMap!$A$2:$A$12,0),0),5),0))</f>
        <v/>
      </c>
      <c r="W21">
        <f>IF(OR($A21="",V21=0),"",ROUND(U21/V21*100,1))</f>
        <v/>
      </c>
      <c r="X21">
        <f>IF($A21="","",IFERROR(INDEX(Papers!$J$2:$J$12,MATCH($C21,Papers!$A$2:$A$12,0)),""))</f>
        <v/>
      </c>
      <c r="Y21">
        <f>IF($A21="","",IFERROR(SUMPRODUCT((INDEX(SubMap!$B$2:$AE$12,MATCH($C21,SubMap!$A$2:$A$12,0),0)=6)*Attempts!$AR21:$BU21),0))</f>
        <v/>
      </c>
      <c r="Z21">
        <f>IF($A21="","",IFERROR(COUNTIF(INDEX(SubMap!$B$2:$AE$12,MATCH($C21,SubMap!$A$2:$A$12,0),0),6),0))</f>
        <v/>
      </c>
      <c r="AA21">
        <f>IF(OR($A21="",Z21=0),"",ROUND(Y21/Z21*100,1))</f>
        <v/>
      </c>
      <c r="AB21">
        <f>IF($A21="","",IFERROR(INDEX(CHOOSE({1,2,3,4,5,6},D21,H21,L21,P21,T21,X21),MATCH(MIN(G21,K21,O21,S21,W21,AA21),CHOOSE({1,2,3,4,5,6},G21,K21,O21,S21,W21,AA21),0)),""))</f>
        <v/>
      </c>
      <c r="AC21">
        <f>IF($A21="","",IF(COUNT(G21,K21,O21,S21,W21,AA21)=0,"",MIN(G21,K21,O21,S21,W21,AA21)))</f>
        <v/>
      </c>
      <c r="AD21">
        <f>IF($A21="","",IFERROR(INDEX(CHOOSE({1,2,3,4,5,6},IFERROR(INDEX(Papers!$K$2:$K$12,MATCH($C21,Papers!$A$2:$A$12,0)),""),IFERROR(INDEX(Papers!$L$2:$L$12,MATCH($C21,Papers!$A$2:$A$12,0)),""),IFERROR(INDEX(Papers!$M$2:$M$12,MATCH($C21,Papers!$A$2:$A$12,0)),""),IFERROR(INDEX(Papers!$N$2:$N$12,MATCH($C21,Papers!$A$2:$A$12,0)),""),IFERROR(INDEX(Papers!$O$2:$O$12,MATCH($C21,Papers!$A$2:$A$12,0)),""),IFERROR(INDEX(Papers!$P$2:$P$12,MATCH($C21,Papers!$A$2:$A$12,0)),"")),MATCH(MIN(G21,K21,O21,S21,W21,AA21),CHOOSE({1,2,3,4,5,6},G21,K21,O21,S21,W21,AA21),0)),""))</f>
        <v/>
      </c>
      <c r="AE21">
        <f>IF(AC21="","",IF(AC21&lt;50,"Re-teach",IF(AC21&lt;75,"Practice more","Relatively secure")))</f>
        <v/>
      </c>
    </row>
    <row r="22">
      <c r="A22">
        <f>IF(Attempts!A22="","",Attempts!A22)</f>
        <v/>
      </c>
      <c r="B22">
        <f>IF(Attempts!A22="","",Attempts!B22)</f>
        <v/>
      </c>
      <c r="C22">
        <f>IF(Attempts!A22="","",Attempts!D22)</f>
        <v/>
      </c>
      <c r="D22">
        <f>IF($A22="","",IFERROR(INDEX(Papers!$E$2:$E$12,MATCH($C22,Papers!$A$2:$A$12,0)),""))</f>
        <v/>
      </c>
      <c r="E22">
        <f>IF($A22="","",IFERROR(SUMPRODUCT((INDEX(SubMap!$B$2:$AE$12,MATCH($C22,SubMap!$A$2:$A$12,0),0)=1)*Attempts!$AR22:$BU22),0))</f>
        <v/>
      </c>
      <c r="F22">
        <f>IF($A22="","",IFERROR(COUNTIF(INDEX(SubMap!$B$2:$AE$12,MATCH($C22,SubMap!$A$2:$A$12,0),0),1),0))</f>
        <v/>
      </c>
      <c r="G22">
        <f>IF(OR($A22="",F22=0),"",ROUND(E22/F22*100,1))</f>
        <v/>
      </c>
      <c r="H22">
        <f>IF($A22="","",IFERROR(INDEX(Papers!$F$2:$F$12,MATCH($C22,Papers!$A$2:$A$12,0)),""))</f>
        <v/>
      </c>
      <c r="I22">
        <f>IF($A22="","",IFERROR(SUMPRODUCT((INDEX(SubMap!$B$2:$AE$12,MATCH($C22,SubMap!$A$2:$A$12,0),0)=2)*Attempts!$AR22:$BU22),0))</f>
        <v/>
      </c>
      <c r="J22">
        <f>IF($A22="","",IFERROR(COUNTIF(INDEX(SubMap!$B$2:$AE$12,MATCH($C22,SubMap!$A$2:$A$12,0),0),2),0))</f>
        <v/>
      </c>
      <c r="K22">
        <f>IF(OR($A22="",J22=0),"",ROUND(I22/J22*100,1))</f>
        <v/>
      </c>
      <c r="L22">
        <f>IF($A22="","",IFERROR(INDEX(Papers!$G$2:$G$12,MATCH($C22,Papers!$A$2:$A$12,0)),""))</f>
        <v/>
      </c>
      <c r="M22">
        <f>IF($A22="","",IFERROR(SUMPRODUCT((INDEX(SubMap!$B$2:$AE$12,MATCH($C22,SubMap!$A$2:$A$12,0),0)=3)*Attempts!$AR22:$BU22),0))</f>
        <v/>
      </c>
      <c r="N22">
        <f>IF($A22="","",IFERROR(COUNTIF(INDEX(SubMap!$B$2:$AE$12,MATCH($C22,SubMap!$A$2:$A$12,0),0),3),0))</f>
        <v/>
      </c>
      <c r="O22">
        <f>IF(OR($A22="",N22=0),"",ROUND(M22/N22*100,1))</f>
        <v/>
      </c>
      <c r="P22">
        <f>IF($A22="","",IFERROR(INDEX(Papers!$H$2:$H$12,MATCH($C22,Papers!$A$2:$A$12,0)),""))</f>
        <v/>
      </c>
      <c r="Q22">
        <f>IF($A22="","",IFERROR(SUMPRODUCT((INDEX(SubMap!$B$2:$AE$12,MATCH($C22,SubMap!$A$2:$A$12,0),0)=4)*Attempts!$AR22:$BU22),0))</f>
        <v/>
      </c>
      <c r="R22">
        <f>IF($A22="","",IFERROR(COUNTIF(INDEX(SubMap!$B$2:$AE$12,MATCH($C22,SubMap!$A$2:$A$12,0),0),4),0))</f>
        <v/>
      </c>
      <c r="S22">
        <f>IF(OR($A22="",R22=0),"",ROUND(Q22/R22*100,1))</f>
        <v/>
      </c>
      <c r="T22">
        <f>IF($A22="","",IFERROR(INDEX(Papers!$I$2:$I$12,MATCH($C22,Papers!$A$2:$A$12,0)),""))</f>
        <v/>
      </c>
      <c r="U22">
        <f>IF($A22="","",IFERROR(SUMPRODUCT((INDEX(SubMap!$B$2:$AE$12,MATCH($C22,SubMap!$A$2:$A$12,0),0)=5)*Attempts!$AR22:$BU22),0))</f>
        <v/>
      </c>
      <c r="V22">
        <f>IF($A22="","",IFERROR(COUNTIF(INDEX(SubMap!$B$2:$AE$12,MATCH($C22,SubMap!$A$2:$A$12,0),0),5),0))</f>
        <v/>
      </c>
      <c r="W22">
        <f>IF(OR($A22="",V22=0),"",ROUND(U22/V22*100,1))</f>
        <v/>
      </c>
      <c r="X22">
        <f>IF($A22="","",IFERROR(INDEX(Papers!$J$2:$J$12,MATCH($C22,Papers!$A$2:$A$12,0)),""))</f>
        <v/>
      </c>
      <c r="Y22">
        <f>IF($A22="","",IFERROR(SUMPRODUCT((INDEX(SubMap!$B$2:$AE$12,MATCH($C22,SubMap!$A$2:$A$12,0),0)=6)*Attempts!$AR22:$BU22),0))</f>
        <v/>
      </c>
      <c r="Z22">
        <f>IF($A22="","",IFERROR(COUNTIF(INDEX(SubMap!$B$2:$AE$12,MATCH($C22,SubMap!$A$2:$A$12,0),0),6),0))</f>
        <v/>
      </c>
      <c r="AA22">
        <f>IF(OR($A22="",Z22=0),"",ROUND(Y22/Z22*100,1))</f>
        <v/>
      </c>
      <c r="AB22">
        <f>IF($A22="","",IFERROR(INDEX(CHOOSE({1,2,3,4,5,6},D22,H22,L22,P22,T22,X22),MATCH(MIN(G22,K22,O22,S22,W22,AA22),CHOOSE({1,2,3,4,5,6},G22,K22,O22,S22,W22,AA22),0)),""))</f>
        <v/>
      </c>
      <c r="AC22">
        <f>IF($A22="","",IF(COUNT(G22,K22,O22,S22,W22,AA22)=0,"",MIN(G22,K22,O22,S22,W22,AA22)))</f>
        <v/>
      </c>
      <c r="AD22">
        <f>IF($A22="","",IFERROR(INDEX(CHOOSE({1,2,3,4,5,6},IFERROR(INDEX(Papers!$K$2:$K$12,MATCH($C22,Papers!$A$2:$A$12,0)),""),IFERROR(INDEX(Papers!$L$2:$L$12,MATCH($C22,Papers!$A$2:$A$12,0)),""),IFERROR(INDEX(Papers!$M$2:$M$12,MATCH($C22,Papers!$A$2:$A$12,0)),""),IFERROR(INDEX(Papers!$N$2:$N$12,MATCH($C22,Papers!$A$2:$A$12,0)),""),IFERROR(INDEX(Papers!$O$2:$O$12,MATCH($C22,Papers!$A$2:$A$12,0)),""),IFERROR(INDEX(Papers!$P$2:$P$12,MATCH($C22,Papers!$A$2:$A$12,0)),"")),MATCH(MIN(G22,K22,O22,S22,W22,AA22),CHOOSE({1,2,3,4,5,6},G22,K22,O22,S22,W22,AA22),0)),""))</f>
        <v/>
      </c>
      <c r="AE22">
        <f>IF(AC22="","",IF(AC22&lt;50,"Re-teach",IF(AC22&lt;75,"Practice more","Relatively secure")))</f>
        <v/>
      </c>
    </row>
    <row r="23">
      <c r="A23">
        <f>IF(Attempts!A23="","",Attempts!A23)</f>
        <v/>
      </c>
      <c r="B23">
        <f>IF(Attempts!A23="","",Attempts!B23)</f>
        <v/>
      </c>
      <c r="C23">
        <f>IF(Attempts!A23="","",Attempts!D23)</f>
        <v/>
      </c>
      <c r="D23">
        <f>IF($A23="","",IFERROR(INDEX(Papers!$E$2:$E$12,MATCH($C23,Papers!$A$2:$A$12,0)),""))</f>
        <v/>
      </c>
      <c r="E23">
        <f>IF($A23="","",IFERROR(SUMPRODUCT((INDEX(SubMap!$B$2:$AE$12,MATCH($C23,SubMap!$A$2:$A$12,0),0)=1)*Attempts!$AR23:$BU23),0))</f>
        <v/>
      </c>
      <c r="F23">
        <f>IF($A23="","",IFERROR(COUNTIF(INDEX(SubMap!$B$2:$AE$12,MATCH($C23,SubMap!$A$2:$A$12,0),0),1),0))</f>
        <v/>
      </c>
      <c r="G23">
        <f>IF(OR($A23="",F23=0),"",ROUND(E23/F23*100,1))</f>
        <v/>
      </c>
      <c r="H23">
        <f>IF($A23="","",IFERROR(INDEX(Papers!$F$2:$F$12,MATCH($C23,Papers!$A$2:$A$12,0)),""))</f>
        <v/>
      </c>
      <c r="I23">
        <f>IF($A23="","",IFERROR(SUMPRODUCT((INDEX(SubMap!$B$2:$AE$12,MATCH($C23,SubMap!$A$2:$A$12,0),0)=2)*Attempts!$AR23:$BU23),0))</f>
        <v/>
      </c>
      <c r="J23">
        <f>IF($A23="","",IFERROR(COUNTIF(INDEX(SubMap!$B$2:$AE$12,MATCH($C23,SubMap!$A$2:$A$12,0),0),2),0))</f>
        <v/>
      </c>
      <c r="K23">
        <f>IF(OR($A23="",J23=0),"",ROUND(I23/J23*100,1))</f>
        <v/>
      </c>
      <c r="L23">
        <f>IF($A23="","",IFERROR(INDEX(Papers!$G$2:$G$12,MATCH($C23,Papers!$A$2:$A$12,0)),""))</f>
        <v/>
      </c>
      <c r="M23">
        <f>IF($A23="","",IFERROR(SUMPRODUCT((INDEX(SubMap!$B$2:$AE$12,MATCH($C23,SubMap!$A$2:$A$12,0),0)=3)*Attempts!$AR23:$BU23),0))</f>
        <v/>
      </c>
      <c r="N23">
        <f>IF($A23="","",IFERROR(COUNTIF(INDEX(SubMap!$B$2:$AE$12,MATCH($C23,SubMap!$A$2:$A$12,0),0),3),0))</f>
        <v/>
      </c>
      <c r="O23">
        <f>IF(OR($A23="",N23=0),"",ROUND(M23/N23*100,1))</f>
        <v/>
      </c>
      <c r="P23">
        <f>IF($A23="","",IFERROR(INDEX(Papers!$H$2:$H$12,MATCH($C23,Papers!$A$2:$A$12,0)),""))</f>
        <v/>
      </c>
      <c r="Q23">
        <f>IF($A23="","",IFERROR(SUMPRODUCT((INDEX(SubMap!$B$2:$AE$12,MATCH($C23,SubMap!$A$2:$A$12,0),0)=4)*Attempts!$AR23:$BU23),0))</f>
        <v/>
      </c>
      <c r="R23">
        <f>IF($A23="","",IFERROR(COUNTIF(INDEX(SubMap!$B$2:$AE$12,MATCH($C23,SubMap!$A$2:$A$12,0),0),4),0))</f>
        <v/>
      </c>
      <c r="S23">
        <f>IF(OR($A23="",R23=0),"",ROUND(Q23/R23*100,1))</f>
        <v/>
      </c>
      <c r="T23">
        <f>IF($A23="","",IFERROR(INDEX(Papers!$I$2:$I$12,MATCH($C23,Papers!$A$2:$A$12,0)),""))</f>
        <v/>
      </c>
      <c r="U23">
        <f>IF($A23="","",IFERROR(SUMPRODUCT((INDEX(SubMap!$B$2:$AE$12,MATCH($C23,SubMap!$A$2:$A$12,0),0)=5)*Attempts!$AR23:$BU23),0))</f>
        <v/>
      </c>
      <c r="V23">
        <f>IF($A23="","",IFERROR(COUNTIF(INDEX(SubMap!$B$2:$AE$12,MATCH($C23,SubMap!$A$2:$A$12,0),0),5),0))</f>
        <v/>
      </c>
      <c r="W23">
        <f>IF(OR($A23="",V23=0),"",ROUND(U23/V23*100,1))</f>
        <v/>
      </c>
      <c r="X23">
        <f>IF($A23="","",IFERROR(INDEX(Papers!$J$2:$J$12,MATCH($C23,Papers!$A$2:$A$12,0)),""))</f>
        <v/>
      </c>
      <c r="Y23">
        <f>IF($A23="","",IFERROR(SUMPRODUCT((INDEX(SubMap!$B$2:$AE$12,MATCH($C23,SubMap!$A$2:$A$12,0),0)=6)*Attempts!$AR23:$BU23),0))</f>
        <v/>
      </c>
      <c r="Z23">
        <f>IF($A23="","",IFERROR(COUNTIF(INDEX(SubMap!$B$2:$AE$12,MATCH($C23,SubMap!$A$2:$A$12,0),0),6),0))</f>
        <v/>
      </c>
      <c r="AA23">
        <f>IF(OR($A23="",Z23=0),"",ROUND(Y23/Z23*100,1))</f>
        <v/>
      </c>
      <c r="AB23">
        <f>IF($A23="","",IFERROR(INDEX(CHOOSE({1,2,3,4,5,6},D23,H23,L23,P23,T23,X23),MATCH(MIN(G23,K23,O23,S23,W23,AA23),CHOOSE({1,2,3,4,5,6},G23,K23,O23,S23,W23,AA23),0)),""))</f>
        <v/>
      </c>
      <c r="AC23">
        <f>IF($A23="","",IF(COUNT(G23,K23,O23,S23,W23,AA23)=0,"",MIN(G23,K23,O23,S23,W23,AA23)))</f>
        <v/>
      </c>
      <c r="AD23">
        <f>IF($A23="","",IFERROR(INDEX(CHOOSE({1,2,3,4,5,6},IFERROR(INDEX(Papers!$K$2:$K$12,MATCH($C23,Papers!$A$2:$A$12,0)),""),IFERROR(INDEX(Papers!$L$2:$L$12,MATCH($C23,Papers!$A$2:$A$12,0)),""),IFERROR(INDEX(Papers!$M$2:$M$12,MATCH($C23,Papers!$A$2:$A$12,0)),""),IFERROR(INDEX(Papers!$N$2:$N$12,MATCH($C23,Papers!$A$2:$A$12,0)),""),IFERROR(INDEX(Papers!$O$2:$O$12,MATCH($C23,Papers!$A$2:$A$12,0)),""),IFERROR(INDEX(Papers!$P$2:$P$12,MATCH($C23,Papers!$A$2:$A$12,0)),"")),MATCH(MIN(G23,K23,O23,S23,W23,AA23),CHOOSE({1,2,3,4,5,6},G23,K23,O23,S23,W23,AA23),0)),""))</f>
        <v/>
      </c>
      <c r="AE23">
        <f>IF(AC23="","",IF(AC23&lt;50,"Re-teach",IF(AC23&lt;75,"Practice more","Relatively secure")))</f>
        <v/>
      </c>
    </row>
    <row r="24">
      <c r="A24">
        <f>IF(Attempts!A24="","",Attempts!A24)</f>
        <v/>
      </c>
      <c r="B24">
        <f>IF(Attempts!A24="","",Attempts!B24)</f>
        <v/>
      </c>
      <c r="C24">
        <f>IF(Attempts!A24="","",Attempts!D24)</f>
        <v/>
      </c>
      <c r="D24">
        <f>IF($A24="","",IFERROR(INDEX(Papers!$E$2:$E$12,MATCH($C24,Papers!$A$2:$A$12,0)),""))</f>
        <v/>
      </c>
      <c r="E24">
        <f>IF($A24="","",IFERROR(SUMPRODUCT((INDEX(SubMap!$B$2:$AE$12,MATCH($C24,SubMap!$A$2:$A$12,0),0)=1)*Attempts!$AR24:$BU24),0))</f>
        <v/>
      </c>
      <c r="F24">
        <f>IF($A24="","",IFERROR(COUNTIF(INDEX(SubMap!$B$2:$AE$12,MATCH($C24,SubMap!$A$2:$A$12,0),0),1),0))</f>
        <v/>
      </c>
      <c r="G24">
        <f>IF(OR($A24="",F24=0),"",ROUND(E24/F24*100,1))</f>
        <v/>
      </c>
      <c r="H24">
        <f>IF($A24="","",IFERROR(INDEX(Papers!$F$2:$F$12,MATCH($C24,Papers!$A$2:$A$12,0)),""))</f>
        <v/>
      </c>
      <c r="I24">
        <f>IF($A24="","",IFERROR(SUMPRODUCT((INDEX(SubMap!$B$2:$AE$12,MATCH($C24,SubMap!$A$2:$A$12,0),0)=2)*Attempts!$AR24:$BU24),0))</f>
        <v/>
      </c>
      <c r="J24">
        <f>IF($A24="","",IFERROR(COUNTIF(INDEX(SubMap!$B$2:$AE$12,MATCH($C24,SubMap!$A$2:$A$12,0),0),2),0))</f>
        <v/>
      </c>
      <c r="K24">
        <f>IF(OR($A24="",J24=0),"",ROUND(I24/J24*100,1))</f>
        <v/>
      </c>
      <c r="L24">
        <f>IF($A24="","",IFERROR(INDEX(Papers!$G$2:$G$12,MATCH($C24,Papers!$A$2:$A$12,0)),""))</f>
        <v/>
      </c>
      <c r="M24">
        <f>IF($A24="","",IFERROR(SUMPRODUCT((INDEX(SubMap!$B$2:$AE$12,MATCH($C24,SubMap!$A$2:$A$12,0),0)=3)*Attempts!$AR24:$BU24),0))</f>
        <v/>
      </c>
      <c r="N24">
        <f>IF($A24="","",IFERROR(COUNTIF(INDEX(SubMap!$B$2:$AE$12,MATCH($C24,SubMap!$A$2:$A$12,0),0),3),0))</f>
        <v/>
      </c>
      <c r="O24">
        <f>IF(OR($A24="",N24=0),"",ROUND(M24/N24*100,1))</f>
        <v/>
      </c>
      <c r="P24">
        <f>IF($A24="","",IFERROR(INDEX(Papers!$H$2:$H$12,MATCH($C24,Papers!$A$2:$A$12,0)),""))</f>
        <v/>
      </c>
      <c r="Q24">
        <f>IF($A24="","",IFERROR(SUMPRODUCT((INDEX(SubMap!$B$2:$AE$12,MATCH($C24,SubMap!$A$2:$A$12,0),0)=4)*Attempts!$AR24:$BU24),0))</f>
        <v/>
      </c>
      <c r="R24">
        <f>IF($A24="","",IFERROR(COUNTIF(INDEX(SubMap!$B$2:$AE$12,MATCH($C24,SubMap!$A$2:$A$12,0),0),4),0))</f>
        <v/>
      </c>
      <c r="S24">
        <f>IF(OR($A24="",R24=0),"",ROUND(Q24/R24*100,1))</f>
        <v/>
      </c>
      <c r="T24">
        <f>IF($A24="","",IFERROR(INDEX(Papers!$I$2:$I$12,MATCH($C24,Papers!$A$2:$A$12,0)),""))</f>
        <v/>
      </c>
      <c r="U24">
        <f>IF($A24="","",IFERROR(SUMPRODUCT((INDEX(SubMap!$B$2:$AE$12,MATCH($C24,SubMap!$A$2:$A$12,0),0)=5)*Attempts!$AR24:$BU24),0))</f>
        <v/>
      </c>
      <c r="V24">
        <f>IF($A24="","",IFERROR(COUNTIF(INDEX(SubMap!$B$2:$AE$12,MATCH($C24,SubMap!$A$2:$A$12,0),0),5),0))</f>
        <v/>
      </c>
      <c r="W24">
        <f>IF(OR($A24="",V24=0),"",ROUND(U24/V24*100,1))</f>
        <v/>
      </c>
      <c r="X24">
        <f>IF($A24="","",IFERROR(INDEX(Papers!$J$2:$J$12,MATCH($C24,Papers!$A$2:$A$12,0)),""))</f>
        <v/>
      </c>
      <c r="Y24">
        <f>IF($A24="","",IFERROR(SUMPRODUCT((INDEX(SubMap!$B$2:$AE$12,MATCH($C24,SubMap!$A$2:$A$12,0),0)=6)*Attempts!$AR24:$BU24),0))</f>
        <v/>
      </c>
      <c r="Z24">
        <f>IF($A24="","",IFERROR(COUNTIF(INDEX(SubMap!$B$2:$AE$12,MATCH($C24,SubMap!$A$2:$A$12,0),0),6),0))</f>
        <v/>
      </c>
      <c r="AA24">
        <f>IF(OR($A24="",Z24=0),"",ROUND(Y24/Z24*100,1))</f>
        <v/>
      </c>
      <c r="AB24">
        <f>IF($A24="","",IFERROR(INDEX(CHOOSE({1,2,3,4,5,6},D24,H24,L24,P24,T24,X24),MATCH(MIN(G24,K24,O24,S24,W24,AA24),CHOOSE({1,2,3,4,5,6},G24,K24,O24,S24,W24,AA24),0)),""))</f>
        <v/>
      </c>
      <c r="AC24">
        <f>IF($A24="","",IF(COUNT(G24,K24,O24,S24,W24,AA24)=0,"",MIN(G24,K24,O24,S24,W24,AA24)))</f>
        <v/>
      </c>
      <c r="AD24">
        <f>IF($A24="","",IFERROR(INDEX(CHOOSE({1,2,3,4,5,6},IFERROR(INDEX(Papers!$K$2:$K$12,MATCH($C24,Papers!$A$2:$A$12,0)),""),IFERROR(INDEX(Papers!$L$2:$L$12,MATCH($C24,Papers!$A$2:$A$12,0)),""),IFERROR(INDEX(Papers!$M$2:$M$12,MATCH($C24,Papers!$A$2:$A$12,0)),""),IFERROR(INDEX(Papers!$N$2:$N$12,MATCH($C24,Papers!$A$2:$A$12,0)),""),IFERROR(INDEX(Papers!$O$2:$O$12,MATCH($C24,Papers!$A$2:$A$12,0)),""),IFERROR(INDEX(Papers!$P$2:$P$12,MATCH($C24,Papers!$A$2:$A$12,0)),"")),MATCH(MIN(G24,K24,O24,S24,W24,AA24),CHOOSE({1,2,3,4,5,6},G24,K24,O24,S24,W24,AA24),0)),""))</f>
        <v/>
      </c>
      <c r="AE24">
        <f>IF(AC24="","",IF(AC24&lt;50,"Re-teach",IF(AC24&lt;75,"Practice more","Relatively secure")))</f>
        <v/>
      </c>
    </row>
    <row r="25">
      <c r="A25">
        <f>IF(Attempts!A25="","",Attempts!A25)</f>
        <v/>
      </c>
      <c r="B25">
        <f>IF(Attempts!A25="","",Attempts!B25)</f>
        <v/>
      </c>
      <c r="C25">
        <f>IF(Attempts!A25="","",Attempts!D25)</f>
        <v/>
      </c>
      <c r="D25">
        <f>IF($A25="","",IFERROR(INDEX(Papers!$E$2:$E$12,MATCH($C25,Papers!$A$2:$A$12,0)),""))</f>
        <v/>
      </c>
      <c r="E25">
        <f>IF($A25="","",IFERROR(SUMPRODUCT((INDEX(SubMap!$B$2:$AE$12,MATCH($C25,SubMap!$A$2:$A$12,0),0)=1)*Attempts!$AR25:$BU25),0))</f>
        <v/>
      </c>
      <c r="F25">
        <f>IF($A25="","",IFERROR(COUNTIF(INDEX(SubMap!$B$2:$AE$12,MATCH($C25,SubMap!$A$2:$A$12,0),0),1),0))</f>
        <v/>
      </c>
      <c r="G25">
        <f>IF(OR($A25="",F25=0),"",ROUND(E25/F25*100,1))</f>
        <v/>
      </c>
      <c r="H25">
        <f>IF($A25="","",IFERROR(INDEX(Papers!$F$2:$F$12,MATCH($C25,Papers!$A$2:$A$12,0)),""))</f>
        <v/>
      </c>
      <c r="I25">
        <f>IF($A25="","",IFERROR(SUMPRODUCT((INDEX(SubMap!$B$2:$AE$12,MATCH($C25,SubMap!$A$2:$A$12,0),0)=2)*Attempts!$AR25:$BU25),0))</f>
        <v/>
      </c>
      <c r="J25">
        <f>IF($A25="","",IFERROR(COUNTIF(INDEX(SubMap!$B$2:$AE$12,MATCH($C25,SubMap!$A$2:$A$12,0),0),2),0))</f>
        <v/>
      </c>
      <c r="K25">
        <f>IF(OR($A25="",J25=0),"",ROUND(I25/J25*100,1))</f>
        <v/>
      </c>
      <c r="L25">
        <f>IF($A25="","",IFERROR(INDEX(Papers!$G$2:$G$12,MATCH($C25,Papers!$A$2:$A$12,0)),""))</f>
        <v/>
      </c>
      <c r="M25">
        <f>IF($A25="","",IFERROR(SUMPRODUCT((INDEX(SubMap!$B$2:$AE$12,MATCH($C25,SubMap!$A$2:$A$12,0),0)=3)*Attempts!$AR25:$BU25),0))</f>
        <v/>
      </c>
      <c r="N25">
        <f>IF($A25="","",IFERROR(COUNTIF(INDEX(SubMap!$B$2:$AE$12,MATCH($C25,SubMap!$A$2:$A$12,0),0),3),0))</f>
        <v/>
      </c>
      <c r="O25">
        <f>IF(OR($A25="",N25=0),"",ROUND(M25/N25*100,1))</f>
        <v/>
      </c>
      <c r="P25">
        <f>IF($A25="","",IFERROR(INDEX(Papers!$H$2:$H$12,MATCH($C25,Papers!$A$2:$A$12,0)),""))</f>
        <v/>
      </c>
      <c r="Q25">
        <f>IF($A25="","",IFERROR(SUMPRODUCT((INDEX(SubMap!$B$2:$AE$12,MATCH($C25,SubMap!$A$2:$A$12,0),0)=4)*Attempts!$AR25:$BU25),0))</f>
        <v/>
      </c>
      <c r="R25">
        <f>IF($A25="","",IFERROR(COUNTIF(INDEX(SubMap!$B$2:$AE$12,MATCH($C25,SubMap!$A$2:$A$12,0),0),4),0))</f>
        <v/>
      </c>
      <c r="S25">
        <f>IF(OR($A25="",R25=0),"",ROUND(Q25/R25*100,1))</f>
        <v/>
      </c>
      <c r="T25">
        <f>IF($A25="","",IFERROR(INDEX(Papers!$I$2:$I$12,MATCH($C25,Papers!$A$2:$A$12,0)),""))</f>
        <v/>
      </c>
      <c r="U25">
        <f>IF($A25="","",IFERROR(SUMPRODUCT((INDEX(SubMap!$B$2:$AE$12,MATCH($C25,SubMap!$A$2:$A$12,0),0)=5)*Attempts!$AR25:$BU25),0))</f>
        <v/>
      </c>
      <c r="V25">
        <f>IF($A25="","",IFERROR(COUNTIF(INDEX(SubMap!$B$2:$AE$12,MATCH($C25,SubMap!$A$2:$A$12,0),0),5),0))</f>
        <v/>
      </c>
      <c r="W25">
        <f>IF(OR($A25="",V25=0),"",ROUND(U25/V25*100,1))</f>
        <v/>
      </c>
      <c r="X25">
        <f>IF($A25="","",IFERROR(INDEX(Papers!$J$2:$J$12,MATCH($C25,Papers!$A$2:$A$12,0)),""))</f>
        <v/>
      </c>
      <c r="Y25">
        <f>IF($A25="","",IFERROR(SUMPRODUCT((INDEX(SubMap!$B$2:$AE$12,MATCH($C25,SubMap!$A$2:$A$12,0),0)=6)*Attempts!$AR25:$BU25),0))</f>
        <v/>
      </c>
      <c r="Z25">
        <f>IF($A25="","",IFERROR(COUNTIF(INDEX(SubMap!$B$2:$AE$12,MATCH($C25,SubMap!$A$2:$A$12,0),0),6),0))</f>
        <v/>
      </c>
      <c r="AA25">
        <f>IF(OR($A25="",Z25=0),"",ROUND(Y25/Z25*100,1))</f>
        <v/>
      </c>
      <c r="AB25">
        <f>IF($A25="","",IFERROR(INDEX(CHOOSE({1,2,3,4,5,6},D25,H25,L25,P25,T25,X25),MATCH(MIN(G25,K25,O25,S25,W25,AA25),CHOOSE({1,2,3,4,5,6},G25,K25,O25,S25,W25,AA25),0)),""))</f>
        <v/>
      </c>
      <c r="AC25">
        <f>IF($A25="","",IF(COUNT(G25,K25,O25,S25,W25,AA25)=0,"",MIN(G25,K25,O25,S25,W25,AA25)))</f>
        <v/>
      </c>
      <c r="AD25">
        <f>IF($A25="","",IFERROR(INDEX(CHOOSE({1,2,3,4,5,6},IFERROR(INDEX(Papers!$K$2:$K$12,MATCH($C25,Papers!$A$2:$A$12,0)),""),IFERROR(INDEX(Papers!$L$2:$L$12,MATCH($C25,Papers!$A$2:$A$12,0)),""),IFERROR(INDEX(Papers!$M$2:$M$12,MATCH($C25,Papers!$A$2:$A$12,0)),""),IFERROR(INDEX(Papers!$N$2:$N$12,MATCH($C25,Papers!$A$2:$A$12,0)),""),IFERROR(INDEX(Papers!$O$2:$O$12,MATCH($C25,Papers!$A$2:$A$12,0)),""),IFERROR(INDEX(Papers!$P$2:$P$12,MATCH($C25,Papers!$A$2:$A$12,0)),"")),MATCH(MIN(G25,K25,O25,S25,W25,AA25),CHOOSE({1,2,3,4,5,6},G25,K25,O25,S25,W25,AA25),0)),""))</f>
        <v/>
      </c>
      <c r="AE25">
        <f>IF(AC25="","",IF(AC25&lt;50,"Re-teach",IF(AC25&lt;75,"Practice more","Relatively secure")))</f>
        <v/>
      </c>
    </row>
    <row r="26">
      <c r="A26">
        <f>IF(Attempts!A26="","",Attempts!A26)</f>
        <v/>
      </c>
      <c r="B26">
        <f>IF(Attempts!A26="","",Attempts!B26)</f>
        <v/>
      </c>
      <c r="C26">
        <f>IF(Attempts!A26="","",Attempts!D26)</f>
        <v/>
      </c>
      <c r="D26">
        <f>IF($A26="","",IFERROR(INDEX(Papers!$E$2:$E$12,MATCH($C26,Papers!$A$2:$A$12,0)),""))</f>
        <v/>
      </c>
      <c r="E26">
        <f>IF($A26="","",IFERROR(SUMPRODUCT((INDEX(SubMap!$B$2:$AE$12,MATCH($C26,SubMap!$A$2:$A$12,0),0)=1)*Attempts!$AR26:$BU26),0))</f>
        <v/>
      </c>
      <c r="F26">
        <f>IF($A26="","",IFERROR(COUNTIF(INDEX(SubMap!$B$2:$AE$12,MATCH($C26,SubMap!$A$2:$A$12,0),0),1),0))</f>
        <v/>
      </c>
      <c r="G26">
        <f>IF(OR($A26="",F26=0),"",ROUND(E26/F26*100,1))</f>
        <v/>
      </c>
      <c r="H26">
        <f>IF($A26="","",IFERROR(INDEX(Papers!$F$2:$F$12,MATCH($C26,Papers!$A$2:$A$12,0)),""))</f>
        <v/>
      </c>
      <c r="I26">
        <f>IF($A26="","",IFERROR(SUMPRODUCT((INDEX(SubMap!$B$2:$AE$12,MATCH($C26,SubMap!$A$2:$A$12,0),0)=2)*Attempts!$AR26:$BU26),0))</f>
        <v/>
      </c>
      <c r="J26">
        <f>IF($A26="","",IFERROR(COUNTIF(INDEX(SubMap!$B$2:$AE$12,MATCH($C26,SubMap!$A$2:$A$12,0),0),2),0))</f>
        <v/>
      </c>
      <c r="K26">
        <f>IF(OR($A26="",J26=0),"",ROUND(I26/J26*100,1))</f>
        <v/>
      </c>
      <c r="L26">
        <f>IF($A26="","",IFERROR(INDEX(Papers!$G$2:$G$12,MATCH($C26,Papers!$A$2:$A$12,0)),""))</f>
        <v/>
      </c>
      <c r="M26">
        <f>IF($A26="","",IFERROR(SUMPRODUCT((INDEX(SubMap!$B$2:$AE$12,MATCH($C26,SubMap!$A$2:$A$12,0),0)=3)*Attempts!$AR26:$BU26),0))</f>
        <v/>
      </c>
      <c r="N26">
        <f>IF($A26="","",IFERROR(COUNTIF(INDEX(SubMap!$B$2:$AE$12,MATCH($C26,SubMap!$A$2:$A$12,0),0),3),0))</f>
        <v/>
      </c>
      <c r="O26">
        <f>IF(OR($A26="",N26=0),"",ROUND(M26/N26*100,1))</f>
        <v/>
      </c>
      <c r="P26">
        <f>IF($A26="","",IFERROR(INDEX(Papers!$H$2:$H$12,MATCH($C26,Papers!$A$2:$A$12,0)),""))</f>
        <v/>
      </c>
      <c r="Q26">
        <f>IF($A26="","",IFERROR(SUMPRODUCT((INDEX(SubMap!$B$2:$AE$12,MATCH($C26,SubMap!$A$2:$A$12,0),0)=4)*Attempts!$AR26:$BU26),0))</f>
        <v/>
      </c>
      <c r="R26">
        <f>IF($A26="","",IFERROR(COUNTIF(INDEX(SubMap!$B$2:$AE$12,MATCH($C26,SubMap!$A$2:$A$12,0),0),4),0))</f>
        <v/>
      </c>
      <c r="S26">
        <f>IF(OR($A26="",R26=0),"",ROUND(Q26/R26*100,1))</f>
        <v/>
      </c>
      <c r="T26">
        <f>IF($A26="","",IFERROR(INDEX(Papers!$I$2:$I$12,MATCH($C26,Papers!$A$2:$A$12,0)),""))</f>
        <v/>
      </c>
      <c r="U26">
        <f>IF($A26="","",IFERROR(SUMPRODUCT((INDEX(SubMap!$B$2:$AE$12,MATCH($C26,SubMap!$A$2:$A$12,0),0)=5)*Attempts!$AR26:$BU26),0))</f>
        <v/>
      </c>
      <c r="V26">
        <f>IF($A26="","",IFERROR(COUNTIF(INDEX(SubMap!$B$2:$AE$12,MATCH($C26,SubMap!$A$2:$A$12,0),0),5),0))</f>
        <v/>
      </c>
      <c r="W26">
        <f>IF(OR($A26="",V26=0),"",ROUND(U26/V26*100,1))</f>
        <v/>
      </c>
      <c r="X26">
        <f>IF($A26="","",IFERROR(INDEX(Papers!$J$2:$J$12,MATCH($C26,Papers!$A$2:$A$12,0)),""))</f>
        <v/>
      </c>
      <c r="Y26">
        <f>IF($A26="","",IFERROR(SUMPRODUCT((INDEX(SubMap!$B$2:$AE$12,MATCH($C26,SubMap!$A$2:$A$12,0),0)=6)*Attempts!$AR26:$BU26),0))</f>
        <v/>
      </c>
      <c r="Z26">
        <f>IF($A26="","",IFERROR(COUNTIF(INDEX(SubMap!$B$2:$AE$12,MATCH($C26,SubMap!$A$2:$A$12,0),0),6),0))</f>
        <v/>
      </c>
      <c r="AA26">
        <f>IF(OR($A26="",Z26=0),"",ROUND(Y26/Z26*100,1))</f>
        <v/>
      </c>
      <c r="AB26">
        <f>IF($A26="","",IFERROR(INDEX(CHOOSE({1,2,3,4,5,6},D26,H26,L26,P26,T26,X26),MATCH(MIN(G26,K26,O26,S26,W26,AA26),CHOOSE({1,2,3,4,5,6},G26,K26,O26,S26,W26,AA26),0)),""))</f>
        <v/>
      </c>
      <c r="AC26">
        <f>IF($A26="","",IF(COUNT(G26,K26,O26,S26,W26,AA26)=0,"",MIN(G26,K26,O26,S26,W26,AA26)))</f>
        <v/>
      </c>
      <c r="AD26">
        <f>IF($A26="","",IFERROR(INDEX(CHOOSE({1,2,3,4,5,6},IFERROR(INDEX(Papers!$K$2:$K$12,MATCH($C26,Papers!$A$2:$A$12,0)),""),IFERROR(INDEX(Papers!$L$2:$L$12,MATCH($C26,Papers!$A$2:$A$12,0)),""),IFERROR(INDEX(Papers!$M$2:$M$12,MATCH($C26,Papers!$A$2:$A$12,0)),""),IFERROR(INDEX(Papers!$N$2:$N$12,MATCH($C26,Papers!$A$2:$A$12,0)),""),IFERROR(INDEX(Papers!$O$2:$O$12,MATCH($C26,Papers!$A$2:$A$12,0)),""),IFERROR(INDEX(Papers!$P$2:$P$12,MATCH($C26,Papers!$A$2:$A$12,0)),"")),MATCH(MIN(G26,K26,O26,S26,W26,AA26),CHOOSE({1,2,3,4,5,6},G26,K26,O26,S26,W26,AA26),0)),""))</f>
        <v/>
      </c>
      <c r="AE26">
        <f>IF(AC26="","",IF(AC26&lt;50,"Re-teach",IF(AC26&lt;75,"Practice more","Relatively secure")))</f>
        <v/>
      </c>
    </row>
    <row r="27">
      <c r="A27">
        <f>IF(Attempts!A27="","",Attempts!A27)</f>
        <v/>
      </c>
      <c r="B27">
        <f>IF(Attempts!A27="","",Attempts!B27)</f>
        <v/>
      </c>
      <c r="C27">
        <f>IF(Attempts!A27="","",Attempts!D27)</f>
        <v/>
      </c>
      <c r="D27">
        <f>IF($A27="","",IFERROR(INDEX(Papers!$E$2:$E$12,MATCH($C27,Papers!$A$2:$A$12,0)),""))</f>
        <v/>
      </c>
      <c r="E27">
        <f>IF($A27="","",IFERROR(SUMPRODUCT((INDEX(SubMap!$B$2:$AE$12,MATCH($C27,SubMap!$A$2:$A$12,0),0)=1)*Attempts!$AR27:$BU27),0))</f>
        <v/>
      </c>
      <c r="F27">
        <f>IF($A27="","",IFERROR(COUNTIF(INDEX(SubMap!$B$2:$AE$12,MATCH($C27,SubMap!$A$2:$A$12,0),0),1),0))</f>
        <v/>
      </c>
      <c r="G27">
        <f>IF(OR($A27="",F27=0),"",ROUND(E27/F27*100,1))</f>
        <v/>
      </c>
      <c r="H27">
        <f>IF($A27="","",IFERROR(INDEX(Papers!$F$2:$F$12,MATCH($C27,Papers!$A$2:$A$12,0)),""))</f>
        <v/>
      </c>
      <c r="I27">
        <f>IF($A27="","",IFERROR(SUMPRODUCT((INDEX(SubMap!$B$2:$AE$12,MATCH($C27,SubMap!$A$2:$A$12,0),0)=2)*Attempts!$AR27:$BU27),0))</f>
        <v/>
      </c>
      <c r="J27">
        <f>IF($A27="","",IFERROR(COUNTIF(INDEX(SubMap!$B$2:$AE$12,MATCH($C27,SubMap!$A$2:$A$12,0),0),2),0))</f>
        <v/>
      </c>
      <c r="K27">
        <f>IF(OR($A27="",J27=0),"",ROUND(I27/J27*100,1))</f>
        <v/>
      </c>
      <c r="L27">
        <f>IF($A27="","",IFERROR(INDEX(Papers!$G$2:$G$12,MATCH($C27,Papers!$A$2:$A$12,0)),""))</f>
        <v/>
      </c>
      <c r="M27">
        <f>IF($A27="","",IFERROR(SUMPRODUCT((INDEX(SubMap!$B$2:$AE$12,MATCH($C27,SubMap!$A$2:$A$12,0),0)=3)*Attempts!$AR27:$BU27),0))</f>
        <v/>
      </c>
      <c r="N27">
        <f>IF($A27="","",IFERROR(COUNTIF(INDEX(SubMap!$B$2:$AE$12,MATCH($C27,SubMap!$A$2:$A$12,0),0),3),0))</f>
        <v/>
      </c>
      <c r="O27">
        <f>IF(OR($A27="",N27=0),"",ROUND(M27/N27*100,1))</f>
        <v/>
      </c>
      <c r="P27">
        <f>IF($A27="","",IFERROR(INDEX(Papers!$H$2:$H$12,MATCH($C27,Papers!$A$2:$A$12,0)),""))</f>
        <v/>
      </c>
      <c r="Q27">
        <f>IF($A27="","",IFERROR(SUMPRODUCT((INDEX(SubMap!$B$2:$AE$12,MATCH($C27,SubMap!$A$2:$A$12,0),0)=4)*Attempts!$AR27:$BU27),0))</f>
        <v/>
      </c>
      <c r="R27">
        <f>IF($A27="","",IFERROR(COUNTIF(INDEX(SubMap!$B$2:$AE$12,MATCH($C27,SubMap!$A$2:$A$12,0),0),4),0))</f>
        <v/>
      </c>
      <c r="S27">
        <f>IF(OR($A27="",R27=0),"",ROUND(Q27/R27*100,1))</f>
        <v/>
      </c>
      <c r="T27">
        <f>IF($A27="","",IFERROR(INDEX(Papers!$I$2:$I$12,MATCH($C27,Papers!$A$2:$A$12,0)),""))</f>
        <v/>
      </c>
      <c r="U27">
        <f>IF($A27="","",IFERROR(SUMPRODUCT((INDEX(SubMap!$B$2:$AE$12,MATCH($C27,SubMap!$A$2:$A$12,0),0)=5)*Attempts!$AR27:$BU27),0))</f>
        <v/>
      </c>
      <c r="V27">
        <f>IF($A27="","",IFERROR(COUNTIF(INDEX(SubMap!$B$2:$AE$12,MATCH($C27,SubMap!$A$2:$A$12,0),0),5),0))</f>
        <v/>
      </c>
      <c r="W27">
        <f>IF(OR($A27="",V27=0),"",ROUND(U27/V27*100,1))</f>
        <v/>
      </c>
      <c r="X27">
        <f>IF($A27="","",IFERROR(INDEX(Papers!$J$2:$J$12,MATCH($C27,Papers!$A$2:$A$12,0)),""))</f>
        <v/>
      </c>
      <c r="Y27">
        <f>IF($A27="","",IFERROR(SUMPRODUCT((INDEX(SubMap!$B$2:$AE$12,MATCH($C27,SubMap!$A$2:$A$12,0),0)=6)*Attempts!$AR27:$BU27),0))</f>
        <v/>
      </c>
      <c r="Z27">
        <f>IF($A27="","",IFERROR(COUNTIF(INDEX(SubMap!$B$2:$AE$12,MATCH($C27,SubMap!$A$2:$A$12,0),0),6),0))</f>
        <v/>
      </c>
      <c r="AA27">
        <f>IF(OR($A27="",Z27=0),"",ROUND(Y27/Z27*100,1))</f>
        <v/>
      </c>
      <c r="AB27">
        <f>IF($A27="","",IFERROR(INDEX(CHOOSE({1,2,3,4,5,6},D27,H27,L27,P27,T27,X27),MATCH(MIN(G27,K27,O27,S27,W27,AA27),CHOOSE({1,2,3,4,5,6},G27,K27,O27,S27,W27,AA27),0)),""))</f>
        <v/>
      </c>
      <c r="AC27">
        <f>IF($A27="","",IF(COUNT(G27,K27,O27,S27,W27,AA27)=0,"",MIN(G27,K27,O27,S27,W27,AA27)))</f>
        <v/>
      </c>
      <c r="AD27">
        <f>IF($A27="","",IFERROR(INDEX(CHOOSE({1,2,3,4,5,6},IFERROR(INDEX(Papers!$K$2:$K$12,MATCH($C27,Papers!$A$2:$A$12,0)),""),IFERROR(INDEX(Papers!$L$2:$L$12,MATCH($C27,Papers!$A$2:$A$12,0)),""),IFERROR(INDEX(Papers!$M$2:$M$12,MATCH($C27,Papers!$A$2:$A$12,0)),""),IFERROR(INDEX(Papers!$N$2:$N$12,MATCH($C27,Papers!$A$2:$A$12,0)),""),IFERROR(INDEX(Papers!$O$2:$O$12,MATCH($C27,Papers!$A$2:$A$12,0)),""),IFERROR(INDEX(Papers!$P$2:$P$12,MATCH($C27,Papers!$A$2:$A$12,0)),"")),MATCH(MIN(G27,K27,O27,S27,W27,AA27),CHOOSE({1,2,3,4,5,6},G27,K27,O27,S27,W27,AA27),0)),""))</f>
        <v/>
      </c>
      <c r="AE27">
        <f>IF(AC27="","",IF(AC27&lt;50,"Re-teach",IF(AC27&lt;75,"Practice more","Relatively secure")))</f>
        <v/>
      </c>
    </row>
    <row r="28">
      <c r="A28">
        <f>IF(Attempts!A28="","",Attempts!A28)</f>
        <v/>
      </c>
      <c r="B28">
        <f>IF(Attempts!A28="","",Attempts!B28)</f>
        <v/>
      </c>
      <c r="C28">
        <f>IF(Attempts!A28="","",Attempts!D28)</f>
        <v/>
      </c>
      <c r="D28">
        <f>IF($A28="","",IFERROR(INDEX(Papers!$E$2:$E$12,MATCH($C28,Papers!$A$2:$A$12,0)),""))</f>
        <v/>
      </c>
      <c r="E28">
        <f>IF($A28="","",IFERROR(SUMPRODUCT((INDEX(SubMap!$B$2:$AE$12,MATCH($C28,SubMap!$A$2:$A$12,0),0)=1)*Attempts!$AR28:$BU28),0))</f>
        <v/>
      </c>
      <c r="F28">
        <f>IF($A28="","",IFERROR(COUNTIF(INDEX(SubMap!$B$2:$AE$12,MATCH($C28,SubMap!$A$2:$A$12,0),0),1),0))</f>
        <v/>
      </c>
      <c r="G28">
        <f>IF(OR($A28="",F28=0),"",ROUND(E28/F28*100,1))</f>
        <v/>
      </c>
      <c r="H28">
        <f>IF($A28="","",IFERROR(INDEX(Papers!$F$2:$F$12,MATCH($C28,Papers!$A$2:$A$12,0)),""))</f>
        <v/>
      </c>
      <c r="I28">
        <f>IF($A28="","",IFERROR(SUMPRODUCT((INDEX(SubMap!$B$2:$AE$12,MATCH($C28,SubMap!$A$2:$A$12,0),0)=2)*Attempts!$AR28:$BU28),0))</f>
        <v/>
      </c>
      <c r="J28">
        <f>IF($A28="","",IFERROR(COUNTIF(INDEX(SubMap!$B$2:$AE$12,MATCH($C28,SubMap!$A$2:$A$12,0),0),2),0))</f>
        <v/>
      </c>
      <c r="K28">
        <f>IF(OR($A28="",J28=0),"",ROUND(I28/J28*100,1))</f>
        <v/>
      </c>
      <c r="L28">
        <f>IF($A28="","",IFERROR(INDEX(Papers!$G$2:$G$12,MATCH($C28,Papers!$A$2:$A$12,0)),""))</f>
        <v/>
      </c>
      <c r="M28">
        <f>IF($A28="","",IFERROR(SUMPRODUCT((INDEX(SubMap!$B$2:$AE$12,MATCH($C28,SubMap!$A$2:$A$12,0),0)=3)*Attempts!$AR28:$BU28),0))</f>
        <v/>
      </c>
      <c r="N28">
        <f>IF($A28="","",IFERROR(COUNTIF(INDEX(SubMap!$B$2:$AE$12,MATCH($C28,SubMap!$A$2:$A$12,0),0),3),0))</f>
        <v/>
      </c>
      <c r="O28">
        <f>IF(OR($A28="",N28=0),"",ROUND(M28/N28*100,1))</f>
        <v/>
      </c>
      <c r="P28">
        <f>IF($A28="","",IFERROR(INDEX(Papers!$H$2:$H$12,MATCH($C28,Papers!$A$2:$A$12,0)),""))</f>
        <v/>
      </c>
      <c r="Q28">
        <f>IF($A28="","",IFERROR(SUMPRODUCT((INDEX(SubMap!$B$2:$AE$12,MATCH($C28,SubMap!$A$2:$A$12,0),0)=4)*Attempts!$AR28:$BU28),0))</f>
        <v/>
      </c>
      <c r="R28">
        <f>IF($A28="","",IFERROR(COUNTIF(INDEX(SubMap!$B$2:$AE$12,MATCH($C28,SubMap!$A$2:$A$12,0),0),4),0))</f>
        <v/>
      </c>
      <c r="S28">
        <f>IF(OR($A28="",R28=0),"",ROUND(Q28/R28*100,1))</f>
        <v/>
      </c>
      <c r="T28">
        <f>IF($A28="","",IFERROR(INDEX(Papers!$I$2:$I$12,MATCH($C28,Papers!$A$2:$A$12,0)),""))</f>
        <v/>
      </c>
      <c r="U28">
        <f>IF($A28="","",IFERROR(SUMPRODUCT((INDEX(SubMap!$B$2:$AE$12,MATCH($C28,SubMap!$A$2:$A$12,0),0)=5)*Attempts!$AR28:$BU28),0))</f>
        <v/>
      </c>
      <c r="V28">
        <f>IF($A28="","",IFERROR(COUNTIF(INDEX(SubMap!$B$2:$AE$12,MATCH($C28,SubMap!$A$2:$A$12,0),0),5),0))</f>
        <v/>
      </c>
      <c r="W28">
        <f>IF(OR($A28="",V28=0),"",ROUND(U28/V28*100,1))</f>
        <v/>
      </c>
      <c r="X28">
        <f>IF($A28="","",IFERROR(INDEX(Papers!$J$2:$J$12,MATCH($C28,Papers!$A$2:$A$12,0)),""))</f>
        <v/>
      </c>
      <c r="Y28">
        <f>IF($A28="","",IFERROR(SUMPRODUCT((INDEX(SubMap!$B$2:$AE$12,MATCH($C28,SubMap!$A$2:$A$12,0),0)=6)*Attempts!$AR28:$BU28),0))</f>
        <v/>
      </c>
      <c r="Z28">
        <f>IF($A28="","",IFERROR(COUNTIF(INDEX(SubMap!$B$2:$AE$12,MATCH($C28,SubMap!$A$2:$A$12,0),0),6),0))</f>
        <v/>
      </c>
      <c r="AA28">
        <f>IF(OR($A28="",Z28=0),"",ROUND(Y28/Z28*100,1))</f>
        <v/>
      </c>
      <c r="AB28">
        <f>IF($A28="","",IFERROR(INDEX(CHOOSE({1,2,3,4,5,6},D28,H28,L28,P28,T28,X28),MATCH(MIN(G28,K28,O28,S28,W28,AA28),CHOOSE({1,2,3,4,5,6},G28,K28,O28,S28,W28,AA28),0)),""))</f>
        <v/>
      </c>
      <c r="AC28">
        <f>IF($A28="","",IF(COUNT(G28,K28,O28,S28,W28,AA28)=0,"",MIN(G28,K28,O28,S28,W28,AA28)))</f>
        <v/>
      </c>
      <c r="AD28">
        <f>IF($A28="","",IFERROR(INDEX(CHOOSE({1,2,3,4,5,6},IFERROR(INDEX(Papers!$K$2:$K$12,MATCH($C28,Papers!$A$2:$A$12,0)),""),IFERROR(INDEX(Papers!$L$2:$L$12,MATCH($C28,Papers!$A$2:$A$12,0)),""),IFERROR(INDEX(Papers!$M$2:$M$12,MATCH($C28,Papers!$A$2:$A$12,0)),""),IFERROR(INDEX(Papers!$N$2:$N$12,MATCH($C28,Papers!$A$2:$A$12,0)),""),IFERROR(INDEX(Papers!$O$2:$O$12,MATCH($C28,Papers!$A$2:$A$12,0)),""),IFERROR(INDEX(Papers!$P$2:$P$12,MATCH($C28,Papers!$A$2:$A$12,0)),"")),MATCH(MIN(G28,K28,O28,S28,W28,AA28),CHOOSE({1,2,3,4,5,6},G28,K28,O28,S28,W28,AA28),0)),""))</f>
        <v/>
      </c>
      <c r="AE28">
        <f>IF(AC28="","",IF(AC28&lt;50,"Re-teach",IF(AC28&lt;75,"Practice more","Relatively secure")))</f>
        <v/>
      </c>
    </row>
    <row r="29">
      <c r="A29">
        <f>IF(Attempts!A29="","",Attempts!A29)</f>
        <v/>
      </c>
      <c r="B29">
        <f>IF(Attempts!A29="","",Attempts!B29)</f>
        <v/>
      </c>
      <c r="C29">
        <f>IF(Attempts!A29="","",Attempts!D29)</f>
        <v/>
      </c>
      <c r="D29">
        <f>IF($A29="","",IFERROR(INDEX(Papers!$E$2:$E$12,MATCH($C29,Papers!$A$2:$A$12,0)),""))</f>
        <v/>
      </c>
      <c r="E29">
        <f>IF($A29="","",IFERROR(SUMPRODUCT((INDEX(SubMap!$B$2:$AE$12,MATCH($C29,SubMap!$A$2:$A$12,0),0)=1)*Attempts!$AR29:$BU29),0))</f>
        <v/>
      </c>
      <c r="F29">
        <f>IF($A29="","",IFERROR(COUNTIF(INDEX(SubMap!$B$2:$AE$12,MATCH($C29,SubMap!$A$2:$A$12,0),0),1),0))</f>
        <v/>
      </c>
      <c r="G29">
        <f>IF(OR($A29="",F29=0),"",ROUND(E29/F29*100,1))</f>
        <v/>
      </c>
      <c r="H29">
        <f>IF($A29="","",IFERROR(INDEX(Papers!$F$2:$F$12,MATCH($C29,Papers!$A$2:$A$12,0)),""))</f>
        <v/>
      </c>
      <c r="I29">
        <f>IF($A29="","",IFERROR(SUMPRODUCT((INDEX(SubMap!$B$2:$AE$12,MATCH($C29,SubMap!$A$2:$A$12,0),0)=2)*Attempts!$AR29:$BU29),0))</f>
        <v/>
      </c>
      <c r="J29">
        <f>IF($A29="","",IFERROR(COUNTIF(INDEX(SubMap!$B$2:$AE$12,MATCH($C29,SubMap!$A$2:$A$12,0),0),2),0))</f>
        <v/>
      </c>
      <c r="K29">
        <f>IF(OR($A29="",J29=0),"",ROUND(I29/J29*100,1))</f>
        <v/>
      </c>
      <c r="L29">
        <f>IF($A29="","",IFERROR(INDEX(Papers!$G$2:$G$12,MATCH($C29,Papers!$A$2:$A$12,0)),""))</f>
        <v/>
      </c>
      <c r="M29">
        <f>IF($A29="","",IFERROR(SUMPRODUCT((INDEX(SubMap!$B$2:$AE$12,MATCH($C29,SubMap!$A$2:$A$12,0),0)=3)*Attempts!$AR29:$BU29),0))</f>
        <v/>
      </c>
      <c r="N29">
        <f>IF($A29="","",IFERROR(COUNTIF(INDEX(SubMap!$B$2:$AE$12,MATCH($C29,SubMap!$A$2:$A$12,0),0),3),0))</f>
        <v/>
      </c>
      <c r="O29">
        <f>IF(OR($A29="",N29=0),"",ROUND(M29/N29*100,1))</f>
        <v/>
      </c>
      <c r="P29">
        <f>IF($A29="","",IFERROR(INDEX(Papers!$H$2:$H$12,MATCH($C29,Papers!$A$2:$A$12,0)),""))</f>
        <v/>
      </c>
      <c r="Q29">
        <f>IF($A29="","",IFERROR(SUMPRODUCT((INDEX(SubMap!$B$2:$AE$12,MATCH($C29,SubMap!$A$2:$A$12,0),0)=4)*Attempts!$AR29:$BU29),0))</f>
        <v/>
      </c>
      <c r="R29">
        <f>IF($A29="","",IFERROR(COUNTIF(INDEX(SubMap!$B$2:$AE$12,MATCH($C29,SubMap!$A$2:$A$12,0),0),4),0))</f>
        <v/>
      </c>
      <c r="S29">
        <f>IF(OR($A29="",R29=0),"",ROUND(Q29/R29*100,1))</f>
        <v/>
      </c>
      <c r="T29">
        <f>IF($A29="","",IFERROR(INDEX(Papers!$I$2:$I$12,MATCH($C29,Papers!$A$2:$A$12,0)),""))</f>
        <v/>
      </c>
      <c r="U29">
        <f>IF($A29="","",IFERROR(SUMPRODUCT((INDEX(SubMap!$B$2:$AE$12,MATCH($C29,SubMap!$A$2:$A$12,0),0)=5)*Attempts!$AR29:$BU29),0))</f>
        <v/>
      </c>
      <c r="V29">
        <f>IF($A29="","",IFERROR(COUNTIF(INDEX(SubMap!$B$2:$AE$12,MATCH($C29,SubMap!$A$2:$A$12,0),0),5),0))</f>
        <v/>
      </c>
      <c r="W29">
        <f>IF(OR($A29="",V29=0),"",ROUND(U29/V29*100,1))</f>
        <v/>
      </c>
      <c r="X29">
        <f>IF($A29="","",IFERROR(INDEX(Papers!$J$2:$J$12,MATCH($C29,Papers!$A$2:$A$12,0)),""))</f>
        <v/>
      </c>
      <c r="Y29">
        <f>IF($A29="","",IFERROR(SUMPRODUCT((INDEX(SubMap!$B$2:$AE$12,MATCH($C29,SubMap!$A$2:$A$12,0),0)=6)*Attempts!$AR29:$BU29),0))</f>
        <v/>
      </c>
      <c r="Z29">
        <f>IF($A29="","",IFERROR(COUNTIF(INDEX(SubMap!$B$2:$AE$12,MATCH($C29,SubMap!$A$2:$A$12,0),0),6),0))</f>
        <v/>
      </c>
      <c r="AA29">
        <f>IF(OR($A29="",Z29=0),"",ROUND(Y29/Z29*100,1))</f>
        <v/>
      </c>
      <c r="AB29">
        <f>IF($A29="","",IFERROR(INDEX(CHOOSE({1,2,3,4,5,6},D29,H29,L29,P29,T29,X29),MATCH(MIN(G29,K29,O29,S29,W29,AA29),CHOOSE({1,2,3,4,5,6},G29,K29,O29,S29,W29,AA29),0)),""))</f>
        <v/>
      </c>
      <c r="AC29">
        <f>IF($A29="","",IF(COUNT(G29,K29,O29,S29,W29,AA29)=0,"",MIN(G29,K29,O29,S29,W29,AA29)))</f>
        <v/>
      </c>
      <c r="AD29">
        <f>IF($A29="","",IFERROR(INDEX(CHOOSE({1,2,3,4,5,6},IFERROR(INDEX(Papers!$K$2:$K$12,MATCH($C29,Papers!$A$2:$A$12,0)),""),IFERROR(INDEX(Papers!$L$2:$L$12,MATCH($C29,Papers!$A$2:$A$12,0)),""),IFERROR(INDEX(Papers!$M$2:$M$12,MATCH($C29,Papers!$A$2:$A$12,0)),""),IFERROR(INDEX(Papers!$N$2:$N$12,MATCH($C29,Papers!$A$2:$A$12,0)),""),IFERROR(INDEX(Papers!$O$2:$O$12,MATCH($C29,Papers!$A$2:$A$12,0)),""),IFERROR(INDEX(Papers!$P$2:$P$12,MATCH($C29,Papers!$A$2:$A$12,0)),"")),MATCH(MIN(G29,K29,O29,S29,W29,AA29),CHOOSE({1,2,3,4,5,6},G29,K29,O29,S29,W29,AA29),0)),""))</f>
        <v/>
      </c>
      <c r="AE29">
        <f>IF(AC29="","",IF(AC29&lt;50,"Re-teach",IF(AC29&lt;75,"Practice more","Relatively secure")))</f>
        <v/>
      </c>
    </row>
    <row r="30">
      <c r="A30">
        <f>IF(Attempts!A30="","",Attempts!A30)</f>
        <v/>
      </c>
      <c r="B30">
        <f>IF(Attempts!A30="","",Attempts!B30)</f>
        <v/>
      </c>
      <c r="C30">
        <f>IF(Attempts!A30="","",Attempts!D30)</f>
        <v/>
      </c>
      <c r="D30">
        <f>IF($A30="","",IFERROR(INDEX(Papers!$E$2:$E$12,MATCH($C30,Papers!$A$2:$A$12,0)),""))</f>
        <v/>
      </c>
      <c r="E30">
        <f>IF($A30="","",IFERROR(SUMPRODUCT((INDEX(SubMap!$B$2:$AE$12,MATCH($C30,SubMap!$A$2:$A$12,0),0)=1)*Attempts!$AR30:$BU30),0))</f>
        <v/>
      </c>
      <c r="F30">
        <f>IF($A30="","",IFERROR(COUNTIF(INDEX(SubMap!$B$2:$AE$12,MATCH($C30,SubMap!$A$2:$A$12,0),0),1),0))</f>
        <v/>
      </c>
      <c r="G30">
        <f>IF(OR($A30="",F30=0),"",ROUND(E30/F30*100,1))</f>
        <v/>
      </c>
      <c r="H30">
        <f>IF($A30="","",IFERROR(INDEX(Papers!$F$2:$F$12,MATCH($C30,Papers!$A$2:$A$12,0)),""))</f>
        <v/>
      </c>
      <c r="I30">
        <f>IF($A30="","",IFERROR(SUMPRODUCT((INDEX(SubMap!$B$2:$AE$12,MATCH($C30,SubMap!$A$2:$A$12,0),0)=2)*Attempts!$AR30:$BU30),0))</f>
        <v/>
      </c>
      <c r="J30">
        <f>IF($A30="","",IFERROR(COUNTIF(INDEX(SubMap!$B$2:$AE$12,MATCH($C30,SubMap!$A$2:$A$12,0),0),2),0))</f>
        <v/>
      </c>
      <c r="K30">
        <f>IF(OR($A30="",J30=0),"",ROUND(I30/J30*100,1))</f>
        <v/>
      </c>
      <c r="L30">
        <f>IF($A30="","",IFERROR(INDEX(Papers!$G$2:$G$12,MATCH($C30,Papers!$A$2:$A$12,0)),""))</f>
        <v/>
      </c>
      <c r="M30">
        <f>IF($A30="","",IFERROR(SUMPRODUCT((INDEX(SubMap!$B$2:$AE$12,MATCH($C30,SubMap!$A$2:$A$12,0),0)=3)*Attempts!$AR30:$BU30),0))</f>
        <v/>
      </c>
      <c r="N30">
        <f>IF($A30="","",IFERROR(COUNTIF(INDEX(SubMap!$B$2:$AE$12,MATCH($C30,SubMap!$A$2:$A$12,0),0),3),0))</f>
        <v/>
      </c>
      <c r="O30">
        <f>IF(OR($A30="",N30=0),"",ROUND(M30/N30*100,1))</f>
        <v/>
      </c>
      <c r="P30">
        <f>IF($A30="","",IFERROR(INDEX(Papers!$H$2:$H$12,MATCH($C30,Papers!$A$2:$A$12,0)),""))</f>
        <v/>
      </c>
      <c r="Q30">
        <f>IF($A30="","",IFERROR(SUMPRODUCT((INDEX(SubMap!$B$2:$AE$12,MATCH($C30,SubMap!$A$2:$A$12,0),0)=4)*Attempts!$AR30:$BU30),0))</f>
        <v/>
      </c>
      <c r="R30">
        <f>IF($A30="","",IFERROR(COUNTIF(INDEX(SubMap!$B$2:$AE$12,MATCH($C30,SubMap!$A$2:$A$12,0),0),4),0))</f>
        <v/>
      </c>
      <c r="S30">
        <f>IF(OR($A30="",R30=0),"",ROUND(Q30/R30*100,1))</f>
        <v/>
      </c>
      <c r="T30">
        <f>IF($A30="","",IFERROR(INDEX(Papers!$I$2:$I$12,MATCH($C30,Papers!$A$2:$A$12,0)),""))</f>
        <v/>
      </c>
      <c r="U30">
        <f>IF($A30="","",IFERROR(SUMPRODUCT((INDEX(SubMap!$B$2:$AE$12,MATCH($C30,SubMap!$A$2:$A$12,0),0)=5)*Attempts!$AR30:$BU30),0))</f>
        <v/>
      </c>
      <c r="V30">
        <f>IF($A30="","",IFERROR(COUNTIF(INDEX(SubMap!$B$2:$AE$12,MATCH($C30,SubMap!$A$2:$A$12,0),0),5),0))</f>
        <v/>
      </c>
      <c r="W30">
        <f>IF(OR($A30="",V30=0),"",ROUND(U30/V30*100,1))</f>
        <v/>
      </c>
      <c r="X30">
        <f>IF($A30="","",IFERROR(INDEX(Papers!$J$2:$J$12,MATCH($C30,Papers!$A$2:$A$12,0)),""))</f>
        <v/>
      </c>
      <c r="Y30">
        <f>IF($A30="","",IFERROR(SUMPRODUCT((INDEX(SubMap!$B$2:$AE$12,MATCH($C30,SubMap!$A$2:$A$12,0),0)=6)*Attempts!$AR30:$BU30),0))</f>
        <v/>
      </c>
      <c r="Z30">
        <f>IF($A30="","",IFERROR(COUNTIF(INDEX(SubMap!$B$2:$AE$12,MATCH($C30,SubMap!$A$2:$A$12,0),0),6),0))</f>
        <v/>
      </c>
      <c r="AA30">
        <f>IF(OR($A30="",Z30=0),"",ROUND(Y30/Z30*100,1))</f>
        <v/>
      </c>
      <c r="AB30">
        <f>IF($A30="","",IFERROR(INDEX(CHOOSE({1,2,3,4,5,6},D30,H30,L30,P30,T30,X30),MATCH(MIN(G30,K30,O30,S30,W30,AA30),CHOOSE({1,2,3,4,5,6},G30,K30,O30,S30,W30,AA30),0)),""))</f>
        <v/>
      </c>
      <c r="AC30">
        <f>IF($A30="","",IF(COUNT(G30,K30,O30,S30,W30,AA30)=0,"",MIN(G30,K30,O30,S30,W30,AA30)))</f>
        <v/>
      </c>
      <c r="AD30">
        <f>IF($A30="","",IFERROR(INDEX(CHOOSE({1,2,3,4,5,6},IFERROR(INDEX(Papers!$K$2:$K$12,MATCH($C30,Papers!$A$2:$A$12,0)),""),IFERROR(INDEX(Papers!$L$2:$L$12,MATCH($C30,Papers!$A$2:$A$12,0)),""),IFERROR(INDEX(Papers!$M$2:$M$12,MATCH($C30,Papers!$A$2:$A$12,0)),""),IFERROR(INDEX(Papers!$N$2:$N$12,MATCH($C30,Papers!$A$2:$A$12,0)),""),IFERROR(INDEX(Papers!$O$2:$O$12,MATCH($C30,Papers!$A$2:$A$12,0)),""),IFERROR(INDEX(Papers!$P$2:$P$12,MATCH($C30,Papers!$A$2:$A$12,0)),"")),MATCH(MIN(G30,K30,O30,S30,W30,AA30),CHOOSE({1,2,3,4,5,6},G30,K30,O30,S30,W30,AA30),0)),""))</f>
        <v/>
      </c>
      <c r="AE30">
        <f>IF(AC30="","",IF(AC30&lt;50,"Re-teach",IF(AC30&lt;75,"Practice more","Relatively secure")))</f>
        <v/>
      </c>
    </row>
    <row r="31">
      <c r="A31">
        <f>IF(Attempts!A31="","",Attempts!A31)</f>
        <v/>
      </c>
      <c r="B31">
        <f>IF(Attempts!A31="","",Attempts!B31)</f>
        <v/>
      </c>
      <c r="C31">
        <f>IF(Attempts!A31="","",Attempts!D31)</f>
        <v/>
      </c>
      <c r="D31">
        <f>IF($A31="","",IFERROR(INDEX(Papers!$E$2:$E$12,MATCH($C31,Papers!$A$2:$A$12,0)),""))</f>
        <v/>
      </c>
      <c r="E31">
        <f>IF($A31="","",IFERROR(SUMPRODUCT((INDEX(SubMap!$B$2:$AE$12,MATCH($C31,SubMap!$A$2:$A$12,0),0)=1)*Attempts!$AR31:$BU31),0))</f>
        <v/>
      </c>
      <c r="F31">
        <f>IF($A31="","",IFERROR(COUNTIF(INDEX(SubMap!$B$2:$AE$12,MATCH($C31,SubMap!$A$2:$A$12,0),0),1),0))</f>
        <v/>
      </c>
      <c r="G31">
        <f>IF(OR($A31="",F31=0),"",ROUND(E31/F31*100,1))</f>
        <v/>
      </c>
      <c r="H31">
        <f>IF($A31="","",IFERROR(INDEX(Papers!$F$2:$F$12,MATCH($C31,Papers!$A$2:$A$12,0)),""))</f>
        <v/>
      </c>
      <c r="I31">
        <f>IF($A31="","",IFERROR(SUMPRODUCT((INDEX(SubMap!$B$2:$AE$12,MATCH($C31,SubMap!$A$2:$A$12,0),0)=2)*Attempts!$AR31:$BU31),0))</f>
        <v/>
      </c>
      <c r="J31">
        <f>IF($A31="","",IFERROR(COUNTIF(INDEX(SubMap!$B$2:$AE$12,MATCH($C31,SubMap!$A$2:$A$12,0),0),2),0))</f>
        <v/>
      </c>
      <c r="K31">
        <f>IF(OR($A31="",J31=0),"",ROUND(I31/J31*100,1))</f>
        <v/>
      </c>
      <c r="L31">
        <f>IF($A31="","",IFERROR(INDEX(Papers!$G$2:$G$12,MATCH($C31,Papers!$A$2:$A$12,0)),""))</f>
        <v/>
      </c>
      <c r="M31">
        <f>IF($A31="","",IFERROR(SUMPRODUCT((INDEX(SubMap!$B$2:$AE$12,MATCH($C31,SubMap!$A$2:$A$12,0),0)=3)*Attempts!$AR31:$BU31),0))</f>
        <v/>
      </c>
      <c r="N31">
        <f>IF($A31="","",IFERROR(COUNTIF(INDEX(SubMap!$B$2:$AE$12,MATCH($C31,SubMap!$A$2:$A$12,0),0),3),0))</f>
        <v/>
      </c>
      <c r="O31">
        <f>IF(OR($A31="",N31=0),"",ROUND(M31/N31*100,1))</f>
        <v/>
      </c>
      <c r="P31">
        <f>IF($A31="","",IFERROR(INDEX(Papers!$H$2:$H$12,MATCH($C31,Papers!$A$2:$A$12,0)),""))</f>
        <v/>
      </c>
      <c r="Q31">
        <f>IF($A31="","",IFERROR(SUMPRODUCT((INDEX(SubMap!$B$2:$AE$12,MATCH($C31,SubMap!$A$2:$A$12,0),0)=4)*Attempts!$AR31:$BU31),0))</f>
        <v/>
      </c>
      <c r="R31">
        <f>IF($A31="","",IFERROR(COUNTIF(INDEX(SubMap!$B$2:$AE$12,MATCH($C31,SubMap!$A$2:$A$12,0),0),4),0))</f>
        <v/>
      </c>
      <c r="S31">
        <f>IF(OR($A31="",R31=0),"",ROUND(Q31/R31*100,1))</f>
        <v/>
      </c>
      <c r="T31">
        <f>IF($A31="","",IFERROR(INDEX(Papers!$I$2:$I$12,MATCH($C31,Papers!$A$2:$A$12,0)),""))</f>
        <v/>
      </c>
      <c r="U31">
        <f>IF($A31="","",IFERROR(SUMPRODUCT((INDEX(SubMap!$B$2:$AE$12,MATCH($C31,SubMap!$A$2:$A$12,0),0)=5)*Attempts!$AR31:$BU31),0))</f>
        <v/>
      </c>
      <c r="V31">
        <f>IF($A31="","",IFERROR(COUNTIF(INDEX(SubMap!$B$2:$AE$12,MATCH($C31,SubMap!$A$2:$A$12,0),0),5),0))</f>
        <v/>
      </c>
      <c r="W31">
        <f>IF(OR($A31="",V31=0),"",ROUND(U31/V31*100,1))</f>
        <v/>
      </c>
      <c r="X31">
        <f>IF($A31="","",IFERROR(INDEX(Papers!$J$2:$J$12,MATCH($C31,Papers!$A$2:$A$12,0)),""))</f>
        <v/>
      </c>
      <c r="Y31">
        <f>IF($A31="","",IFERROR(SUMPRODUCT((INDEX(SubMap!$B$2:$AE$12,MATCH($C31,SubMap!$A$2:$A$12,0),0)=6)*Attempts!$AR31:$BU31),0))</f>
        <v/>
      </c>
      <c r="Z31">
        <f>IF($A31="","",IFERROR(COUNTIF(INDEX(SubMap!$B$2:$AE$12,MATCH($C31,SubMap!$A$2:$A$12,0),0),6),0))</f>
        <v/>
      </c>
      <c r="AA31">
        <f>IF(OR($A31="",Z31=0),"",ROUND(Y31/Z31*100,1))</f>
        <v/>
      </c>
      <c r="AB31">
        <f>IF($A31="","",IFERROR(INDEX(CHOOSE({1,2,3,4,5,6},D31,H31,L31,P31,T31,X31),MATCH(MIN(G31,K31,O31,S31,W31,AA31),CHOOSE({1,2,3,4,5,6},G31,K31,O31,S31,W31,AA31),0)),""))</f>
        <v/>
      </c>
      <c r="AC31">
        <f>IF($A31="","",IF(COUNT(G31,K31,O31,S31,W31,AA31)=0,"",MIN(G31,K31,O31,S31,W31,AA31)))</f>
        <v/>
      </c>
      <c r="AD31">
        <f>IF($A31="","",IFERROR(INDEX(CHOOSE({1,2,3,4,5,6},IFERROR(INDEX(Papers!$K$2:$K$12,MATCH($C31,Papers!$A$2:$A$12,0)),""),IFERROR(INDEX(Papers!$L$2:$L$12,MATCH($C31,Papers!$A$2:$A$12,0)),""),IFERROR(INDEX(Papers!$M$2:$M$12,MATCH($C31,Papers!$A$2:$A$12,0)),""),IFERROR(INDEX(Papers!$N$2:$N$12,MATCH($C31,Papers!$A$2:$A$12,0)),""),IFERROR(INDEX(Papers!$O$2:$O$12,MATCH($C31,Papers!$A$2:$A$12,0)),""),IFERROR(INDEX(Papers!$P$2:$P$12,MATCH($C31,Papers!$A$2:$A$12,0)),"")),MATCH(MIN(G31,K31,O31,S31,W31,AA31),CHOOSE({1,2,3,4,5,6},G31,K31,O31,S31,W31,AA31),0)),""))</f>
        <v/>
      </c>
      <c r="AE31">
        <f>IF(AC31="","",IF(AC31&lt;50,"Re-teach",IF(AC31&lt;75,"Practice more","Relatively secure")))</f>
        <v/>
      </c>
    </row>
    <row r="32">
      <c r="A32">
        <f>IF(Attempts!A32="","",Attempts!A32)</f>
        <v/>
      </c>
      <c r="B32">
        <f>IF(Attempts!A32="","",Attempts!B32)</f>
        <v/>
      </c>
      <c r="C32">
        <f>IF(Attempts!A32="","",Attempts!D32)</f>
        <v/>
      </c>
      <c r="D32">
        <f>IF($A32="","",IFERROR(INDEX(Papers!$E$2:$E$12,MATCH($C32,Papers!$A$2:$A$12,0)),""))</f>
        <v/>
      </c>
      <c r="E32">
        <f>IF($A32="","",IFERROR(SUMPRODUCT((INDEX(SubMap!$B$2:$AE$12,MATCH($C32,SubMap!$A$2:$A$12,0),0)=1)*Attempts!$AR32:$BU32),0))</f>
        <v/>
      </c>
      <c r="F32">
        <f>IF($A32="","",IFERROR(COUNTIF(INDEX(SubMap!$B$2:$AE$12,MATCH($C32,SubMap!$A$2:$A$12,0),0),1),0))</f>
        <v/>
      </c>
      <c r="G32">
        <f>IF(OR($A32="",F32=0),"",ROUND(E32/F32*100,1))</f>
        <v/>
      </c>
      <c r="H32">
        <f>IF($A32="","",IFERROR(INDEX(Papers!$F$2:$F$12,MATCH($C32,Papers!$A$2:$A$12,0)),""))</f>
        <v/>
      </c>
      <c r="I32">
        <f>IF($A32="","",IFERROR(SUMPRODUCT((INDEX(SubMap!$B$2:$AE$12,MATCH($C32,SubMap!$A$2:$A$12,0),0)=2)*Attempts!$AR32:$BU32),0))</f>
        <v/>
      </c>
      <c r="J32">
        <f>IF($A32="","",IFERROR(COUNTIF(INDEX(SubMap!$B$2:$AE$12,MATCH($C32,SubMap!$A$2:$A$12,0),0),2),0))</f>
        <v/>
      </c>
      <c r="K32">
        <f>IF(OR($A32="",J32=0),"",ROUND(I32/J32*100,1))</f>
        <v/>
      </c>
      <c r="L32">
        <f>IF($A32="","",IFERROR(INDEX(Papers!$G$2:$G$12,MATCH($C32,Papers!$A$2:$A$12,0)),""))</f>
        <v/>
      </c>
      <c r="M32">
        <f>IF($A32="","",IFERROR(SUMPRODUCT((INDEX(SubMap!$B$2:$AE$12,MATCH($C32,SubMap!$A$2:$A$12,0),0)=3)*Attempts!$AR32:$BU32),0))</f>
        <v/>
      </c>
      <c r="N32">
        <f>IF($A32="","",IFERROR(COUNTIF(INDEX(SubMap!$B$2:$AE$12,MATCH($C32,SubMap!$A$2:$A$12,0),0),3),0))</f>
        <v/>
      </c>
      <c r="O32">
        <f>IF(OR($A32="",N32=0),"",ROUND(M32/N32*100,1))</f>
        <v/>
      </c>
      <c r="P32">
        <f>IF($A32="","",IFERROR(INDEX(Papers!$H$2:$H$12,MATCH($C32,Papers!$A$2:$A$12,0)),""))</f>
        <v/>
      </c>
      <c r="Q32">
        <f>IF($A32="","",IFERROR(SUMPRODUCT((INDEX(SubMap!$B$2:$AE$12,MATCH($C32,SubMap!$A$2:$A$12,0),0)=4)*Attempts!$AR32:$BU32),0))</f>
        <v/>
      </c>
      <c r="R32">
        <f>IF($A32="","",IFERROR(COUNTIF(INDEX(SubMap!$B$2:$AE$12,MATCH($C32,SubMap!$A$2:$A$12,0),0),4),0))</f>
        <v/>
      </c>
      <c r="S32">
        <f>IF(OR($A32="",R32=0),"",ROUND(Q32/R32*100,1))</f>
        <v/>
      </c>
      <c r="T32">
        <f>IF($A32="","",IFERROR(INDEX(Papers!$I$2:$I$12,MATCH($C32,Papers!$A$2:$A$12,0)),""))</f>
        <v/>
      </c>
      <c r="U32">
        <f>IF($A32="","",IFERROR(SUMPRODUCT((INDEX(SubMap!$B$2:$AE$12,MATCH($C32,SubMap!$A$2:$A$12,0),0)=5)*Attempts!$AR32:$BU32),0))</f>
        <v/>
      </c>
      <c r="V32">
        <f>IF($A32="","",IFERROR(COUNTIF(INDEX(SubMap!$B$2:$AE$12,MATCH($C32,SubMap!$A$2:$A$12,0),0),5),0))</f>
        <v/>
      </c>
      <c r="W32">
        <f>IF(OR($A32="",V32=0),"",ROUND(U32/V32*100,1))</f>
        <v/>
      </c>
      <c r="X32">
        <f>IF($A32="","",IFERROR(INDEX(Papers!$J$2:$J$12,MATCH($C32,Papers!$A$2:$A$12,0)),""))</f>
        <v/>
      </c>
      <c r="Y32">
        <f>IF($A32="","",IFERROR(SUMPRODUCT((INDEX(SubMap!$B$2:$AE$12,MATCH($C32,SubMap!$A$2:$A$12,0),0)=6)*Attempts!$AR32:$BU32),0))</f>
        <v/>
      </c>
      <c r="Z32">
        <f>IF($A32="","",IFERROR(COUNTIF(INDEX(SubMap!$B$2:$AE$12,MATCH($C32,SubMap!$A$2:$A$12,0),0),6),0))</f>
        <v/>
      </c>
      <c r="AA32">
        <f>IF(OR($A32="",Z32=0),"",ROUND(Y32/Z32*100,1))</f>
        <v/>
      </c>
      <c r="AB32">
        <f>IF($A32="","",IFERROR(INDEX(CHOOSE({1,2,3,4,5,6},D32,H32,L32,P32,T32,X32),MATCH(MIN(G32,K32,O32,S32,W32,AA32),CHOOSE({1,2,3,4,5,6},G32,K32,O32,S32,W32,AA32),0)),""))</f>
        <v/>
      </c>
      <c r="AC32">
        <f>IF($A32="","",IF(COUNT(G32,K32,O32,S32,W32,AA32)=0,"",MIN(G32,K32,O32,S32,W32,AA32)))</f>
        <v/>
      </c>
      <c r="AD32">
        <f>IF($A32="","",IFERROR(INDEX(CHOOSE({1,2,3,4,5,6},IFERROR(INDEX(Papers!$K$2:$K$12,MATCH($C32,Papers!$A$2:$A$12,0)),""),IFERROR(INDEX(Papers!$L$2:$L$12,MATCH($C32,Papers!$A$2:$A$12,0)),""),IFERROR(INDEX(Papers!$M$2:$M$12,MATCH($C32,Papers!$A$2:$A$12,0)),""),IFERROR(INDEX(Papers!$N$2:$N$12,MATCH($C32,Papers!$A$2:$A$12,0)),""),IFERROR(INDEX(Papers!$O$2:$O$12,MATCH($C32,Papers!$A$2:$A$12,0)),""),IFERROR(INDEX(Papers!$P$2:$P$12,MATCH($C32,Papers!$A$2:$A$12,0)),"")),MATCH(MIN(G32,K32,O32,S32,W32,AA32),CHOOSE({1,2,3,4,5,6},G32,K32,O32,S32,W32,AA32),0)),""))</f>
        <v/>
      </c>
      <c r="AE32">
        <f>IF(AC32="","",IF(AC32&lt;50,"Re-teach",IF(AC32&lt;75,"Practice more","Relatively secure")))</f>
        <v/>
      </c>
    </row>
    <row r="33">
      <c r="A33">
        <f>IF(Attempts!A33="","",Attempts!A33)</f>
        <v/>
      </c>
      <c r="B33">
        <f>IF(Attempts!A33="","",Attempts!B33)</f>
        <v/>
      </c>
      <c r="C33">
        <f>IF(Attempts!A33="","",Attempts!D33)</f>
        <v/>
      </c>
      <c r="D33">
        <f>IF($A33="","",IFERROR(INDEX(Papers!$E$2:$E$12,MATCH($C33,Papers!$A$2:$A$12,0)),""))</f>
        <v/>
      </c>
      <c r="E33">
        <f>IF($A33="","",IFERROR(SUMPRODUCT((INDEX(SubMap!$B$2:$AE$12,MATCH($C33,SubMap!$A$2:$A$12,0),0)=1)*Attempts!$AR33:$BU33),0))</f>
        <v/>
      </c>
      <c r="F33">
        <f>IF($A33="","",IFERROR(COUNTIF(INDEX(SubMap!$B$2:$AE$12,MATCH($C33,SubMap!$A$2:$A$12,0),0),1),0))</f>
        <v/>
      </c>
      <c r="G33">
        <f>IF(OR($A33="",F33=0),"",ROUND(E33/F33*100,1))</f>
        <v/>
      </c>
      <c r="H33">
        <f>IF($A33="","",IFERROR(INDEX(Papers!$F$2:$F$12,MATCH($C33,Papers!$A$2:$A$12,0)),""))</f>
        <v/>
      </c>
      <c r="I33">
        <f>IF($A33="","",IFERROR(SUMPRODUCT((INDEX(SubMap!$B$2:$AE$12,MATCH($C33,SubMap!$A$2:$A$12,0),0)=2)*Attempts!$AR33:$BU33),0))</f>
        <v/>
      </c>
      <c r="J33">
        <f>IF($A33="","",IFERROR(COUNTIF(INDEX(SubMap!$B$2:$AE$12,MATCH($C33,SubMap!$A$2:$A$12,0),0),2),0))</f>
        <v/>
      </c>
      <c r="K33">
        <f>IF(OR($A33="",J33=0),"",ROUND(I33/J33*100,1))</f>
        <v/>
      </c>
      <c r="L33">
        <f>IF($A33="","",IFERROR(INDEX(Papers!$G$2:$G$12,MATCH($C33,Papers!$A$2:$A$12,0)),""))</f>
        <v/>
      </c>
      <c r="M33">
        <f>IF($A33="","",IFERROR(SUMPRODUCT((INDEX(SubMap!$B$2:$AE$12,MATCH($C33,SubMap!$A$2:$A$12,0),0)=3)*Attempts!$AR33:$BU33),0))</f>
        <v/>
      </c>
      <c r="N33">
        <f>IF($A33="","",IFERROR(COUNTIF(INDEX(SubMap!$B$2:$AE$12,MATCH($C33,SubMap!$A$2:$A$12,0),0),3),0))</f>
        <v/>
      </c>
      <c r="O33">
        <f>IF(OR($A33="",N33=0),"",ROUND(M33/N33*100,1))</f>
        <v/>
      </c>
      <c r="P33">
        <f>IF($A33="","",IFERROR(INDEX(Papers!$H$2:$H$12,MATCH($C33,Papers!$A$2:$A$12,0)),""))</f>
        <v/>
      </c>
      <c r="Q33">
        <f>IF($A33="","",IFERROR(SUMPRODUCT((INDEX(SubMap!$B$2:$AE$12,MATCH($C33,SubMap!$A$2:$A$12,0),0)=4)*Attempts!$AR33:$BU33),0))</f>
        <v/>
      </c>
      <c r="R33">
        <f>IF($A33="","",IFERROR(COUNTIF(INDEX(SubMap!$B$2:$AE$12,MATCH($C33,SubMap!$A$2:$A$12,0),0),4),0))</f>
        <v/>
      </c>
      <c r="S33">
        <f>IF(OR($A33="",R33=0),"",ROUND(Q33/R33*100,1))</f>
        <v/>
      </c>
      <c r="T33">
        <f>IF($A33="","",IFERROR(INDEX(Papers!$I$2:$I$12,MATCH($C33,Papers!$A$2:$A$12,0)),""))</f>
        <v/>
      </c>
      <c r="U33">
        <f>IF($A33="","",IFERROR(SUMPRODUCT((INDEX(SubMap!$B$2:$AE$12,MATCH($C33,SubMap!$A$2:$A$12,0),0)=5)*Attempts!$AR33:$BU33),0))</f>
        <v/>
      </c>
      <c r="V33">
        <f>IF($A33="","",IFERROR(COUNTIF(INDEX(SubMap!$B$2:$AE$12,MATCH($C33,SubMap!$A$2:$A$12,0),0),5),0))</f>
        <v/>
      </c>
      <c r="W33">
        <f>IF(OR($A33="",V33=0),"",ROUND(U33/V33*100,1))</f>
        <v/>
      </c>
      <c r="X33">
        <f>IF($A33="","",IFERROR(INDEX(Papers!$J$2:$J$12,MATCH($C33,Papers!$A$2:$A$12,0)),""))</f>
        <v/>
      </c>
      <c r="Y33">
        <f>IF($A33="","",IFERROR(SUMPRODUCT((INDEX(SubMap!$B$2:$AE$12,MATCH($C33,SubMap!$A$2:$A$12,0),0)=6)*Attempts!$AR33:$BU33),0))</f>
        <v/>
      </c>
      <c r="Z33">
        <f>IF($A33="","",IFERROR(COUNTIF(INDEX(SubMap!$B$2:$AE$12,MATCH($C33,SubMap!$A$2:$A$12,0),0),6),0))</f>
        <v/>
      </c>
      <c r="AA33">
        <f>IF(OR($A33="",Z33=0),"",ROUND(Y33/Z33*100,1))</f>
        <v/>
      </c>
      <c r="AB33">
        <f>IF($A33="","",IFERROR(INDEX(CHOOSE({1,2,3,4,5,6},D33,H33,L33,P33,T33,X33),MATCH(MIN(G33,K33,O33,S33,W33,AA33),CHOOSE({1,2,3,4,5,6},G33,K33,O33,S33,W33,AA33),0)),""))</f>
        <v/>
      </c>
      <c r="AC33">
        <f>IF($A33="","",IF(COUNT(G33,K33,O33,S33,W33,AA33)=0,"",MIN(G33,K33,O33,S33,W33,AA33)))</f>
        <v/>
      </c>
      <c r="AD33">
        <f>IF($A33="","",IFERROR(INDEX(CHOOSE({1,2,3,4,5,6},IFERROR(INDEX(Papers!$K$2:$K$12,MATCH($C33,Papers!$A$2:$A$12,0)),""),IFERROR(INDEX(Papers!$L$2:$L$12,MATCH($C33,Papers!$A$2:$A$12,0)),""),IFERROR(INDEX(Papers!$M$2:$M$12,MATCH($C33,Papers!$A$2:$A$12,0)),""),IFERROR(INDEX(Papers!$N$2:$N$12,MATCH($C33,Papers!$A$2:$A$12,0)),""),IFERROR(INDEX(Papers!$O$2:$O$12,MATCH($C33,Papers!$A$2:$A$12,0)),""),IFERROR(INDEX(Papers!$P$2:$P$12,MATCH($C33,Papers!$A$2:$A$12,0)),"")),MATCH(MIN(G33,K33,O33,S33,W33,AA33),CHOOSE({1,2,3,4,5,6},G33,K33,O33,S33,W33,AA33),0)),""))</f>
        <v/>
      </c>
      <c r="AE33">
        <f>IF(AC33="","",IF(AC33&lt;50,"Re-teach",IF(AC33&lt;75,"Practice more","Relatively secure")))</f>
        <v/>
      </c>
    </row>
    <row r="34">
      <c r="A34">
        <f>IF(Attempts!A34="","",Attempts!A34)</f>
        <v/>
      </c>
      <c r="B34">
        <f>IF(Attempts!A34="","",Attempts!B34)</f>
        <v/>
      </c>
      <c r="C34">
        <f>IF(Attempts!A34="","",Attempts!D34)</f>
        <v/>
      </c>
      <c r="D34">
        <f>IF($A34="","",IFERROR(INDEX(Papers!$E$2:$E$12,MATCH($C34,Papers!$A$2:$A$12,0)),""))</f>
        <v/>
      </c>
      <c r="E34">
        <f>IF($A34="","",IFERROR(SUMPRODUCT((INDEX(SubMap!$B$2:$AE$12,MATCH($C34,SubMap!$A$2:$A$12,0),0)=1)*Attempts!$AR34:$BU34),0))</f>
        <v/>
      </c>
      <c r="F34">
        <f>IF($A34="","",IFERROR(COUNTIF(INDEX(SubMap!$B$2:$AE$12,MATCH($C34,SubMap!$A$2:$A$12,0),0),1),0))</f>
        <v/>
      </c>
      <c r="G34">
        <f>IF(OR($A34="",F34=0),"",ROUND(E34/F34*100,1))</f>
        <v/>
      </c>
      <c r="H34">
        <f>IF($A34="","",IFERROR(INDEX(Papers!$F$2:$F$12,MATCH($C34,Papers!$A$2:$A$12,0)),""))</f>
        <v/>
      </c>
      <c r="I34">
        <f>IF($A34="","",IFERROR(SUMPRODUCT((INDEX(SubMap!$B$2:$AE$12,MATCH($C34,SubMap!$A$2:$A$12,0),0)=2)*Attempts!$AR34:$BU34),0))</f>
        <v/>
      </c>
      <c r="J34">
        <f>IF($A34="","",IFERROR(COUNTIF(INDEX(SubMap!$B$2:$AE$12,MATCH($C34,SubMap!$A$2:$A$12,0),0),2),0))</f>
        <v/>
      </c>
      <c r="K34">
        <f>IF(OR($A34="",J34=0),"",ROUND(I34/J34*100,1))</f>
        <v/>
      </c>
      <c r="L34">
        <f>IF($A34="","",IFERROR(INDEX(Papers!$G$2:$G$12,MATCH($C34,Papers!$A$2:$A$12,0)),""))</f>
        <v/>
      </c>
      <c r="M34">
        <f>IF($A34="","",IFERROR(SUMPRODUCT((INDEX(SubMap!$B$2:$AE$12,MATCH($C34,SubMap!$A$2:$A$12,0),0)=3)*Attempts!$AR34:$BU34),0))</f>
        <v/>
      </c>
      <c r="N34">
        <f>IF($A34="","",IFERROR(COUNTIF(INDEX(SubMap!$B$2:$AE$12,MATCH($C34,SubMap!$A$2:$A$12,0),0),3),0))</f>
        <v/>
      </c>
      <c r="O34">
        <f>IF(OR($A34="",N34=0),"",ROUND(M34/N34*100,1))</f>
        <v/>
      </c>
      <c r="P34">
        <f>IF($A34="","",IFERROR(INDEX(Papers!$H$2:$H$12,MATCH($C34,Papers!$A$2:$A$12,0)),""))</f>
        <v/>
      </c>
      <c r="Q34">
        <f>IF($A34="","",IFERROR(SUMPRODUCT((INDEX(SubMap!$B$2:$AE$12,MATCH($C34,SubMap!$A$2:$A$12,0),0)=4)*Attempts!$AR34:$BU34),0))</f>
        <v/>
      </c>
      <c r="R34">
        <f>IF($A34="","",IFERROR(COUNTIF(INDEX(SubMap!$B$2:$AE$12,MATCH($C34,SubMap!$A$2:$A$12,0),0),4),0))</f>
        <v/>
      </c>
      <c r="S34">
        <f>IF(OR($A34="",R34=0),"",ROUND(Q34/R34*100,1))</f>
        <v/>
      </c>
      <c r="T34">
        <f>IF($A34="","",IFERROR(INDEX(Papers!$I$2:$I$12,MATCH($C34,Papers!$A$2:$A$12,0)),""))</f>
        <v/>
      </c>
      <c r="U34">
        <f>IF($A34="","",IFERROR(SUMPRODUCT((INDEX(SubMap!$B$2:$AE$12,MATCH($C34,SubMap!$A$2:$A$12,0),0)=5)*Attempts!$AR34:$BU34),0))</f>
        <v/>
      </c>
      <c r="V34">
        <f>IF($A34="","",IFERROR(COUNTIF(INDEX(SubMap!$B$2:$AE$12,MATCH($C34,SubMap!$A$2:$A$12,0),0),5),0))</f>
        <v/>
      </c>
      <c r="W34">
        <f>IF(OR($A34="",V34=0),"",ROUND(U34/V34*100,1))</f>
        <v/>
      </c>
      <c r="X34">
        <f>IF($A34="","",IFERROR(INDEX(Papers!$J$2:$J$12,MATCH($C34,Papers!$A$2:$A$12,0)),""))</f>
        <v/>
      </c>
      <c r="Y34">
        <f>IF($A34="","",IFERROR(SUMPRODUCT((INDEX(SubMap!$B$2:$AE$12,MATCH($C34,SubMap!$A$2:$A$12,0),0)=6)*Attempts!$AR34:$BU34),0))</f>
        <v/>
      </c>
      <c r="Z34">
        <f>IF($A34="","",IFERROR(COUNTIF(INDEX(SubMap!$B$2:$AE$12,MATCH($C34,SubMap!$A$2:$A$12,0),0),6),0))</f>
        <v/>
      </c>
      <c r="AA34">
        <f>IF(OR($A34="",Z34=0),"",ROUND(Y34/Z34*100,1))</f>
        <v/>
      </c>
      <c r="AB34">
        <f>IF($A34="","",IFERROR(INDEX(CHOOSE({1,2,3,4,5,6},D34,H34,L34,P34,T34,X34),MATCH(MIN(G34,K34,O34,S34,W34,AA34),CHOOSE({1,2,3,4,5,6},G34,K34,O34,S34,W34,AA34),0)),""))</f>
        <v/>
      </c>
      <c r="AC34">
        <f>IF($A34="","",IF(COUNT(G34,K34,O34,S34,W34,AA34)=0,"",MIN(G34,K34,O34,S34,W34,AA34)))</f>
        <v/>
      </c>
      <c r="AD34">
        <f>IF($A34="","",IFERROR(INDEX(CHOOSE({1,2,3,4,5,6},IFERROR(INDEX(Papers!$K$2:$K$12,MATCH($C34,Papers!$A$2:$A$12,0)),""),IFERROR(INDEX(Papers!$L$2:$L$12,MATCH($C34,Papers!$A$2:$A$12,0)),""),IFERROR(INDEX(Papers!$M$2:$M$12,MATCH($C34,Papers!$A$2:$A$12,0)),""),IFERROR(INDEX(Papers!$N$2:$N$12,MATCH($C34,Papers!$A$2:$A$12,0)),""),IFERROR(INDEX(Papers!$O$2:$O$12,MATCH($C34,Papers!$A$2:$A$12,0)),""),IFERROR(INDEX(Papers!$P$2:$P$12,MATCH($C34,Papers!$A$2:$A$12,0)),"")),MATCH(MIN(G34,K34,O34,S34,W34,AA34),CHOOSE({1,2,3,4,5,6},G34,K34,O34,S34,W34,AA34),0)),""))</f>
        <v/>
      </c>
      <c r="AE34">
        <f>IF(AC34="","",IF(AC34&lt;50,"Re-teach",IF(AC34&lt;75,"Practice more","Relatively secure")))</f>
        <v/>
      </c>
    </row>
    <row r="35">
      <c r="A35">
        <f>IF(Attempts!A35="","",Attempts!A35)</f>
        <v/>
      </c>
      <c r="B35">
        <f>IF(Attempts!A35="","",Attempts!B35)</f>
        <v/>
      </c>
      <c r="C35">
        <f>IF(Attempts!A35="","",Attempts!D35)</f>
        <v/>
      </c>
      <c r="D35">
        <f>IF($A35="","",IFERROR(INDEX(Papers!$E$2:$E$12,MATCH($C35,Papers!$A$2:$A$12,0)),""))</f>
        <v/>
      </c>
      <c r="E35">
        <f>IF($A35="","",IFERROR(SUMPRODUCT((INDEX(SubMap!$B$2:$AE$12,MATCH($C35,SubMap!$A$2:$A$12,0),0)=1)*Attempts!$AR35:$BU35),0))</f>
        <v/>
      </c>
      <c r="F35">
        <f>IF($A35="","",IFERROR(COUNTIF(INDEX(SubMap!$B$2:$AE$12,MATCH($C35,SubMap!$A$2:$A$12,0),0),1),0))</f>
        <v/>
      </c>
      <c r="G35">
        <f>IF(OR($A35="",F35=0),"",ROUND(E35/F35*100,1))</f>
        <v/>
      </c>
      <c r="H35">
        <f>IF($A35="","",IFERROR(INDEX(Papers!$F$2:$F$12,MATCH($C35,Papers!$A$2:$A$12,0)),""))</f>
        <v/>
      </c>
      <c r="I35">
        <f>IF($A35="","",IFERROR(SUMPRODUCT((INDEX(SubMap!$B$2:$AE$12,MATCH($C35,SubMap!$A$2:$A$12,0),0)=2)*Attempts!$AR35:$BU35),0))</f>
        <v/>
      </c>
      <c r="J35">
        <f>IF($A35="","",IFERROR(COUNTIF(INDEX(SubMap!$B$2:$AE$12,MATCH($C35,SubMap!$A$2:$A$12,0),0),2),0))</f>
        <v/>
      </c>
      <c r="K35">
        <f>IF(OR($A35="",J35=0),"",ROUND(I35/J35*100,1))</f>
        <v/>
      </c>
      <c r="L35">
        <f>IF($A35="","",IFERROR(INDEX(Papers!$G$2:$G$12,MATCH($C35,Papers!$A$2:$A$12,0)),""))</f>
        <v/>
      </c>
      <c r="M35">
        <f>IF($A35="","",IFERROR(SUMPRODUCT((INDEX(SubMap!$B$2:$AE$12,MATCH($C35,SubMap!$A$2:$A$12,0),0)=3)*Attempts!$AR35:$BU35),0))</f>
        <v/>
      </c>
      <c r="N35">
        <f>IF($A35="","",IFERROR(COUNTIF(INDEX(SubMap!$B$2:$AE$12,MATCH($C35,SubMap!$A$2:$A$12,0),0),3),0))</f>
        <v/>
      </c>
      <c r="O35">
        <f>IF(OR($A35="",N35=0),"",ROUND(M35/N35*100,1))</f>
        <v/>
      </c>
      <c r="P35">
        <f>IF($A35="","",IFERROR(INDEX(Papers!$H$2:$H$12,MATCH($C35,Papers!$A$2:$A$12,0)),""))</f>
        <v/>
      </c>
      <c r="Q35">
        <f>IF($A35="","",IFERROR(SUMPRODUCT((INDEX(SubMap!$B$2:$AE$12,MATCH($C35,SubMap!$A$2:$A$12,0),0)=4)*Attempts!$AR35:$BU35),0))</f>
        <v/>
      </c>
      <c r="R35">
        <f>IF($A35="","",IFERROR(COUNTIF(INDEX(SubMap!$B$2:$AE$12,MATCH($C35,SubMap!$A$2:$A$12,0),0),4),0))</f>
        <v/>
      </c>
      <c r="S35">
        <f>IF(OR($A35="",R35=0),"",ROUND(Q35/R35*100,1))</f>
        <v/>
      </c>
      <c r="T35">
        <f>IF($A35="","",IFERROR(INDEX(Papers!$I$2:$I$12,MATCH($C35,Papers!$A$2:$A$12,0)),""))</f>
        <v/>
      </c>
      <c r="U35">
        <f>IF($A35="","",IFERROR(SUMPRODUCT((INDEX(SubMap!$B$2:$AE$12,MATCH($C35,SubMap!$A$2:$A$12,0),0)=5)*Attempts!$AR35:$BU35),0))</f>
        <v/>
      </c>
      <c r="V35">
        <f>IF($A35="","",IFERROR(COUNTIF(INDEX(SubMap!$B$2:$AE$12,MATCH($C35,SubMap!$A$2:$A$12,0),0),5),0))</f>
        <v/>
      </c>
      <c r="W35">
        <f>IF(OR($A35="",V35=0),"",ROUND(U35/V35*100,1))</f>
        <v/>
      </c>
      <c r="X35">
        <f>IF($A35="","",IFERROR(INDEX(Papers!$J$2:$J$12,MATCH($C35,Papers!$A$2:$A$12,0)),""))</f>
        <v/>
      </c>
      <c r="Y35">
        <f>IF($A35="","",IFERROR(SUMPRODUCT((INDEX(SubMap!$B$2:$AE$12,MATCH($C35,SubMap!$A$2:$A$12,0),0)=6)*Attempts!$AR35:$BU35),0))</f>
        <v/>
      </c>
      <c r="Z35">
        <f>IF($A35="","",IFERROR(COUNTIF(INDEX(SubMap!$B$2:$AE$12,MATCH($C35,SubMap!$A$2:$A$12,0),0),6),0))</f>
        <v/>
      </c>
      <c r="AA35">
        <f>IF(OR($A35="",Z35=0),"",ROUND(Y35/Z35*100,1))</f>
        <v/>
      </c>
      <c r="AB35">
        <f>IF($A35="","",IFERROR(INDEX(CHOOSE({1,2,3,4,5,6},D35,H35,L35,P35,T35,X35),MATCH(MIN(G35,K35,O35,S35,W35,AA35),CHOOSE({1,2,3,4,5,6},G35,K35,O35,S35,W35,AA35),0)),""))</f>
        <v/>
      </c>
      <c r="AC35">
        <f>IF($A35="","",IF(COUNT(G35,K35,O35,S35,W35,AA35)=0,"",MIN(G35,K35,O35,S35,W35,AA35)))</f>
        <v/>
      </c>
      <c r="AD35">
        <f>IF($A35="","",IFERROR(INDEX(CHOOSE({1,2,3,4,5,6},IFERROR(INDEX(Papers!$K$2:$K$12,MATCH($C35,Papers!$A$2:$A$12,0)),""),IFERROR(INDEX(Papers!$L$2:$L$12,MATCH($C35,Papers!$A$2:$A$12,0)),""),IFERROR(INDEX(Papers!$M$2:$M$12,MATCH($C35,Papers!$A$2:$A$12,0)),""),IFERROR(INDEX(Papers!$N$2:$N$12,MATCH($C35,Papers!$A$2:$A$12,0)),""),IFERROR(INDEX(Papers!$O$2:$O$12,MATCH($C35,Papers!$A$2:$A$12,0)),""),IFERROR(INDEX(Papers!$P$2:$P$12,MATCH($C35,Papers!$A$2:$A$12,0)),"")),MATCH(MIN(G35,K35,O35,S35,W35,AA35),CHOOSE({1,2,3,4,5,6},G35,K35,O35,S35,W35,AA35),0)),""))</f>
        <v/>
      </c>
      <c r="AE35">
        <f>IF(AC35="","",IF(AC35&lt;50,"Re-teach",IF(AC35&lt;75,"Practice more","Relatively secure")))</f>
        <v/>
      </c>
    </row>
    <row r="36">
      <c r="A36">
        <f>IF(Attempts!A36="","",Attempts!A36)</f>
        <v/>
      </c>
      <c r="B36">
        <f>IF(Attempts!A36="","",Attempts!B36)</f>
        <v/>
      </c>
      <c r="C36">
        <f>IF(Attempts!A36="","",Attempts!D36)</f>
        <v/>
      </c>
      <c r="D36">
        <f>IF($A36="","",IFERROR(INDEX(Papers!$E$2:$E$12,MATCH($C36,Papers!$A$2:$A$12,0)),""))</f>
        <v/>
      </c>
      <c r="E36">
        <f>IF($A36="","",IFERROR(SUMPRODUCT((INDEX(SubMap!$B$2:$AE$12,MATCH($C36,SubMap!$A$2:$A$12,0),0)=1)*Attempts!$AR36:$BU36),0))</f>
        <v/>
      </c>
      <c r="F36">
        <f>IF($A36="","",IFERROR(COUNTIF(INDEX(SubMap!$B$2:$AE$12,MATCH($C36,SubMap!$A$2:$A$12,0),0),1),0))</f>
        <v/>
      </c>
      <c r="G36">
        <f>IF(OR($A36="",F36=0),"",ROUND(E36/F36*100,1))</f>
        <v/>
      </c>
      <c r="H36">
        <f>IF($A36="","",IFERROR(INDEX(Papers!$F$2:$F$12,MATCH($C36,Papers!$A$2:$A$12,0)),""))</f>
        <v/>
      </c>
      <c r="I36">
        <f>IF($A36="","",IFERROR(SUMPRODUCT((INDEX(SubMap!$B$2:$AE$12,MATCH($C36,SubMap!$A$2:$A$12,0),0)=2)*Attempts!$AR36:$BU36),0))</f>
        <v/>
      </c>
      <c r="J36">
        <f>IF($A36="","",IFERROR(COUNTIF(INDEX(SubMap!$B$2:$AE$12,MATCH($C36,SubMap!$A$2:$A$12,0),0),2),0))</f>
        <v/>
      </c>
      <c r="K36">
        <f>IF(OR($A36="",J36=0),"",ROUND(I36/J36*100,1))</f>
        <v/>
      </c>
      <c r="L36">
        <f>IF($A36="","",IFERROR(INDEX(Papers!$G$2:$G$12,MATCH($C36,Papers!$A$2:$A$12,0)),""))</f>
        <v/>
      </c>
      <c r="M36">
        <f>IF($A36="","",IFERROR(SUMPRODUCT((INDEX(SubMap!$B$2:$AE$12,MATCH($C36,SubMap!$A$2:$A$12,0),0)=3)*Attempts!$AR36:$BU36),0))</f>
        <v/>
      </c>
      <c r="N36">
        <f>IF($A36="","",IFERROR(COUNTIF(INDEX(SubMap!$B$2:$AE$12,MATCH($C36,SubMap!$A$2:$A$12,0),0),3),0))</f>
        <v/>
      </c>
      <c r="O36">
        <f>IF(OR($A36="",N36=0),"",ROUND(M36/N36*100,1))</f>
        <v/>
      </c>
      <c r="P36">
        <f>IF($A36="","",IFERROR(INDEX(Papers!$H$2:$H$12,MATCH($C36,Papers!$A$2:$A$12,0)),""))</f>
        <v/>
      </c>
      <c r="Q36">
        <f>IF($A36="","",IFERROR(SUMPRODUCT((INDEX(SubMap!$B$2:$AE$12,MATCH($C36,SubMap!$A$2:$A$12,0),0)=4)*Attempts!$AR36:$BU36),0))</f>
        <v/>
      </c>
      <c r="R36">
        <f>IF($A36="","",IFERROR(COUNTIF(INDEX(SubMap!$B$2:$AE$12,MATCH($C36,SubMap!$A$2:$A$12,0),0),4),0))</f>
        <v/>
      </c>
      <c r="S36">
        <f>IF(OR($A36="",R36=0),"",ROUND(Q36/R36*100,1))</f>
        <v/>
      </c>
      <c r="T36">
        <f>IF($A36="","",IFERROR(INDEX(Papers!$I$2:$I$12,MATCH($C36,Papers!$A$2:$A$12,0)),""))</f>
        <v/>
      </c>
      <c r="U36">
        <f>IF($A36="","",IFERROR(SUMPRODUCT((INDEX(SubMap!$B$2:$AE$12,MATCH($C36,SubMap!$A$2:$A$12,0),0)=5)*Attempts!$AR36:$BU36),0))</f>
        <v/>
      </c>
      <c r="V36">
        <f>IF($A36="","",IFERROR(COUNTIF(INDEX(SubMap!$B$2:$AE$12,MATCH($C36,SubMap!$A$2:$A$12,0),0),5),0))</f>
        <v/>
      </c>
      <c r="W36">
        <f>IF(OR($A36="",V36=0),"",ROUND(U36/V36*100,1))</f>
        <v/>
      </c>
      <c r="X36">
        <f>IF($A36="","",IFERROR(INDEX(Papers!$J$2:$J$12,MATCH($C36,Papers!$A$2:$A$12,0)),""))</f>
        <v/>
      </c>
      <c r="Y36">
        <f>IF($A36="","",IFERROR(SUMPRODUCT((INDEX(SubMap!$B$2:$AE$12,MATCH($C36,SubMap!$A$2:$A$12,0),0)=6)*Attempts!$AR36:$BU36),0))</f>
        <v/>
      </c>
      <c r="Z36">
        <f>IF($A36="","",IFERROR(COUNTIF(INDEX(SubMap!$B$2:$AE$12,MATCH($C36,SubMap!$A$2:$A$12,0),0),6),0))</f>
        <v/>
      </c>
      <c r="AA36">
        <f>IF(OR($A36="",Z36=0),"",ROUND(Y36/Z36*100,1))</f>
        <v/>
      </c>
      <c r="AB36">
        <f>IF($A36="","",IFERROR(INDEX(CHOOSE({1,2,3,4,5,6},D36,H36,L36,P36,T36,X36),MATCH(MIN(G36,K36,O36,S36,W36,AA36),CHOOSE({1,2,3,4,5,6},G36,K36,O36,S36,W36,AA36),0)),""))</f>
        <v/>
      </c>
      <c r="AC36">
        <f>IF($A36="","",IF(COUNT(G36,K36,O36,S36,W36,AA36)=0,"",MIN(G36,K36,O36,S36,W36,AA36)))</f>
        <v/>
      </c>
      <c r="AD36">
        <f>IF($A36="","",IFERROR(INDEX(CHOOSE({1,2,3,4,5,6},IFERROR(INDEX(Papers!$K$2:$K$12,MATCH($C36,Papers!$A$2:$A$12,0)),""),IFERROR(INDEX(Papers!$L$2:$L$12,MATCH($C36,Papers!$A$2:$A$12,0)),""),IFERROR(INDEX(Papers!$M$2:$M$12,MATCH($C36,Papers!$A$2:$A$12,0)),""),IFERROR(INDEX(Papers!$N$2:$N$12,MATCH($C36,Papers!$A$2:$A$12,0)),""),IFERROR(INDEX(Papers!$O$2:$O$12,MATCH($C36,Papers!$A$2:$A$12,0)),""),IFERROR(INDEX(Papers!$P$2:$P$12,MATCH($C36,Papers!$A$2:$A$12,0)),"")),MATCH(MIN(G36,K36,O36,S36,W36,AA36),CHOOSE({1,2,3,4,5,6},G36,K36,O36,S36,W36,AA36),0)),""))</f>
        <v/>
      </c>
      <c r="AE36">
        <f>IF(AC36="","",IF(AC36&lt;50,"Re-teach",IF(AC36&lt;75,"Practice more","Relatively secure")))</f>
        <v/>
      </c>
    </row>
    <row r="37">
      <c r="A37">
        <f>IF(Attempts!A37="","",Attempts!A37)</f>
        <v/>
      </c>
      <c r="B37">
        <f>IF(Attempts!A37="","",Attempts!B37)</f>
        <v/>
      </c>
      <c r="C37">
        <f>IF(Attempts!A37="","",Attempts!D37)</f>
        <v/>
      </c>
      <c r="D37">
        <f>IF($A37="","",IFERROR(INDEX(Papers!$E$2:$E$12,MATCH($C37,Papers!$A$2:$A$12,0)),""))</f>
        <v/>
      </c>
      <c r="E37">
        <f>IF($A37="","",IFERROR(SUMPRODUCT((INDEX(SubMap!$B$2:$AE$12,MATCH($C37,SubMap!$A$2:$A$12,0),0)=1)*Attempts!$AR37:$BU37),0))</f>
        <v/>
      </c>
      <c r="F37">
        <f>IF($A37="","",IFERROR(COUNTIF(INDEX(SubMap!$B$2:$AE$12,MATCH($C37,SubMap!$A$2:$A$12,0),0),1),0))</f>
        <v/>
      </c>
      <c r="G37">
        <f>IF(OR($A37="",F37=0),"",ROUND(E37/F37*100,1))</f>
        <v/>
      </c>
      <c r="H37">
        <f>IF($A37="","",IFERROR(INDEX(Papers!$F$2:$F$12,MATCH($C37,Papers!$A$2:$A$12,0)),""))</f>
        <v/>
      </c>
      <c r="I37">
        <f>IF($A37="","",IFERROR(SUMPRODUCT((INDEX(SubMap!$B$2:$AE$12,MATCH($C37,SubMap!$A$2:$A$12,0),0)=2)*Attempts!$AR37:$BU37),0))</f>
        <v/>
      </c>
      <c r="J37">
        <f>IF($A37="","",IFERROR(COUNTIF(INDEX(SubMap!$B$2:$AE$12,MATCH($C37,SubMap!$A$2:$A$12,0),0),2),0))</f>
        <v/>
      </c>
      <c r="K37">
        <f>IF(OR($A37="",J37=0),"",ROUND(I37/J37*100,1))</f>
        <v/>
      </c>
      <c r="L37">
        <f>IF($A37="","",IFERROR(INDEX(Papers!$G$2:$G$12,MATCH($C37,Papers!$A$2:$A$12,0)),""))</f>
        <v/>
      </c>
      <c r="M37">
        <f>IF($A37="","",IFERROR(SUMPRODUCT((INDEX(SubMap!$B$2:$AE$12,MATCH($C37,SubMap!$A$2:$A$12,0),0)=3)*Attempts!$AR37:$BU37),0))</f>
        <v/>
      </c>
      <c r="N37">
        <f>IF($A37="","",IFERROR(COUNTIF(INDEX(SubMap!$B$2:$AE$12,MATCH($C37,SubMap!$A$2:$A$12,0),0),3),0))</f>
        <v/>
      </c>
      <c r="O37">
        <f>IF(OR($A37="",N37=0),"",ROUND(M37/N37*100,1))</f>
        <v/>
      </c>
      <c r="P37">
        <f>IF($A37="","",IFERROR(INDEX(Papers!$H$2:$H$12,MATCH($C37,Papers!$A$2:$A$12,0)),""))</f>
        <v/>
      </c>
      <c r="Q37">
        <f>IF($A37="","",IFERROR(SUMPRODUCT((INDEX(SubMap!$B$2:$AE$12,MATCH($C37,SubMap!$A$2:$A$12,0),0)=4)*Attempts!$AR37:$BU37),0))</f>
        <v/>
      </c>
      <c r="R37">
        <f>IF($A37="","",IFERROR(COUNTIF(INDEX(SubMap!$B$2:$AE$12,MATCH($C37,SubMap!$A$2:$A$12,0),0),4),0))</f>
        <v/>
      </c>
      <c r="S37">
        <f>IF(OR($A37="",R37=0),"",ROUND(Q37/R37*100,1))</f>
        <v/>
      </c>
      <c r="T37">
        <f>IF($A37="","",IFERROR(INDEX(Papers!$I$2:$I$12,MATCH($C37,Papers!$A$2:$A$12,0)),""))</f>
        <v/>
      </c>
      <c r="U37">
        <f>IF($A37="","",IFERROR(SUMPRODUCT((INDEX(SubMap!$B$2:$AE$12,MATCH($C37,SubMap!$A$2:$A$12,0),0)=5)*Attempts!$AR37:$BU37),0))</f>
        <v/>
      </c>
      <c r="V37">
        <f>IF($A37="","",IFERROR(COUNTIF(INDEX(SubMap!$B$2:$AE$12,MATCH($C37,SubMap!$A$2:$A$12,0),0),5),0))</f>
        <v/>
      </c>
      <c r="W37">
        <f>IF(OR($A37="",V37=0),"",ROUND(U37/V37*100,1))</f>
        <v/>
      </c>
      <c r="X37">
        <f>IF($A37="","",IFERROR(INDEX(Papers!$J$2:$J$12,MATCH($C37,Papers!$A$2:$A$12,0)),""))</f>
        <v/>
      </c>
      <c r="Y37">
        <f>IF($A37="","",IFERROR(SUMPRODUCT((INDEX(SubMap!$B$2:$AE$12,MATCH($C37,SubMap!$A$2:$A$12,0),0)=6)*Attempts!$AR37:$BU37),0))</f>
        <v/>
      </c>
      <c r="Z37">
        <f>IF($A37="","",IFERROR(COUNTIF(INDEX(SubMap!$B$2:$AE$12,MATCH($C37,SubMap!$A$2:$A$12,0),0),6),0))</f>
        <v/>
      </c>
      <c r="AA37">
        <f>IF(OR($A37="",Z37=0),"",ROUND(Y37/Z37*100,1))</f>
        <v/>
      </c>
      <c r="AB37">
        <f>IF($A37="","",IFERROR(INDEX(CHOOSE({1,2,3,4,5,6},D37,H37,L37,P37,T37,X37),MATCH(MIN(G37,K37,O37,S37,W37,AA37),CHOOSE({1,2,3,4,5,6},G37,K37,O37,S37,W37,AA37),0)),""))</f>
        <v/>
      </c>
      <c r="AC37">
        <f>IF($A37="","",IF(COUNT(G37,K37,O37,S37,W37,AA37)=0,"",MIN(G37,K37,O37,S37,W37,AA37)))</f>
        <v/>
      </c>
      <c r="AD37">
        <f>IF($A37="","",IFERROR(INDEX(CHOOSE({1,2,3,4,5,6},IFERROR(INDEX(Papers!$K$2:$K$12,MATCH($C37,Papers!$A$2:$A$12,0)),""),IFERROR(INDEX(Papers!$L$2:$L$12,MATCH($C37,Papers!$A$2:$A$12,0)),""),IFERROR(INDEX(Papers!$M$2:$M$12,MATCH($C37,Papers!$A$2:$A$12,0)),""),IFERROR(INDEX(Papers!$N$2:$N$12,MATCH($C37,Papers!$A$2:$A$12,0)),""),IFERROR(INDEX(Papers!$O$2:$O$12,MATCH($C37,Papers!$A$2:$A$12,0)),""),IFERROR(INDEX(Papers!$P$2:$P$12,MATCH($C37,Papers!$A$2:$A$12,0)),"")),MATCH(MIN(G37,K37,O37,S37,W37,AA37),CHOOSE({1,2,3,4,5,6},G37,K37,O37,S37,W37,AA37),0)),""))</f>
        <v/>
      </c>
      <c r="AE37">
        <f>IF(AC37="","",IF(AC37&lt;50,"Re-teach",IF(AC37&lt;75,"Practice more","Relatively secure")))</f>
        <v/>
      </c>
    </row>
    <row r="38">
      <c r="A38">
        <f>IF(Attempts!A38="","",Attempts!A38)</f>
        <v/>
      </c>
      <c r="B38">
        <f>IF(Attempts!A38="","",Attempts!B38)</f>
        <v/>
      </c>
      <c r="C38">
        <f>IF(Attempts!A38="","",Attempts!D38)</f>
        <v/>
      </c>
      <c r="D38">
        <f>IF($A38="","",IFERROR(INDEX(Papers!$E$2:$E$12,MATCH($C38,Papers!$A$2:$A$12,0)),""))</f>
        <v/>
      </c>
      <c r="E38">
        <f>IF($A38="","",IFERROR(SUMPRODUCT((INDEX(SubMap!$B$2:$AE$12,MATCH($C38,SubMap!$A$2:$A$12,0),0)=1)*Attempts!$AR38:$BU38),0))</f>
        <v/>
      </c>
      <c r="F38">
        <f>IF($A38="","",IFERROR(COUNTIF(INDEX(SubMap!$B$2:$AE$12,MATCH($C38,SubMap!$A$2:$A$12,0),0),1),0))</f>
        <v/>
      </c>
      <c r="G38">
        <f>IF(OR($A38="",F38=0),"",ROUND(E38/F38*100,1))</f>
        <v/>
      </c>
      <c r="H38">
        <f>IF($A38="","",IFERROR(INDEX(Papers!$F$2:$F$12,MATCH($C38,Papers!$A$2:$A$12,0)),""))</f>
        <v/>
      </c>
      <c r="I38">
        <f>IF($A38="","",IFERROR(SUMPRODUCT((INDEX(SubMap!$B$2:$AE$12,MATCH($C38,SubMap!$A$2:$A$12,0),0)=2)*Attempts!$AR38:$BU38),0))</f>
        <v/>
      </c>
      <c r="J38">
        <f>IF($A38="","",IFERROR(COUNTIF(INDEX(SubMap!$B$2:$AE$12,MATCH($C38,SubMap!$A$2:$A$12,0),0),2),0))</f>
        <v/>
      </c>
      <c r="K38">
        <f>IF(OR($A38="",J38=0),"",ROUND(I38/J38*100,1))</f>
        <v/>
      </c>
      <c r="L38">
        <f>IF($A38="","",IFERROR(INDEX(Papers!$G$2:$G$12,MATCH($C38,Papers!$A$2:$A$12,0)),""))</f>
        <v/>
      </c>
      <c r="M38">
        <f>IF($A38="","",IFERROR(SUMPRODUCT((INDEX(SubMap!$B$2:$AE$12,MATCH($C38,SubMap!$A$2:$A$12,0),0)=3)*Attempts!$AR38:$BU38),0))</f>
        <v/>
      </c>
      <c r="N38">
        <f>IF($A38="","",IFERROR(COUNTIF(INDEX(SubMap!$B$2:$AE$12,MATCH($C38,SubMap!$A$2:$A$12,0),0),3),0))</f>
        <v/>
      </c>
      <c r="O38">
        <f>IF(OR($A38="",N38=0),"",ROUND(M38/N38*100,1))</f>
        <v/>
      </c>
      <c r="P38">
        <f>IF($A38="","",IFERROR(INDEX(Papers!$H$2:$H$12,MATCH($C38,Papers!$A$2:$A$12,0)),""))</f>
        <v/>
      </c>
      <c r="Q38">
        <f>IF($A38="","",IFERROR(SUMPRODUCT((INDEX(SubMap!$B$2:$AE$12,MATCH($C38,SubMap!$A$2:$A$12,0),0)=4)*Attempts!$AR38:$BU38),0))</f>
        <v/>
      </c>
      <c r="R38">
        <f>IF($A38="","",IFERROR(COUNTIF(INDEX(SubMap!$B$2:$AE$12,MATCH($C38,SubMap!$A$2:$A$12,0),0),4),0))</f>
        <v/>
      </c>
      <c r="S38">
        <f>IF(OR($A38="",R38=0),"",ROUND(Q38/R38*100,1))</f>
        <v/>
      </c>
      <c r="T38">
        <f>IF($A38="","",IFERROR(INDEX(Papers!$I$2:$I$12,MATCH($C38,Papers!$A$2:$A$12,0)),""))</f>
        <v/>
      </c>
      <c r="U38">
        <f>IF($A38="","",IFERROR(SUMPRODUCT((INDEX(SubMap!$B$2:$AE$12,MATCH($C38,SubMap!$A$2:$A$12,0),0)=5)*Attempts!$AR38:$BU38),0))</f>
        <v/>
      </c>
      <c r="V38">
        <f>IF($A38="","",IFERROR(COUNTIF(INDEX(SubMap!$B$2:$AE$12,MATCH($C38,SubMap!$A$2:$A$12,0),0),5),0))</f>
        <v/>
      </c>
      <c r="W38">
        <f>IF(OR($A38="",V38=0),"",ROUND(U38/V38*100,1))</f>
        <v/>
      </c>
      <c r="X38">
        <f>IF($A38="","",IFERROR(INDEX(Papers!$J$2:$J$12,MATCH($C38,Papers!$A$2:$A$12,0)),""))</f>
        <v/>
      </c>
      <c r="Y38">
        <f>IF($A38="","",IFERROR(SUMPRODUCT((INDEX(SubMap!$B$2:$AE$12,MATCH($C38,SubMap!$A$2:$A$12,0),0)=6)*Attempts!$AR38:$BU38),0))</f>
        <v/>
      </c>
      <c r="Z38">
        <f>IF($A38="","",IFERROR(COUNTIF(INDEX(SubMap!$B$2:$AE$12,MATCH($C38,SubMap!$A$2:$A$12,0),0),6),0))</f>
        <v/>
      </c>
      <c r="AA38">
        <f>IF(OR($A38="",Z38=0),"",ROUND(Y38/Z38*100,1))</f>
        <v/>
      </c>
      <c r="AB38">
        <f>IF($A38="","",IFERROR(INDEX(CHOOSE({1,2,3,4,5,6},D38,H38,L38,P38,T38,X38),MATCH(MIN(G38,K38,O38,S38,W38,AA38),CHOOSE({1,2,3,4,5,6},G38,K38,O38,S38,W38,AA38),0)),""))</f>
        <v/>
      </c>
      <c r="AC38">
        <f>IF($A38="","",IF(COUNT(G38,K38,O38,S38,W38,AA38)=0,"",MIN(G38,K38,O38,S38,W38,AA38)))</f>
        <v/>
      </c>
      <c r="AD38">
        <f>IF($A38="","",IFERROR(INDEX(CHOOSE({1,2,3,4,5,6},IFERROR(INDEX(Papers!$K$2:$K$12,MATCH($C38,Papers!$A$2:$A$12,0)),""),IFERROR(INDEX(Papers!$L$2:$L$12,MATCH($C38,Papers!$A$2:$A$12,0)),""),IFERROR(INDEX(Papers!$M$2:$M$12,MATCH($C38,Papers!$A$2:$A$12,0)),""),IFERROR(INDEX(Papers!$N$2:$N$12,MATCH($C38,Papers!$A$2:$A$12,0)),""),IFERROR(INDEX(Papers!$O$2:$O$12,MATCH($C38,Papers!$A$2:$A$12,0)),""),IFERROR(INDEX(Papers!$P$2:$P$12,MATCH($C38,Papers!$A$2:$A$12,0)),"")),MATCH(MIN(G38,K38,O38,S38,W38,AA38),CHOOSE({1,2,3,4,5,6},G38,K38,O38,S38,W38,AA38),0)),""))</f>
        <v/>
      </c>
      <c r="AE38">
        <f>IF(AC38="","",IF(AC38&lt;50,"Re-teach",IF(AC38&lt;75,"Practice more","Relatively secure")))</f>
        <v/>
      </c>
    </row>
    <row r="39">
      <c r="A39">
        <f>IF(Attempts!A39="","",Attempts!A39)</f>
        <v/>
      </c>
      <c r="B39">
        <f>IF(Attempts!A39="","",Attempts!B39)</f>
        <v/>
      </c>
      <c r="C39">
        <f>IF(Attempts!A39="","",Attempts!D39)</f>
        <v/>
      </c>
      <c r="D39">
        <f>IF($A39="","",IFERROR(INDEX(Papers!$E$2:$E$12,MATCH($C39,Papers!$A$2:$A$12,0)),""))</f>
        <v/>
      </c>
      <c r="E39">
        <f>IF($A39="","",IFERROR(SUMPRODUCT((INDEX(SubMap!$B$2:$AE$12,MATCH($C39,SubMap!$A$2:$A$12,0),0)=1)*Attempts!$AR39:$BU39),0))</f>
        <v/>
      </c>
      <c r="F39">
        <f>IF($A39="","",IFERROR(COUNTIF(INDEX(SubMap!$B$2:$AE$12,MATCH($C39,SubMap!$A$2:$A$12,0),0),1),0))</f>
        <v/>
      </c>
      <c r="G39">
        <f>IF(OR($A39="",F39=0),"",ROUND(E39/F39*100,1))</f>
        <v/>
      </c>
      <c r="H39">
        <f>IF($A39="","",IFERROR(INDEX(Papers!$F$2:$F$12,MATCH($C39,Papers!$A$2:$A$12,0)),""))</f>
        <v/>
      </c>
      <c r="I39">
        <f>IF($A39="","",IFERROR(SUMPRODUCT((INDEX(SubMap!$B$2:$AE$12,MATCH($C39,SubMap!$A$2:$A$12,0),0)=2)*Attempts!$AR39:$BU39),0))</f>
        <v/>
      </c>
      <c r="J39">
        <f>IF($A39="","",IFERROR(COUNTIF(INDEX(SubMap!$B$2:$AE$12,MATCH($C39,SubMap!$A$2:$A$12,0),0),2),0))</f>
        <v/>
      </c>
      <c r="K39">
        <f>IF(OR($A39="",J39=0),"",ROUND(I39/J39*100,1))</f>
        <v/>
      </c>
      <c r="L39">
        <f>IF($A39="","",IFERROR(INDEX(Papers!$G$2:$G$12,MATCH($C39,Papers!$A$2:$A$12,0)),""))</f>
        <v/>
      </c>
      <c r="M39">
        <f>IF($A39="","",IFERROR(SUMPRODUCT((INDEX(SubMap!$B$2:$AE$12,MATCH($C39,SubMap!$A$2:$A$12,0),0)=3)*Attempts!$AR39:$BU39),0))</f>
        <v/>
      </c>
      <c r="N39">
        <f>IF($A39="","",IFERROR(COUNTIF(INDEX(SubMap!$B$2:$AE$12,MATCH($C39,SubMap!$A$2:$A$12,0),0),3),0))</f>
        <v/>
      </c>
      <c r="O39">
        <f>IF(OR($A39="",N39=0),"",ROUND(M39/N39*100,1))</f>
        <v/>
      </c>
      <c r="P39">
        <f>IF($A39="","",IFERROR(INDEX(Papers!$H$2:$H$12,MATCH($C39,Papers!$A$2:$A$12,0)),""))</f>
        <v/>
      </c>
      <c r="Q39">
        <f>IF($A39="","",IFERROR(SUMPRODUCT((INDEX(SubMap!$B$2:$AE$12,MATCH($C39,SubMap!$A$2:$A$12,0),0)=4)*Attempts!$AR39:$BU39),0))</f>
        <v/>
      </c>
      <c r="R39">
        <f>IF($A39="","",IFERROR(COUNTIF(INDEX(SubMap!$B$2:$AE$12,MATCH($C39,SubMap!$A$2:$A$12,0),0),4),0))</f>
        <v/>
      </c>
      <c r="S39">
        <f>IF(OR($A39="",R39=0),"",ROUND(Q39/R39*100,1))</f>
        <v/>
      </c>
      <c r="T39">
        <f>IF($A39="","",IFERROR(INDEX(Papers!$I$2:$I$12,MATCH($C39,Papers!$A$2:$A$12,0)),""))</f>
        <v/>
      </c>
      <c r="U39">
        <f>IF($A39="","",IFERROR(SUMPRODUCT((INDEX(SubMap!$B$2:$AE$12,MATCH($C39,SubMap!$A$2:$A$12,0),0)=5)*Attempts!$AR39:$BU39),0))</f>
        <v/>
      </c>
      <c r="V39">
        <f>IF($A39="","",IFERROR(COUNTIF(INDEX(SubMap!$B$2:$AE$12,MATCH($C39,SubMap!$A$2:$A$12,0),0),5),0))</f>
        <v/>
      </c>
      <c r="W39">
        <f>IF(OR($A39="",V39=0),"",ROUND(U39/V39*100,1))</f>
        <v/>
      </c>
      <c r="X39">
        <f>IF($A39="","",IFERROR(INDEX(Papers!$J$2:$J$12,MATCH($C39,Papers!$A$2:$A$12,0)),""))</f>
        <v/>
      </c>
      <c r="Y39">
        <f>IF($A39="","",IFERROR(SUMPRODUCT((INDEX(SubMap!$B$2:$AE$12,MATCH($C39,SubMap!$A$2:$A$12,0),0)=6)*Attempts!$AR39:$BU39),0))</f>
        <v/>
      </c>
      <c r="Z39">
        <f>IF($A39="","",IFERROR(COUNTIF(INDEX(SubMap!$B$2:$AE$12,MATCH($C39,SubMap!$A$2:$A$12,0),0),6),0))</f>
        <v/>
      </c>
      <c r="AA39">
        <f>IF(OR($A39="",Z39=0),"",ROUND(Y39/Z39*100,1))</f>
        <v/>
      </c>
      <c r="AB39">
        <f>IF($A39="","",IFERROR(INDEX(CHOOSE({1,2,3,4,5,6},D39,H39,L39,P39,T39,X39),MATCH(MIN(G39,K39,O39,S39,W39,AA39),CHOOSE({1,2,3,4,5,6},G39,K39,O39,S39,W39,AA39),0)),""))</f>
        <v/>
      </c>
      <c r="AC39">
        <f>IF($A39="","",IF(COUNT(G39,K39,O39,S39,W39,AA39)=0,"",MIN(G39,K39,O39,S39,W39,AA39)))</f>
        <v/>
      </c>
      <c r="AD39">
        <f>IF($A39="","",IFERROR(INDEX(CHOOSE({1,2,3,4,5,6},IFERROR(INDEX(Papers!$K$2:$K$12,MATCH($C39,Papers!$A$2:$A$12,0)),""),IFERROR(INDEX(Papers!$L$2:$L$12,MATCH($C39,Papers!$A$2:$A$12,0)),""),IFERROR(INDEX(Papers!$M$2:$M$12,MATCH($C39,Papers!$A$2:$A$12,0)),""),IFERROR(INDEX(Papers!$N$2:$N$12,MATCH($C39,Papers!$A$2:$A$12,0)),""),IFERROR(INDEX(Papers!$O$2:$O$12,MATCH($C39,Papers!$A$2:$A$12,0)),""),IFERROR(INDEX(Papers!$P$2:$P$12,MATCH($C39,Papers!$A$2:$A$12,0)),"")),MATCH(MIN(G39,K39,O39,S39,W39,AA39),CHOOSE({1,2,3,4,5,6},G39,K39,O39,S39,W39,AA39),0)),""))</f>
        <v/>
      </c>
      <c r="AE39">
        <f>IF(AC39="","",IF(AC39&lt;50,"Re-teach",IF(AC39&lt;75,"Practice more","Relatively secure")))</f>
        <v/>
      </c>
    </row>
    <row r="40">
      <c r="A40">
        <f>IF(Attempts!A40="","",Attempts!A40)</f>
        <v/>
      </c>
      <c r="B40">
        <f>IF(Attempts!A40="","",Attempts!B40)</f>
        <v/>
      </c>
      <c r="C40">
        <f>IF(Attempts!A40="","",Attempts!D40)</f>
        <v/>
      </c>
      <c r="D40">
        <f>IF($A40="","",IFERROR(INDEX(Papers!$E$2:$E$12,MATCH($C40,Papers!$A$2:$A$12,0)),""))</f>
        <v/>
      </c>
      <c r="E40">
        <f>IF($A40="","",IFERROR(SUMPRODUCT((INDEX(SubMap!$B$2:$AE$12,MATCH($C40,SubMap!$A$2:$A$12,0),0)=1)*Attempts!$AR40:$BU40),0))</f>
        <v/>
      </c>
      <c r="F40">
        <f>IF($A40="","",IFERROR(COUNTIF(INDEX(SubMap!$B$2:$AE$12,MATCH($C40,SubMap!$A$2:$A$12,0),0),1),0))</f>
        <v/>
      </c>
      <c r="G40">
        <f>IF(OR($A40="",F40=0),"",ROUND(E40/F40*100,1))</f>
        <v/>
      </c>
      <c r="H40">
        <f>IF($A40="","",IFERROR(INDEX(Papers!$F$2:$F$12,MATCH($C40,Papers!$A$2:$A$12,0)),""))</f>
        <v/>
      </c>
      <c r="I40">
        <f>IF($A40="","",IFERROR(SUMPRODUCT((INDEX(SubMap!$B$2:$AE$12,MATCH($C40,SubMap!$A$2:$A$12,0),0)=2)*Attempts!$AR40:$BU40),0))</f>
        <v/>
      </c>
      <c r="J40">
        <f>IF($A40="","",IFERROR(COUNTIF(INDEX(SubMap!$B$2:$AE$12,MATCH($C40,SubMap!$A$2:$A$12,0),0),2),0))</f>
        <v/>
      </c>
      <c r="K40">
        <f>IF(OR($A40="",J40=0),"",ROUND(I40/J40*100,1))</f>
        <v/>
      </c>
      <c r="L40">
        <f>IF($A40="","",IFERROR(INDEX(Papers!$G$2:$G$12,MATCH($C40,Papers!$A$2:$A$12,0)),""))</f>
        <v/>
      </c>
      <c r="M40">
        <f>IF($A40="","",IFERROR(SUMPRODUCT((INDEX(SubMap!$B$2:$AE$12,MATCH($C40,SubMap!$A$2:$A$12,0),0)=3)*Attempts!$AR40:$BU40),0))</f>
        <v/>
      </c>
      <c r="N40">
        <f>IF($A40="","",IFERROR(COUNTIF(INDEX(SubMap!$B$2:$AE$12,MATCH($C40,SubMap!$A$2:$A$12,0),0),3),0))</f>
        <v/>
      </c>
      <c r="O40">
        <f>IF(OR($A40="",N40=0),"",ROUND(M40/N40*100,1))</f>
        <v/>
      </c>
      <c r="P40">
        <f>IF($A40="","",IFERROR(INDEX(Papers!$H$2:$H$12,MATCH($C40,Papers!$A$2:$A$12,0)),""))</f>
        <v/>
      </c>
      <c r="Q40">
        <f>IF($A40="","",IFERROR(SUMPRODUCT((INDEX(SubMap!$B$2:$AE$12,MATCH($C40,SubMap!$A$2:$A$12,0),0)=4)*Attempts!$AR40:$BU40),0))</f>
        <v/>
      </c>
      <c r="R40">
        <f>IF($A40="","",IFERROR(COUNTIF(INDEX(SubMap!$B$2:$AE$12,MATCH($C40,SubMap!$A$2:$A$12,0),0),4),0))</f>
        <v/>
      </c>
      <c r="S40">
        <f>IF(OR($A40="",R40=0),"",ROUND(Q40/R40*100,1))</f>
        <v/>
      </c>
      <c r="T40">
        <f>IF($A40="","",IFERROR(INDEX(Papers!$I$2:$I$12,MATCH($C40,Papers!$A$2:$A$12,0)),""))</f>
        <v/>
      </c>
      <c r="U40">
        <f>IF($A40="","",IFERROR(SUMPRODUCT((INDEX(SubMap!$B$2:$AE$12,MATCH($C40,SubMap!$A$2:$A$12,0),0)=5)*Attempts!$AR40:$BU40),0))</f>
        <v/>
      </c>
      <c r="V40">
        <f>IF($A40="","",IFERROR(COUNTIF(INDEX(SubMap!$B$2:$AE$12,MATCH($C40,SubMap!$A$2:$A$12,0),0),5),0))</f>
        <v/>
      </c>
      <c r="W40">
        <f>IF(OR($A40="",V40=0),"",ROUND(U40/V40*100,1))</f>
        <v/>
      </c>
      <c r="X40">
        <f>IF($A40="","",IFERROR(INDEX(Papers!$J$2:$J$12,MATCH($C40,Papers!$A$2:$A$12,0)),""))</f>
        <v/>
      </c>
      <c r="Y40">
        <f>IF($A40="","",IFERROR(SUMPRODUCT((INDEX(SubMap!$B$2:$AE$12,MATCH($C40,SubMap!$A$2:$A$12,0),0)=6)*Attempts!$AR40:$BU40),0))</f>
        <v/>
      </c>
      <c r="Z40">
        <f>IF($A40="","",IFERROR(COUNTIF(INDEX(SubMap!$B$2:$AE$12,MATCH($C40,SubMap!$A$2:$A$12,0),0),6),0))</f>
        <v/>
      </c>
      <c r="AA40">
        <f>IF(OR($A40="",Z40=0),"",ROUND(Y40/Z40*100,1))</f>
        <v/>
      </c>
      <c r="AB40">
        <f>IF($A40="","",IFERROR(INDEX(CHOOSE({1,2,3,4,5,6},D40,H40,L40,P40,T40,X40),MATCH(MIN(G40,K40,O40,S40,W40,AA40),CHOOSE({1,2,3,4,5,6},G40,K40,O40,S40,W40,AA40),0)),""))</f>
        <v/>
      </c>
      <c r="AC40">
        <f>IF($A40="","",IF(COUNT(G40,K40,O40,S40,W40,AA40)=0,"",MIN(G40,K40,O40,S40,W40,AA40)))</f>
        <v/>
      </c>
      <c r="AD40">
        <f>IF($A40="","",IFERROR(INDEX(CHOOSE({1,2,3,4,5,6},IFERROR(INDEX(Papers!$K$2:$K$12,MATCH($C40,Papers!$A$2:$A$12,0)),""),IFERROR(INDEX(Papers!$L$2:$L$12,MATCH($C40,Papers!$A$2:$A$12,0)),""),IFERROR(INDEX(Papers!$M$2:$M$12,MATCH($C40,Papers!$A$2:$A$12,0)),""),IFERROR(INDEX(Papers!$N$2:$N$12,MATCH($C40,Papers!$A$2:$A$12,0)),""),IFERROR(INDEX(Papers!$O$2:$O$12,MATCH($C40,Papers!$A$2:$A$12,0)),""),IFERROR(INDEX(Papers!$P$2:$P$12,MATCH($C40,Papers!$A$2:$A$12,0)),"")),MATCH(MIN(G40,K40,O40,S40,W40,AA40),CHOOSE({1,2,3,4,5,6},G40,K40,O40,S40,W40,AA40),0)),""))</f>
        <v/>
      </c>
      <c r="AE40">
        <f>IF(AC40="","",IF(AC40&lt;50,"Re-teach",IF(AC40&lt;75,"Practice more","Relatively secure")))</f>
        <v/>
      </c>
    </row>
    <row r="41">
      <c r="A41">
        <f>IF(Attempts!A41="","",Attempts!A41)</f>
        <v/>
      </c>
      <c r="B41">
        <f>IF(Attempts!A41="","",Attempts!B41)</f>
        <v/>
      </c>
      <c r="C41">
        <f>IF(Attempts!A41="","",Attempts!D41)</f>
        <v/>
      </c>
      <c r="D41">
        <f>IF($A41="","",IFERROR(INDEX(Papers!$E$2:$E$12,MATCH($C41,Papers!$A$2:$A$12,0)),""))</f>
        <v/>
      </c>
      <c r="E41">
        <f>IF($A41="","",IFERROR(SUMPRODUCT((INDEX(SubMap!$B$2:$AE$12,MATCH($C41,SubMap!$A$2:$A$12,0),0)=1)*Attempts!$AR41:$BU41),0))</f>
        <v/>
      </c>
      <c r="F41">
        <f>IF($A41="","",IFERROR(COUNTIF(INDEX(SubMap!$B$2:$AE$12,MATCH($C41,SubMap!$A$2:$A$12,0),0),1),0))</f>
        <v/>
      </c>
      <c r="G41">
        <f>IF(OR($A41="",F41=0),"",ROUND(E41/F41*100,1))</f>
        <v/>
      </c>
      <c r="H41">
        <f>IF($A41="","",IFERROR(INDEX(Papers!$F$2:$F$12,MATCH($C41,Papers!$A$2:$A$12,0)),""))</f>
        <v/>
      </c>
      <c r="I41">
        <f>IF($A41="","",IFERROR(SUMPRODUCT((INDEX(SubMap!$B$2:$AE$12,MATCH($C41,SubMap!$A$2:$A$12,0),0)=2)*Attempts!$AR41:$BU41),0))</f>
        <v/>
      </c>
      <c r="J41">
        <f>IF($A41="","",IFERROR(COUNTIF(INDEX(SubMap!$B$2:$AE$12,MATCH($C41,SubMap!$A$2:$A$12,0),0),2),0))</f>
        <v/>
      </c>
      <c r="K41">
        <f>IF(OR($A41="",J41=0),"",ROUND(I41/J41*100,1))</f>
        <v/>
      </c>
      <c r="L41">
        <f>IF($A41="","",IFERROR(INDEX(Papers!$G$2:$G$12,MATCH($C41,Papers!$A$2:$A$12,0)),""))</f>
        <v/>
      </c>
      <c r="M41">
        <f>IF($A41="","",IFERROR(SUMPRODUCT((INDEX(SubMap!$B$2:$AE$12,MATCH($C41,SubMap!$A$2:$A$12,0),0)=3)*Attempts!$AR41:$BU41),0))</f>
        <v/>
      </c>
      <c r="N41">
        <f>IF($A41="","",IFERROR(COUNTIF(INDEX(SubMap!$B$2:$AE$12,MATCH($C41,SubMap!$A$2:$A$12,0),0),3),0))</f>
        <v/>
      </c>
      <c r="O41">
        <f>IF(OR($A41="",N41=0),"",ROUND(M41/N41*100,1))</f>
        <v/>
      </c>
      <c r="P41">
        <f>IF($A41="","",IFERROR(INDEX(Papers!$H$2:$H$12,MATCH($C41,Papers!$A$2:$A$12,0)),""))</f>
        <v/>
      </c>
      <c r="Q41">
        <f>IF($A41="","",IFERROR(SUMPRODUCT((INDEX(SubMap!$B$2:$AE$12,MATCH($C41,SubMap!$A$2:$A$12,0),0)=4)*Attempts!$AR41:$BU41),0))</f>
        <v/>
      </c>
      <c r="R41">
        <f>IF($A41="","",IFERROR(COUNTIF(INDEX(SubMap!$B$2:$AE$12,MATCH($C41,SubMap!$A$2:$A$12,0),0),4),0))</f>
        <v/>
      </c>
      <c r="S41">
        <f>IF(OR($A41="",R41=0),"",ROUND(Q41/R41*100,1))</f>
        <v/>
      </c>
      <c r="T41">
        <f>IF($A41="","",IFERROR(INDEX(Papers!$I$2:$I$12,MATCH($C41,Papers!$A$2:$A$12,0)),""))</f>
        <v/>
      </c>
      <c r="U41">
        <f>IF($A41="","",IFERROR(SUMPRODUCT((INDEX(SubMap!$B$2:$AE$12,MATCH($C41,SubMap!$A$2:$A$12,0),0)=5)*Attempts!$AR41:$BU41),0))</f>
        <v/>
      </c>
      <c r="V41">
        <f>IF($A41="","",IFERROR(COUNTIF(INDEX(SubMap!$B$2:$AE$12,MATCH($C41,SubMap!$A$2:$A$12,0),0),5),0))</f>
        <v/>
      </c>
      <c r="W41">
        <f>IF(OR($A41="",V41=0),"",ROUND(U41/V41*100,1))</f>
        <v/>
      </c>
      <c r="X41">
        <f>IF($A41="","",IFERROR(INDEX(Papers!$J$2:$J$12,MATCH($C41,Papers!$A$2:$A$12,0)),""))</f>
        <v/>
      </c>
      <c r="Y41">
        <f>IF($A41="","",IFERROR(SUMPRODUCT((INDEX(SubMap!$B$2:$AE$12,MATCH($C41,SubMap!$A$2:$A$12,0),0)=6)*Attempts!$AR41:$BU41),0))</f>
        <v/>
      </c>
      <c r="Z41">
        <f>IF($A41="","",IFERROR(COUNTIF(INDEX(SubMap!$B$2:$AE$12,MATCH($C41,SubMap!$A$2:$A$12,0),0),6),0))</f>
        <v/>
      </c>
      <c r="AA41">
        <f>IF(OR($A41="",Z41=0),"",ROUND(Y41/Z41*100,1))</f>
        <v/>
      </c>
      <c r="AB41">
        <f>IF($A41="","",IFERROR(INDEX(CHOOSE({1,2,3,4,5,6},D41,H41,L41,P41,T41,X41),MATCH(MIN(G41,K41,O41,S41,W41,AA41),CHOOSE({1,2,3,4,5,6},G41,K41,O41,S41,W41,AA41),0)),""))</f>
        <v/>
      </c>
      <c r="AC41">
        <f>IF($A41="","",IF(COUNT(G41,K41,O41,S41,W41,AA41)=0,"",MIN(G41,K41,O41,S41,W41,AA41)))</f>
        <v/>
      </c>
      <c r="AD41">
        <f>IF($A41="","",IFERROR(INDEX(CHOOSE({1,2,3,4,5,6},IFERROR(INDEX(Papers!$K$2:$K$12,MATCH($C41,Papers!$A$2:$A$12,0)),""),IFERROR(INDEX(Papers!$L$2:$L$12,MATCH($C41,Papers!$A$2:$A$12,0)),""),IFERROR(INDEX(Papers!$M$2:$M$12,MATCH($C41,Papers!$A$2:$A$12,0)),""),IFERROR(INDEX(Papers!$N$2:$N$12,MATCH($C41,Papers!$A$2:$A$12,0)),""),IFERROR(INDEX(Papers!$O$2:$O$12,MATCH($C41,Papers!$A$2:$A$12,0)),""),IFERROR(INDEX(Papers!$P$2:$P$12,MATCH($C41,Papers!$A$2:$A$12,0)),"")),MATCH(MIN(G41,K41,O41,S41,W41,AA41),CHOOSE({1,2,3,4,5,6},G41,K41,O41,S41,W41,AA41),0)),""))</f>
        <v/>
      </c>
      <c r="AE41">
        <f>IF(AC41="","",IF(AC41&lt;50,"Re-teach",IF(AC41&lt;75,"Practice more","Relatively secure")))</f>
        <v/>
      </c>
    </row>
    <row r="42">
      <c r="A42">
        <f>IF(Attempts!A42="","",Attempts!A42)</f>
        <v/>
      </c>
      <c r="B42">
        <f>IF(Attempts!A42="","",Attempts!B42)</f>
        <v/>
      </c>
      <c r="C42">
        <f>IF(Attempts!A42="","",Attempts!D42)</f>
        <v/>
      </c>
      <c r="D42">
        <f>IF($A42="","",IFERROR(INDEX(Papers!$E$2:$E$12,MATCH($C42,Papers!$A$2:$A$12,0)),""))</f>
        <v/>
      </c>
      <c r="E42">
        <f>IF($A42="","",IFERROR(SUMPRODUCT((INDEX(SubMap!$B$2:$AE$12,MATCH($C42,SubMap!$A$2:$A$12,0),0)=1)*Attempts!$AR42:$BU42),0))</f>
        <v/>
      </c>
      <c r="F42">
        <f>IF($A42="","",IFERROR(COUNTIF(INDEX(SubMap!$B$2:$AE$12,MATCH($C42,SubMap!$A$2:$A$12,0),0),1),0))</f>
        <v/>
      </c>
      <c r="G42">
        <f>IF(OR($A42="",F42=0),"",ROUND(E42/F42*100,1))</f>
        <v/>
      </c>
      <c r="H42">
        <f>IF($A42="","",IFERROR(INDEX(Papers!$F$2:$F$12,MATCH($C42,Papers!$A$2:$A$12,0)),""))</f>
        <v/>
      </c>
      <c r="I42">
        <f>IF($A42="","",IFERROR(SUMPRODUCT((INDEX(SubMap!$B$2:$AE$12,MATCH($C42,SubMap!$A$2:$A$12,0),0)=2)*Attempts!$AR42:$BU42),0))</f>
        <v/>
      </c>
      <c r="J42">
        <f>IF($A42="","",IFERROR(COUNTIF(INDEX(SubMap!$B$2:$AE$12,MATCH($C42,SubMap!$A$2:$A$12,0),0),2),0))</f>
        <v/>
      </c>
      <c r="K42">
        <f>IF(OR($A42="",J42=0),"",ROUND(I42/J42*100,1))</f>
        <v/>
      </c>
      <c r="L42">
        <f>IF($A42="","",IFERROR(INDEX(Papers!$G$2:$G$12,MATCH($C42,Papers!$A$2:$A$12,0)),""))</f>
        <v/>
      </c>
      <c r="M42">
        <f>IF($A42="","",IFERROR(SUMPRODUCT((INDEX(SubMap!$B$2:$AE$12,MATCH($C42,SubMap!$A$2:$A$12,0),0)=3)*Attempts!$AR42:$BU42),0))</f>
        <v/>
      </c>
      <c r="N42">
        <f>IF($A42="","",IFERROR(COUNTIF(INDEX(SubMap!$B$2:$AE$12,MATCH($C42,SubMap!$A$2:$A$12,0),0),3),0))</f>
        <v/>
      </c>
      <c r="O42">
        <f>IF(OR($A42="",N42=0),"",ROUND(M42/N42*100,1))</f>
        <v/>
      </c>
      <c r="P42">
        <f>IF($A42="","",IFERROR(INDEX(Papers!$H$2:$H$12,MATCH($C42,Papers!$A$2:$A$12,0)),""))</f>
        <v/>
      </c>
      <c r="Q42">
        <f>IF($A42="","",IFERROR(SUMPRODUCT((INDEX(SubMap!$B$2:$AE$12,MATCH($C42,SubMap!$A$2:$A$12,0),0)=4)*Attempts!$AR42:$BU42),0))</f>
        <v/>
      </c>
      <c r="R42">
        <f>IF($A42="","",IFERROR(COUNTIF(INDEX(SubMap!$B$2:$AE$12,MATCH($C42,SubMap!$A$2:$A$12,0),0),4),0))</f>
        <v/>
      </c>
      <c r="S42">
        <f>IF(OR($A42="",R42=0),"",ROUND(Q42/R42*100,1))</f>
        <v/>
      </c>
      <c r="T42">
        <f>IF($A42="","",IFERROR(INDEX(Papers!$I$2:$I$12,MATCH($C42,Papers!$A$2:$A$12,0)),""))</f>
        <v/>
      </c>
      <c r="U42">
        <f>IF($A42="","",IFERROR(SUMPRODUCT((INDEX(SubMap!$B$2:$AE$12,MATCH($C42,SubMap!$A$2:$A$12,0),0)=5)*Attempts!$AR42:$BU42),0))</f>
        <v/>
      </c>
      <c r="V42">
        <f>IF($A42="","",IFERROR(COUNTIF(INDEX(SubMap!$B$2:$AE$12,MATCH($C42,SubMap!$A$2:$A$12,0),0),5),0))</f>
        <v/>
      </c>
      <c r="W42">
        <f>IF(OR($A42="",V42=0),"",ROUND(U42/V42*100,1))</f>
        <v/>
      </c>
      <c r="X42">
        <f>IF($A42="","",IFERROR(INDEX(Papers!$J$2:$J$12,MATCH($C42,Papers!$A$2:$A$12,0)),""))</f>
        <v/>
      </c>
      <c r="Y42">
        <f>IF($A42="","",IFERROR(SUMPRODUCT((INDEX(SubMap!$B$2:$AE$12,MATCH($C42,SubMap!$A$2:$A$12,0),0)=6)*Attempts!$AR42:$BU42),0))</f>
        <v/>
      </c>
      <c r="Z42">
        <f>IF($A42="","",IFERROR(COUNTIF(INDEX(SubMap!$B$2:$AE$12,MATCH($C42,SubMap!$A$2:$A$12,0),0),6),0))</f>
        <v/>
      </c>
      <c r="AA42">
        <f>IF(OR($A42="",Z42=0),"",ROUND(Y42/Z42*100,1))</f>
        <v/>
      </c>
      <c r="AB42">
        <f>IF($A42="","",IFERROR(INDEX(CHOOSE({1,2,3,4,5,6},D42,H42,L42,P42,T42,X42),MATCH(MIN(G42,K42,O42,S42,W42,AA42),CHOOSE({1,2,3,4,5,6},G42,K42,O42,S42,W42,AA42),0)),""))</f>
        <v/>
      </c>
      <c r="AC42">
        <f>IF($A42="","",IF(COUNT(G42,K42,O42,S42,W42,AA42)=0,"",MIN(G42,K42,O42,S42,W42,AA42)))</f>
        <v/>
      </c>
      <c r="AD42">
        <f>IF($A42="","",IFERROR(INDEX(CHOOSE({1,2,3,4,5,6},IFERROR(INDEX(Papers!$K$2:$K$12,MATCH($C42,Papers!$A$2:$A$12,0)),""),IFERROR(INDEX(Papers!$L$2:$L$12,MATCH($C42,Papers!$A$2:$A$12,0)),""),IFERROR(INDEX(Papers!$M$2:$M$12,MATCH($C42,Papers!$A$2:$A$12,0)),""),IFERROR(INDEX(Papers!$N$2:$N$12,MATCH($C42,Papers!$A$2:$A$12,0)),""),IFERROR(INDEX(Papers!$O$2:$O$12,MATCH($C42,Papers!$A$2:$A$12,0)),""),IFERROR(INDEX(Papers!$P$2:$P$12,MATCH($C42,Papers!$A$2:$A$12,0)),"")),MATCH(MIN(G42,K42,O42,S42,W42,AA42),CHOOSE({1,2,3,4,5,6},G42,K42,O42,S42,W42,AA42),0)),""))</f>
        <v/>
      </c>
      <c r="AE42">
        <f>IF(AC42="","",IF(AC42&lt;50,"Re-teach",IF(AC42&lt;75,"Practice more","Relatively secure")))</f>
        <v/>
      </c>
    </row>
    <row r="43">
      <c r="A43">
        <f>IF(Attempts!A43="","",Attempts!A43)</f>
        <v/>
      </c>
      <c r="B43">
        <f>IF(Attempts!A43="","",Attempts!B43)</f>
        <v/>
      </c>
      <c r="C43">
        <f>IF(Attempts!A43="","",Attempts!D43)</f>
        <v/>
      </c>
      <c r="D43">
        <f>IF($A43="","",IFERROR(INDEX(Papers!$E$2:$E$12,MATCH($C43,Papers!$A$2:$A$12,0)),""))</f>
        <v/>
      </c>
      <c r="E43">
        <f>IF($A43="","",IFERROR(SUMPRODUCT((INDEX(SubMap!$B$2:$AE$12,MATCH($C43,SubMap!$A$2:$A$12,0),0)=1)*Attempts!$AR43:$BU43),0))</f>
        <v/>
      </c>
      <c r="F43">
        <f>IF($A43="","",IFERROR(COUNTIF(INDEX(SubMap!$B$2:$AE$12,MATCH($C43,SubMap!$A$2:$A$12,0),0),1),0))</f>
        <v/>
      </c>
      <c r="G43">
        <f>IF(OR($A43="",F43=0),"",ROUND(E43/F43*100,1))</f>
        <v/>
      </c>
      <c r="H43">
        <f>IF($A43="","",IFERROR(INDEX(Papers!$F$2:$F$12,MATCH($C43,Papers!$A$2:$A$12,0)),""))</f>
        <v/>
      </c>
      <c r="I43">
        <f>IF($A43="","",IFERROR(SUMPRODUCT((INDEX(SubMap!$B$2:$AE$12,MATCH($C43,SubMap!$A$2:$A$12,0),0)=2)*Attempts!$AR43:$BU43),0))</f>
        <v/>
      </c>
      <c r="J43">
        <f>IF($A43="","",IFERROR(COUNTIF(INDEX(SubMap!$B$2:$AE$12,MATCH($C43,SubMap!$A$2:$A$12,0),0),2),0))</f>
        <v/>
      </c>
      <c r="K43">
        <f>IF(OR($A43="",J43=0),"",ROUND(I43/J43*100,1))</f>
        <v/>
      </c>
      <c r="L43">
        <f>IF($A43="","",IFERROR(INDEX(Papers!$G$2:$G$12,MATCH($C43,Papers!$A$2:$A$12,0)),""))</f>
        <v/>
      </c>
      <c r="M43">
        <f>IF($A43="","",IFERROR(SUMPRODUCT((INDEX(SubMap!$B$2:$AE$12,MATCH($C43,SubMap!$A$2:$A$12,0),0)=3)*Attempts!$AR43:$BU43),0))</f>
        <v/>
      </c>
      <c r="N43">
        <f>IF($A43="","",IFERROR(COUNTIF(INDEX(SubMap!$B$2:$AE$12,MATCH($C43,SubMap!$A$2:$A$12,0),0),3),0))</f>
        <v/>
      </c>
      <c r="O43">
        <f>IF(OR($A43="",N43=0),"",ROUND(M43/N43*100,1))</f>
        <v/>
      </c>
      <c r="P43">
        <f>IF($A43="","",IFERROR(INDEX(Papers!$H$2:$H$12,MATCH($C43,Papers!$A$2:$A$12,0)),""))</f>
        <v/>
      </c>
      <c r="Q43">
        <f>IF($A43="","",IFERROR(SUMPRODUCT((INDEX(SubMap!$B$2:$AE$12,MATCH($C43,SubMap!$A$2:$A$12,0),0)=4)*Attempts!$AR43:$BU43),0))</f>
        <v/>
      </c>
      <c r="R43">
        <f>IF($A43="","",IFERROR(COUNTIF(INDEX(SubMap!$B$2:$AE$12,MATCH($C43,SubMap!$A$2:$A$12,0),0),4),0))</f>
        <v/>
      </c>
      <c r="S43">
        <f>IF(OR($A43="",R43=0),"",ROUND(Q43/R43*100,1))</f>
        <v/>
      </c>
      <c r="T43">
        <f>IF($A43="","",IFERROR(INDEX(Papers!$I$2:$I$12,MATCH($C43,Papers!$A$2:$A$12,0)),""))</f>
        <v/>
      </c>
      <c r="U43">
        <f>IF($A43="","",IFERROR(SUMPRODUCT((INDEX(SubMap!$B$2:$AE$12,MATCH($C43,SubMap!$A$2:$A$12,0),0)=5)*Attempts!$AR43:$BU43),0))</f>
        <v/>
      </c>
      <c r="V43">
        <f>IF($A43="","",IFERROR(COUNTIF(INDEX(SubMap!$B$2:$AE$12,MATCH($C43,SubMap!$A$2:$A$12,0),0),5),0))</f>
        <v/>
      </c>
      <c r="W43">
        <f>IF(OR($A43="",V43=0),"",ROUND(U43/V43*100,1))</f>
        <v/>
      </c>
      <c r="X43">
        <f>IF($A43="","",IFERROR(INDEX(Papers!$J$2:$J$12,MATCH($C43,Papers!$A$2:$A$12,0)),""))</f>
        <v/>
      </c>
      <c r="Y43">
        <f>IF($A43="","",IFERROR(SUMPRODUCT((INDEX(SubMap!$B$2:$AE$12,MATCH($C43,SubMap!$A$2:$A$12,0),0)=6)*Attempts!$AR43:$BU43),0))</f>
        <v/>
      </c>
      <c r="Z43">
        <f>IF($A43="","",IFERROR(COUNTIF(INDEX(SubMap!$B$2:$AE$12,MATCH($C43,SubMap!$A$2:$A$12,0),0),6),0))</f>
        <v/>
      </c>
      <c r="AA43">
        <f>IF(OR($A43="",Z43=0),"",ROUND(Y43/Z43*100,1))</f>
        <v/>
      </c>
      <c r="AB43">
        <f>IF($A43="","",IFERROR(INDEX(CHOOSE({1,2,3,4,5,6},D43,H43,L43,P43,T43,X43),MATCH(MIN(G43,K43,O43,S43,W43,AA43),CHOOSE({1,2,3,4,5,6},G43,K43,O43,S43,W43,AA43),0)),""))</f>
        <v/>
      </c>
      <c r="AC43">
        <f>IF($A43="","",IF(COUNT(G43,K43,O43,S43,W43,AA43)=0,"",MIN(G43,K43,O43,S43,W43,AA43)))</f>
        <v/>
      </c>
      <c r="AD43">
        <f>IF($A43="","",IFERROR(INDEX(CHOOSE({1,2,3,4,5,6},IFERROR(INDEX(Papers!$K$2:$K$12,MATCH($C43,Papers!$A$2:$A$12,0)),""),IFERROR(INDEX(Papers!$L$2:$L$12,MATCH($C43,Papers!$A$2:$A$12,0)),""),IFERROR(INDEX(Papers!$M$2:$M$12,MATCH($C43,Papers!$A$2:$A$12,0)),""),IFERROR(INDEX(Papers!$N$2:$N$12,MATCH($C43,Papers!$A$2:$A$12,0)),""),IFERROR(INDEX(Papers!$O$2:$O$12,MATCH($C43,Papers!$A$2:$A$12,0)),""),IFERROR(INDEX(Papers!$P$2:$P$12,MATCH($C43,Papers!$A$2:$A$12,0)),"")),MATCH(MIN(G43,K43,O43,S43,W43,AA43),CHOOSE({1,2,3,4,5,6},G43,K43,O43,S43,W43,AA43),0)),""))</f>
        <v/>
      </c>
      <c r="AE43">
        <f>IF(AC43="","",IF(AC43&lt;50,"Re-teach",IF(AC43&lt;75,"Practice more","Relatively secure")))</f>
        <v/>
      </c>
    </row>
    <row r="44">
      <c r="A44">
        <f>IF(Attempts!A44="","",Attempts!A44)</f>
        <v/>
      </c>
      <c r="B44">
        <f>IF(Attempts!A44="","",Attempts!B44)</f>
        <v/>
      </c>
      <c r="C44">
        <f>IF(Attempts!A44="","",Attempts!D44)</f>
        <v/>
      </c>
      <c r="D44">
        <f>IF($A44="","",IFERROR(INDEX(Papers!$E$2:$E$12,MATCH($C44,Papers!$A$2:$A$12,0)),""))</f>
        <v/>
      </c>
      <c r="E44">
        <f>IF($A44="","",IFERROR(SUMPRODUCT((INDEX(SubMap!$B$2:$AE$12,MATCH($C44,SubMap!$A$2:$A$12,0),0)=1)*Attempts!$AR44:$BU44),0))</f>
        <v/>
      </c>
      <c r="F44">
        <f>IF($A44="","",IFERROR(COUNTIF(INDEX(SubMap!$B$2:$AE$12,MATCH($C44,SubMap!$A$2:$A$12,0),0),1),0))</f>
        <v/>
      </c>
      <c r="G44">
        <f>IF(OR($A44="",F44=0),"",ROUND(E44/F44*100,1))</f>
        <v/>
      </c>
      <c r="H44">
        <f>IF($A44="","",IFERROR(INDEX(Papers!$F$2:$F$12,MATCH($C44,Papers!$A$2:$A$12,0)),""))</f>
        <v/>
      </c>
      <c r="I44">
        <f>IF($A44="","",IFERROR(SUMPRODUCT((INDEX(SubMap!$B$2:$AE$12,MATCH($C44,SubMap!$A$2:$A$12,0),0)=2)*Attempts!$AR44:$BU44),0))</f>
        <v/>
      </c>
      <c r="J44">
        <f>IF($A44="","",IFERROR(COUNTIF(INDEX(SubMap!$B$2:$AE$12,MATCH($C44,SubMap!$A$2:$A$12,0),0),2),0))</f>
        <v/>
      </c>
      <c r="K44">
        <f>IF(OR($A44="",J44=0),"",ROUND(I44/J44*100,1))</f>
        <v/>
      </c>
      <c r="L44">
        <f>IF($A44="","",IFERROR(INDEX(Papers!$G$2:$G$12,MATCH($C44,Papers!$A$2:$A$12,0)),""))</f>
        <v/>
      </c>
      <c r="M44">
        <f>IF($A44="","",IFERROR(SUMPRODUCT((INDEX(SubMap!$B$2:$AE$12,MATCH($C44,SubMap!$A$2:$A$12,0),0)=3)*Attempts!$AR44:$BU44),0))</f>
        <v/>
      </c>
      <c r="N44">
        <f>IF($A44="","",IFERROR(COUNTIF(INDEX(SubMap!$B$2:$AE$12,MATCH($C44,SubMap!$A$2:$A$12,0),0),3),0))</f>
        <v/>
      </c>
      <c r="O44">
        <f>IF(OR($A44="",N44=0),"",ROUND(M44/N44*100,1))</f>
        <v/>
      </c>
      <c r="P44">
        <f>IF($A44="","",IFERROR(INDEX(Papers!$H$2:$H$12,MATCH($C44,Papers!$A$2:$A$12,0)),""))</f>
        <v/>
      </c>
      <c r="Q44">
        <f>IF($A44="","",IFERROR(SUMPRODUCT((INDEX(SubMap!$B$2:$AE$12,MATCH($C44,SubMap!$A$2:$A$12,0),0)=4)*Attempts!$AR44:$BU44),0))</f>
        <v/>
      </c>
      <c r="R44">
        <f>IF($A44="","",IFERROR(COUNTIF(INDEX(SubMap!$B$2:$AE$12,MATCH($C44,SubMap!$A$2:$A$12,0),0),4),0))</f>
        <v/>
      </c>
      <c r="S44">
        <f>IF(OR($A44="",R44=0),"",ROUND(Q44/R44*100,1))</f>
        <v/>
      </c>
      <c r="T44">
        <f>IF($A44="","",IFERROR(INDEX(Papers!$I$2:$I$12,MATCH($C44,Papers!$A$2:$A$12,0)),""))</f>
        <v/>
      </c>
      <c r="U44">
        <f>IF($A44="","",IFERROR(SUMPRODUCT((INDEX(SubMap!$B$2:$AE$12,MATCH($C44,SubMap!$A$2:$A$12,0),0)=5)*Attempts!$AR44:$BU44),0))</f>
        <v/>
      </c>
      <c r="V44">
        <f>IF($A44="","",IFERROR(COUNTIF(INDEX(SubMap!$B$2:$AE$12,MATCH($C44,SubMap!$A$2:$A$12,0),0),5),0))</f>
        <v/>
      </c>
      <c r="W44">
        <f>IF(OR($A44="",V44=0),"",ROUND(U44/V44*100,1))</f>
        <v/>
      </c>
      <c r="X44">
        <f>IF($A44="","",IFERROR(INDEX(Papers!$J$2:$J$12,MATCH($C44,Papers!$A$2:$A$12,0)),""))</f>
        <v/>
      </c>
      <c r="Y44">
        <f>IF($A44="","",IFERROR(SUMPRODUCT((INDEX(SubMap!$B$2:$AE$12,MATCH($C44,SubMap!$A$2:$A$12,0),0)=6)*Attempts!$AR44:$BU44),0))</f>
        <v/>
      </c>
      <c r="Z44">
        <f>IF($A44="","",IFERROR(COUNTIF(INDEX(SubMap!$B$2:$AE$12,MATCH($C44,SubMap!$A$2:$A$12,0),0),6),0))</f>
        <v/>
      </c>
      <c r="AA44">
        <f>IF(OR($A44="",Z44=0),"",ROUND(Y44/Z44*100,1))</f>
        <v/>
      </c>
      <c r="AB44">
        <f>IF($A44="","",IFERROR(INDEX(CHOOSE({1,2,3,4,5,6},D44,H44,L44,P44,T44,X44),MATCH(MIN(G44,K44,O44,S44,W44,AA44),CHOOSE({1,2,3,4,5,6},G44,K44,O44,S44,W44,AA44),0)),""))</f>
        <v/>
      </c>
      <c r="AC44">
        <f>IF($A44="","",IF(COUNT(G44,K44,O44,S44,W44,AA44)=0,"",MIN(G44,K44,O44,S44,W44,AA44)))</f>
        <v/>
      </c>
      <c r="AD44">
        <f>IF($A44="","",IFERROR(INDEX(CHOOSE({1,2,3,4,5,6},IFERROR(INDEX(Papers!$K$2:$K$12,MATCH($C44,Papers!$A$2:$A$12,0)),""),IFERROR(INDEX(Papers!$L$2:$L$12,MATCH($C44,Papers!$A$2:$A$12,0)),""),IFERROR(INDEX(Papers!$M$2:$M$12,MATCH($C44,Papers!$A$2:$A$12,0)),""),IFERROR(INDEX(Papers!$N$2:$N$12,MATCH($C44,Papers!$A$2:$A$12,0)),""),IFERROR(INDEX(Papers!$O$2:$O$12,MATCH($C44,Papers!$A$2:$A$12,0)),""),IFERROR(INDEX(Papers!$P$2:$P$12,MATCH($C44,Papers!$A$2:$A$12,0)),"")),MATCH(MIN(G44,K44,O44,S44,W44,AA44),CHOOSE({1,2,3,4,5,6},G44,K44,O44,S44,W44,AA44),0)),""))</f>
        <v/>
      </c>
      <c r="AE44">
        <f>IF(AC44="","",IF(AC44&lt;50,"Re-teach",IF(AC44&lt;75,"Practice more","Relatively secure")))</f>
        <v/>
      </c>
    </row>
    <row r="45">
      <c r="A45">
        <f>IF(Attempts!A45="","",Attempts!A45)</f>
        <v/>
      </c>
      <c r="B45">
        <f>IF(Attempts!A45="","",Attempts!B45)</f>
        <v/>
      </c>
      <c r="C45">
        <f>IF(Attempts!A45="","",Attempts!D45)</f>
        <v/>
      </c>
      <c r="D45">
        <f>IF($A45="","",IFERROR(INDEX(Papers!$E$2:$E$12,MATCH($C45,Papers!$A$2:$A$12,0)),""))</f>
        <v/>
      </c>
      <c r="E45">
        <f>IF($A45="","",IFERROR(SUMPRODUCT((INDEX(SubMap!$B$2:$AE$12,MATCH($C45,SubMap!$A$2:$A$12,0),0)=1)*Attempts!$AR45:$BU45),0))</f>
        <v/>
      </c>
      <c r="F45">
        <f>IF($A45="","",IFERROR(COUNTIF(INDEX(SubMap!$B$2:$AE$12,MATCH($C45,SubMap!$A$2:$A$12,0),0),1),0))</f>
        <v/>
      </c>
      <c r="G45">
        <f>IF(OR($A45="",F45=0),"",ROUND(E45/F45*100,1))</f>
        <v/>
      </c>
      <c r="H45">
        <f>IF($A45="","",IFERROR(INDEX(Papers!$F$2:$F$12,MATCH($C45,Papers!$A$2:$A$12,0)),""))</f>
        <v/>
      </c>
      <c r="I45">
        <f>IF($A45="","",IFERROR(SUMPRODUCT((INDEX(SubMap!$B$2:$AE$12,MATCH($C45,SubMap!$A$2:$A$12,0),0)=2)*Attempts!$AR45:$BU45),0))</f>
        <v/>
      </c>
      <c r="J45">
        <f>IF($A45="","",IFERROR(COUNTIF(INDEX(SubMap!$B$2:$AE$12,MATCH($C45,SubMap!$A$2:$A$12,0),0),2),0))</f>
        <v/>
      </c>
      <c r="K45">
        <f>IF(OR($A45="",J45=0),"",ROUND(I45/J45*100,1))</f>
        <v/>
      </c>
      <c r="L45">
        <f>IF($A45="","",IFERROR(INDEX(Papers!$G$2:$G$12,MATCH($C45,Papers!$A$2:$A$12,0)),""))</f>
        <v/>
      </c>
      <c r="M45">
        <f>IF($A45="","",IFERROR(SUMPRODUCT((INDEX(SubMap!$B$2:$AE$12,MATCH($C45,SubMap!$A$2:$A$12,0),0)=3)*Attempts!$AR45:$BU45),0))</f>
        <v/>
      </c>
      <c r="N45">
        <f>IF($A45="","",IFERROR(COUNTIF(INDEX(SubMap!$B$2:$AE$12,MATCH($C45,SubMap!$A$2:$A$12,0),0),3),0))</f>
        <v/>
      </c>
      <c r="O45">
        <f>IF(OR($A45="",N45=0),"",ROUND(M45/N45*100,1))</f>
        <v/>
      </c>
      <c r="P45">
        <f>IF($A45="","",IFERROR(INDEX(Papers!$H$2:$H$12,MATCH($C45,Papers!$A$2:$A$12,0)),""))</f>
        <v/>
      </c>
      <c r="Q45">
        <f>IF($A45="","",IFERROR(SUMPRODUCT((INDEX(SubMap!$B$2:$AE$12,MATCH($C45,SubMap!$A$2:$A$12,0),0)=4)*Attempts!$AR45:$BU45),0))</f>
        <v/>
      </c>
      <c r="R45">
        <f>IF($A45="","",IFERROR(COUNTIF(INDEX(SubMap!$B$2:$AE$12,MATCH($C45,SubMap!$A$2:$A$12,0),0),4),0))</f>
        <v/>
      </c>
      <c r="S45">
        <f>IF(OR($A45="",R45=0),"",ROUND(Q45/R45*100,1))</f>
        <v/>
      </c>
      <c r="T45">
        <f>IF($A45="","",IFERROR(INDEX(Papers!$I$2:$I$12,MATCH($C45,Papers!$A$2:$A$12,0)),""))</f>
        <v/>
      </c>
      <c r="U45">
        <f>IF($A45="","",IFERROR(SUMPRODUCT((INDEX(SubMap!$B$2:$AE$12,MATCH($C45,SubMap!$A$2:$A$12,0),0)=5)*Attempts!$AR45:$BU45),0))</f>
        <v/>
      </c>
      <c r="V45">
        <f>IF($A45="","",IFERROR(COUNTIF(INDEX(SubMap!$B$2:$AE$12,MATCH($C45,SubMap!$A$2:$A$12,0),0),5),0))</f>
        <v/>
      </c>
      <c r="W45">
        <f>IF(OR($A45="",V45=0),"",ROUND(U45/V45*100,1))</f>
        <v/>
      </c>
      <c r="X45">
        <f>IF($A45="","",IFERROR(INDEX(Papers!$J$2:$J$12,MATCH($C45,Papers!$A$2:$A$12,0)),""))</f>
        <v/>
      </c>
      <c r="Y45">
        <f>IF($A45="","",IFERROR(SUMPRODUCT((INDEX(SubMap!$B$2:$AE$12,MATCH($C45,SubMap!$A$2:$A$12,0),0)=6)*Attempts!$AR45:$BU45),0))</f>
        <v/>
      </c>
      <c r="Z45">
        <f>IF($A45="","",IFERROR(COUNTIF(INDEX(SubMap!$B$2:$AE$12,MATCH($C45,SubMap!$A$2:$A$12,0),0),6),0))</f>
        <v/>
      </c>
      <c r="AA45">
        <f>IF(OR($A45="",Z45=0),"",ROUND(Y45/Z45*100,1))</f>
        <v/>
      </c>
      <c r="AB45">
        <f>IF($A45="","",IFERROR(INDEX(CHOOSE({1,2,3,4,5,6},D45,H45,L45,P45,T45,X45),MATCH(MIN(G45,K45,O45,S45,W45,AA45),CHOOSE({1,2,3,4,5,6},G45,K45,O45,S45,W45,AA45),0)),""))</f>
        <v/>
      </c>
      <c r="AC45">
        <f>IF($A45="","",IF(COUNT(G45,K45,O45,S45,W45,AA45)=0,"",MIN(G45,K45,O45,S45,W45,AA45)))</f>
        <v/>
      </c>
      <c r="AD45">
        <f>IF($A45="","",IFERROR(INDEX(CHOOSE({1,2,3,4,5,6},IFERROR(INDEX(Papers!$K$2:$K$12,MATCH($C45,Papers!$A$2:$A$12,0)),""),IFERROR(INDEX(Papers!$L$2:$L$12,MATCH($C45,Papers!$A$2:$A$12,0)),""),IFERROR(INDEX(Papers!$M$2:$M$12,MATCH($C45,Papers!$A$2:$A$12,0)),""),IFERROR(INDEX(Papers!$N$2:$N$12,MATCH($C45,Papers!$A$2:$A$12,0)),""),IFERROR(INDEX(Papers!$O$2:$O$12,MATCH($C45,Papers!$A$2:$A$12,0)),""),IFERROR(INDEX(Papers!$P$2:$P$12,MATCH($C45,Papers!$A$2:$A$12,0)),"")),MATCH(MIN(G45,K45,O45,S45,W45,AA45),CHOOSE({1,2,3,4,5,6},G45,K45,O45,S45,W45,AA45),0)),""))</f>
        <v/>
      </c>
      <c r="AE45">
        <f>IF(AC45="","",IF(AC45&lt;50,"Re-teach",IF(AC45&lt;75,"Practice more","Relatively secure")))</f>
        <v/>
      </c>
    </row>
    <row r="46">
      <c r="A46">
        <f>IF(Attempts!A46="","",Attempts!A46)</f>
        <v/>
      </c>
      <c r="B46">
        <f>IF(Attempts!A46="","",Attempts!B46)</f>
        <v/>
      </c>
      <c r="C46">
        <f>IF(Attempts!A46="","",Attempts!D46)</f>
        <v/>
      </c>
      <c r="D46">
        <f>IF($A46="","",IFERROR(INDEX(Papers!$E$2:$E$12,MATCH($C46,Papers!$A$2:$A$12,0)),""))</f>
        <v/>
      </c>
      <c r="E46">
        <f>IF($A46="","",IFERROR(SUMPRODUCT((INDEX(SubMap!$B$2:$AE$12,MATCH($C46,SubMap!$A$2:$A$12,0),0)=1)*Attempts!$AR46:$BU46),0))</f>
        <v/>
      </c>
      <c r="F46">
        <f>IF($A46="","",IFERROR(COUNTIF(INDEX(SubMap!$B$2:$AE$12,MATCH($C46,SubMap!$A$2:$A$12,0),0),1),0))</f>
        <v/>
      </c>
      <c r="G46">
        <f>IF(OR($A46="",F46=0),"",ROUND(E46/F46*100,1))</f>
        <v/>
      </c>
      <c r="H46">
        <f>IF($A46="","",IFERROR(INDEX(Papers!$F$2:$F$12,MATCH($C46,Papers!$A$2:$A$12,0)),""))</f>
        <v/>
      </c>
      <c r="I46">
        <f>IF($A46="","",IFERROR(SUMPRODUCT((INDEX(SubMap!$B$2:$AE$12,MATCH($C46,SubMap!$A$2:$A$12,0),0)=2)*Attempts!$AR46:$BU46),0))</f>
        <v/>
      </c>
      <c r="J46">
        <f>IF($A46="","",IFERROR(COUNTIF(INDEX(SubMap!$B$2:$AE$12,MATCH($C46,SubMap!$A$2:$A$12,0),0),2),0))</f>
        <v/>
      </c>
      <c r="K46">
        <f>IF(OR($A46="",J46=0),"",ROUND(I46/J46*100,1))</f>
        <v/>
      </c>
      <c r="L46">
        <f>IF($A46="","",IFERROR(INDEX(Papers!$G$2:$G$12,MATCH($C46,Papers!$A$2:$A$12,0)),""))</f>
        <v/>
      </c>
      <c r="M46">
        <f>IF($A46="","",IFERROR(SUMPRODUCT((INDEX(SubMap!$B$2:$AE$12,MATCH($C46,SubMap!$A$2:$A$12,0),0)=3)*Attempts!$AR46:$BU46),0))</f>
        <v/>
      </c>
      <c r="N46">
        <f>IF($A46="","",IFERROR(COUNTIF(INDEX(SubMap!$B$2:$AE$12,MATCH($C46,SubMap!$A$2:$A$12,0),0),3),0))</f>
        <v/>
      </c>
      <c r="O46">
        <f>IF(OR($A46="",N46=0),"",ROUND(M46/N46*100,1))</f>
        <v/>
      </c>
      <c r="P46">
        <f>IF($A46="","",IFERROR(INDEX(Papers!$H$2:$H$12,MATCH($C46,Papers!$A$2:$A$12,0)),""))</f>
        <v/>
      </c>
      <c r="Q46">
        <f>IF($A46="","",IFERROR(SUMPRODUCT((INDEX(SubMap!$B$2:$AE$12,MATCH($C46,SubMap!$A$2:$A$12,0),0)=4)*Attempts!$AR46:$BU46),0))</f>
        <v/>
      </c>
      <c r="R46">
        <f>IF($A46="","",IFERROR(COUNTIF(INDEX(SubMap!$B$2:$AE$12,MATCH($C46,SubMap!$A$2:$A$12,0),0),4),0))</f>
        <v/>
      </c>
      <c r="S46">
        <f>IF(OR($A46="",R46=0),"",ROUND(Q46/R46*100,1))</f>
        <v/>
      </c>
      <c r="T46">
        <f>IF($A46="","",IFERROR(INDEX(Papers!$I$2:$I$12,MATCH($C46,Papers!$A$2:$A$12,0)),""))</f>
        <v/>
      </c>
      <c r="U46">
        <f>IF($A46="","",IFERROR(SUMPRODUCT((INDEX(SubMap!$B$2:$AE$12,MATCH($C46,SubMap!$A$2:$A$12,0),0)=5)*Attempts!$AR46:$BU46),0))</f>
        <v/>
      </c>
      <c r="V46">
        <f>IF($A46="","",IFERROR(COUNTIF(INDEX(SubMap!$B$2:$AE$12,MATCH($C46,SubMap!$A$2:$A$12,0),0),5),0))</f>
        <v/>
      </c>
      <c r="W46">
        <f>IF(OR($A46="",V46=0),"",ROUND(U46/V46*100,1))</f>
        <v/>
      </c>
      <c r="X46">
        <f>IF($A46="","",IFERROR(INDEX(Papers!$J$2:$J$12,MATCH($C46,Papers!$A$2:$A$12,0)),""))</f>
        <v/>
      </c>
      <c r="Y46">
        <f>IF($A46="","",IFERROR(SUMPRODUCT((INDEX(SubMap!$B$2:$AE$12,MATCH($C46,SubMap!$A$2:$A$12,0),0)=6)*Attempts!$AR46:$BU46),0))</f>
        <v/>
      </c>
      <c r="Z46">
        <f>IF($A46="","",IFERROR(COUNTIF(INDEX(SubMap!$B$2:$AE$12,MATCH($C46,SubMap!$A$2:$A$12,0),0),6),0))</f>
        <v/>
      </c>
      <c r="AA46">
        <f>IF(OR($A46="",Z46=0),"",ROUND(Y46/Z46*100,1))</f>
        <v/>
      </c>
      <c r="AB46">
        <f>IF($A46="","",IFERROR(INDEX(CHOOSE({1,2,3,4,5,6},D46,H46,L46,P46,T46,X46),MATCH(MIN(G46,K46,O46,S46,W46,AA46),CHOOSE({1,2,3,4,5,6},G46,K46,O46,S46,W46,AA46),0)),""))</f>
        <v/>
      </c>
      <c r="AC46">
        <f>IF($A46="","",IF(COUNT(G46,K46,O46,S46,W46,AA46)=0,"",MIN(G46,K46,O46,S46,W46,AA46)))</f>
        <v/>
      </c>
      <c r="AD46">
        <f>IF($A46="","",IFERROR(INDEX(CHOOSE({1,2,3,4,5,6},IFERROR(INDEX(Papers!$K$2:$K$12,MATCH($C46,Papers!$A$2:$A$12,0)),""),IFERROR(INDEX(Papers!$L$2:$L$12,MATCH($C46,Papers!$A$2:$A$12,0)),""),IFERROR(INDEX(Papers!$M$2:$M$12,MATCH($C46,Papers!$A$2:$A$12,0)),""),IFERROR(INDEX(Papers!$N$2:$N$12,MATCH($C46,Papers!$A$2:$A$12,0)),""),IFERROR(INDEX(Papers!$O$2:$O$12,MATCH($C46,Papers!$A$2:$A$12,0)),""),IFERROR(INDEX(Papers!$P$2:$P$12,MATCH($C46,Papers!$A$2:$A$12,0)),"")),MATCH(MIN(G46,K46,O46,S46,W46,AA46),CHOOSE({1,2,3,4,5,6},G46,K46,O46,S46,W46,AA46),0)),""))</f>
        <v/>
      </c>
      <c r="AE46">
        <f>IF(AC46="","",IF(AC46&lt;50,"Re-teach",IF(AC46&lt;75,"Practice more","Relatively secure")))</f>
        <v/>
      </c>
    </row>
    <row r="47">
      <c r="A47">
        <f>IF(Attempts!A47="","",Attempts!A47)</f>
        <v/>
      </c>
      <c r="B47">
        <f>IF(Attempts!A47="","",Attempts!B47)</f>
        <v/>
      </c>
      <c r="C47">
        <f>IF(Attempts!A47="","",Attempts!D47)</f>
        <v/>
      </c>
      <c r="D47">
        <f>IF($A47="","",IFERROR(INDEX(Papers!$E$2:$E$12,MATCH($C47,Papers!$A$2:$A$12,0)),""))</f>
        <v/>
      </c>
      <c r="E47">
        <f>IF($A47="","",IFERROR(SUMPRODUCT((INDEX(SubMap!$B$2:$AE$12,MATCH($C47,SubMap!$A$2:$A$12,0),0)=1)*Attempts!$AR47:$BU47),0))</f>
        <v/>
      </c>
      <c r="F47">
        <f>IF($A47="","",IFERROR(COUNTIF(INDEX(SubMap!$B$2:$AE$12,MATCH($C47,SubMap!$A$2:$A$12,0),0),1),0))</f>
        <v/>
      </c>
      <c r="G47">
        <f>IF(OR($A47="",F47=0),"",ROUND(E47/F47*100,1))</f>
        <v/>
      </c>
      <c r="H47">
        <f>IF($A47="","",IFERROR(INDEX(Papers!$F$2:$F$12,MATCH($C47,Papers!$A$2:$A$12,0)),""))</f>
        <v/>
      </c>
      <c r="I47">
        <f>IF($A47="","",IFERROR(SUMPRODUCT((INDEX(SubMap!$B$2:$AE$12,MATCH($C47,SubMap!$A$2:$A$12,0),0)=2)*Attempts!$AR47:$BU47),0))</f>
        <v/>
      </c>
      <c r="J47">
        <f>IF($A47="","",IFERROR(COUNTIF(INDEX(SubMap!$B$2:$AE$12,MATCH($C47,SubMap!$A$2:$A$12,0),0),2),0))</f>
        <v/>
      </c>
      <c r="K47">
        <f>IF(OR($A47="",J47=0),"",ROUND(I47/J47*100,1))</f>
        <v/>
      </c>
      <c r="L47">
        <f>IF($A47="","",IFERROR(INDEX(Papers!$G$2:$G$12,MATCH($C47,Papers!$A$2:$A$12,0)),""))</f>
        <v/>
      </c>
      <c r="M47">
        <f>IF($A47="","",IFERROR(SUMPRODUCT((INDEX(SubMap!$B$2:$AE$12,MATCH($C47,SubMap!$A$2:$A$12,0),0)=3)*Attempts!$AR47:$BU47),0))</f>
        <v/>
      </c>
      <c r="N47">
        <f>IF($A47="","",IFERROR(COUNTIF(INDEX(SubMap!$B$2:$AE$12,MATCH($C47,SubMap!$A$2:$A$12,0),0),3),0))</f>
        <v/>
      </c>
      <c r="O47">
        <f>IF(OR($A47="",N47=0),"",ROUND(M47/N47*100,1))</f>
        <v/>
      </c>
      <c r="P47">
        <f>IF($A47="","",IFERROR(INDEX(Papers!$H$2:$H$12,MATCH($C47,Papers!$A$2:$A$12,0)),""))</f>
        <v/>
      </c>
      <c r="Q47">
        <f>IF($A47="","",IFERROR(SUMPRODUCT((INDEX(SubMap!$B$2:$AE$12,MATCH($C47,SubMap!$A$2:$A$12,0),0)=4)*Attempts!$AR47:$BU47),0))</f>
        <v/>
      </c>
      <c r="R47">
        <f>IF($A47="","",IFERROR(COUNTIF(INDEX(SubMap!$B$2:$AE$12,MATCH($C47,SubMap!$A$2:$A$12,0),0),4),0))</f>
        <v/>
      </c>
      <c r="S47">
        <f>IF(OR($A47="",R47=0),"",ROUND(Q47/R47*100,1))</f>
        <v/>
      </c>
      <c r="T47">
        <f>IF($A47="","",IFERROR(INDEX(Papers!$I$2:$I$12,MATCH($C47,Papers!$A$2:$A$12,0)),""))</f>
        <v/>
      </c>
      <c r="U47">
        <f>IF($A47="","",IFERROR(SUMPRODUCT((INDEX(SubMap!$B$2:$AE$12,MATCH($C47,SubMap!$A$2:$A$12,0),0)=5)*Attempts!$AR47:$BU47),0))</f>
        <v/>
      </c>
      <c r="V47">
        <f>IF($A47="","",IFERROR(COUNTIF(INDEX(SubMap!$B$2:$AE$12,MATCH($C47,SubMap!$A$2:$A$12,0),0),5),0))</f>
        <v/>
      </c>
      <c r="W47">
        <f>IF(OR($A47="",V47=0),"",ROUND(U47/V47*100,1))</f>
        <v/>
      </c>
      <c r="X47">
        <f>IF($A47="","",IFERROR(INDEX(Papers!$J$2:$J$12,MATCH($C47,Papers!$A$2:$A$12,0)),""))</f>
        <v/>
      </c>
      <c r="Y47">
        <f>IF($A47="","",IFERROR(SUMPRODUCT((INDEX(SubMap!$B$2:$AE$12,MATCH($C47,SubMap!$A$2:$A$12,0),0)=6)*Attempts!$AR47:$BU47),0))</f>
        <v/>
      </c>
      <c r="Z47">
        <f>IF($A47="","",IFERROR(COUNTIF(INDEX(SubMap!$B$2:$AE$12,MATCH($C47,SubMap!$A$2:$A$12,0),0),6),0))</f>
        <v/>
      </c>
      <c r="AA47">
        <f>IF(OR($A47="",Z47=0),"",ROUND(Y47/Z47*100,1))</f>
        <v/>
      </c>
      <c r="AB47">
        <f>IF($A47="","",IFERROR(INDEX(CHOOSE({1,2,3,4,5,6},D47,H47,L47,P47,T47,X47),MATCH(MIN(G47,K47,O47,S47,W47,AA47),CHOOSE({1,2,3,4,5,6},G47,K47,O47,S47,W47,AA47),0)),""))</f>
        <v/>
      </c>
      <c r="AC47">
        <f>IF($A47="","",IF(COUNT(G47,K47,O47,S47,W47,AA47)=0,"",MIN(G47,K47,O47,S47,W47,AA47)))</f>
        <v/>
      </c>
      <c r="AD47">
        <f>IF($A47="","",IFERROR(INDEX(CHOOSE({1,2,3,4,5,6},IFERROR(INDEX(Papers!$K$2:$K$12,MATCH($C47,Papers!$A$2:$A$12,0)),""),IFERROR(INDEX(Papers!$L$2:$L$12,MATCH($C47,Papers!$A$2:$A$12,0)),""),IFERROR(INDEX(Papers!$M$2:$M$12,MATCH($C47,Papers!$A$2:$A$12,0)),""),IFERROR(INDEX(Papers!$N$2:$N$12,MATCH($C47,Papers!$A$2:$A$12,0)),""),IFERROR(INDEX(Papers!$O$2:$O$12,MATCH($C47,Papers!$A$2:$A$12,0)),""),IFERROR(INDEX(Papers!$P$2:$P$12,MATCH($C47,Papers!$A$2:$A$12,0)),"")),MATCH(MIN(G47,K47,O47,S47,W47,AA47),CHOOSE({1,2,3,4,5,6},G47,K47,O47,S47,W47,AA47),0)),""))</f>
        <v/>
      </c>
      <c r="AE47">
        <f>IF(AC47="","",IF(AC47&lt;50,"Re-teach",IF(AC47&lt;75,"Practice more","Relatively secure")))</f>
        <v/>
      </c>
    </row>
    <row r="48">
      <c r="A48">
        <f>IF(Attempts!A48="","",Attempts!A48)</f>
        <v/>
      </c>
      <c r="B48">
        <f>IF(Attempts!A48="","",Attempts!B48)</f>
        <v/>
      </c>
      <c r="C48">
        <f>IF(Attempts!A48="","",Attempts!D48)</f>
        <v/>
      </c>
      <c r="D48">
        <f>IF($A48="","",IFERROR(INDEX(Papers!$E$2:$E$12,MATCH($C48,Papers!$A$2:$A$12,0)),""))</f>
        <v/>
      </c>
      <c r="E48">
        <f>IF($A48="","",IFERROR(SUMPRODUCT((INDEX(SubMap!$B$2:$AE$12,MATCH($C48,SubMap!$A$2:$A$12,0),0)=1)*Attempts!$AR48:$BU48),0))</f>
        <v/>
      </c>
      <c r="F48">
        <f>IF($A48="","",IFERROR(COUNTIF(INDEX(SubMap!$B$2:$AE$12,MATCH($C48,SubMap!$A$2:$A$12,0),0),1),0))</f>
        <v/>
      </c>
      <c r="G48">
        <f>IF(OR($A48="",F48=0),"",ROUND(E48/F48*100,1))</f>
        <v/>
      </c>
      <c r="H48">
        <f>IF($A48="","",IFERROR(INDEX(Papers!$F$2:$F$12,MATCH($C48,Papers!$A$2:$A$12,0)),""))</f>
        <v/>
      </c>
      <c r="I48">
        <f>IF($A48="","",IFERROR(SUMPRODUCT((INDEX(SubMap!$B$2:$AE$12,MATCH($C48,SubMap!$A$2:$A$12,0),0)=2)*Attempts!$AR48:$BU48),0))</f>
        <v/>
      </c>
      <c r="J48">
        <f>IF($A48="","",IFERROR(COUNTIF(INDEX(SubMap!$B$2:$AE$12,MATCH($C48,SubMap!$A$2:$A$12,0),0),2),0))</f>
        <v/>
      </c>
      <c r="K48">
        <f>IF(OR($A48="",J48=0),"",ROUND(I48/J48*100,1))</f>
        <v/>
      </c>
      <c r="L48">
        <f>IF($A48="","",IFERROR(INDEX(Papers!$G$2:$G$12,MATCH($C48,Papers!$A$2:$A$12,0)),""))</f>
        <v/>
      </c>
      <c r="M48">
        <f>IF($A48="","",IFERROR(SUMPRODUCT((INDEX(SubMap!$B$2:$AE$12,MATCH($C48,SubMap!$A$2:$A$12,0),0)=3)*Attempts!$AR48:$BU48),0))</f>
        <v/>
      </c>
      <c r="N48">
        <f>IF($A48="","",IFERROR(COUNTIF(INDEX(SubMap!$B$2:$AE$12,MATCH($C48,SubMap!$A$2:$A$12,0),0),3),0))</f>
        <v/>
      </c>
      <c r="O48">
        <f>IF(OR($A48="",N48=0),"",ROUND(M48/N48*100,1))</f>
        <v/>
      </c>
      <c r="P48">
        <f>IF($A48="","",IFERROR(INDEX(Papers!$H$2:$H$12,MATCH($C48,Papers!$A$2:$A$12,0)),""))</f>
        <v/>
      </c>
      <c r="Q48">
        <f>IF($A48="","",IFERROR(SUMPRODUCT((INDEX(SubMap!$B$2:$AE$12,MATCH($C48,SubMap!$A$2:$A$12,0),0)=4)*Attempts!$AR48:$BU48),0))</f>
        <v/>
      </c>
      <c r="R48">
        <f>IF($A48="","",IFERROR(COUNTIF(INDEX(SubMap!$B$2:$AE$12,MATCH($C48,SubMap!$A$2:$A$12,0),0),4),0))</f>
        <v/>
      </c>
      <c r="S48">
        <f>IF(OR($A48="",R48=0),"",ROUND(Q48/R48*100,1))</f>
        <v/>
      </c>
      <c r="T48">
        <f>IF($A48="","",IFERROR(INDEX(Papers!$I$2:$I$12,MATCH($C48,Papers!$A$2:$A$12,0)),""))</f>
        <v/>
      </c>
      <c r="U48">
        <f>IF($A48="","",IFERROR(SUMPRODUCT((INDEX(SubMap!$B$2:$AE$12,MATCH($C48,SubMap!$A$2:$A$12,0),0)=5)*Attempts!$AR48:$BU48),0))</f>
        <v/>
      </c>
      <c r="V48">
        <f>IF($A48="","",IFERROR(COUNTIF(INDEX(SubMap!$B$2:$AE$12,MATCH($C48,SubMap!$A$2:$A$12,0),0),5),0))</f>
        <v/>
      </c>
      <c r="W48">
        <f>IF(OR($A48="",V48=0),"",ROUND(U48/V48*100,1))</f>
        <v/>
      </c>
      <c r="X48">
        <f>IF($A48="","",IFERROR(INDEX(Papers!$J$2:$J$12,MATCH($C48,Papers!$A$2:$A$12,0)),""))</f>
        <v/>
      </c>
      <c r="Y48">
        <f>IF($A48="","",IFERROR(SUMPRODUCT((INDEX(SubMap!$B$2:$AE$12,MATCH($C48,SubMap!$A$2:$A$12,0),0)=6)*Attempts!$AR48:$BU48),0))</f>
        <v/>
      </c>
      <c r="Z48">
        <f>IF($A48="","",IFERROR(COUNTIF(INDEX(SubMap!$B$2:$AE$12,MATCH($C48,SubMap!$A$2:$A$12,0),0),6),0))</f>
        <v/>
      </c>
      <c r="AA48">
        <f>IF(OR($A48="",Z48=0),"",ROUND(Y48/Z48*100,1))</f>
        <v/>
      </c>
      <c r="AB48">
        <f>IF($A48="","",IFERROR(INDEX(CHOOSE({1,2,3,4,5,6},D48,H48,L48,P48,T48,X48),MATCH(MIN(G48,K48,O48,S48,W48,AA48),CHOOSE({1,2,3,4,5,6},G48,K48,O48,S48,W48,AA48),0)),""))</f>
        <v/>
      </c>
      <c r="AC48">
        <f>IF($A48="","",IF(COUNT(G48,K48,O48,S48,W48,AA48)=0,"",MIN(G48,K48,O48,S48,W48,AA48)))</f>
        <v/>
      </c>
      <c r="AD48">
        <f>IF($A48="","",IFERROR(INDEX(CHOOSE({1,2,3,4,5,6},IFERROR(INDEX(Papers!$K$2:$K$12,MATCH($C48,Papers!$A$2:$A$12,0)),""),IFERROR(INDEX(Papers!$L$2:$L$12,MATCH($C48,Papers!$A$2:$A$12,0)),""),IFERROR(INDEX(Papers!$M$2:$M$12,MATCH($C48,Papers!$A$2:$A$12,0)),""),IFERROR(INDEX(Papers!$N$2:$N$12,MATCH($C48,Papers!$A$2:$A$12,0)),""),IFERROR(INDEX(Papers!$O$2:$O$12,MATCH($C48,Papers!$A$2:$A$12,0)),""),IFERROR(INDEX(Papers!$P$2:$P$12,MATCH($C48,Papers!$A$2:$A$12,0)),"")),MATCH(MIN(G48,K48,O48,S48,W48,AA48),CHOOSE({1,2,3,4,5,6},G48,K48,O48,S48,W48,AA48),0)),""))</f>
        <v/>
      </c>
      <c r="AE48">
        <f>IF(AC48="","",IF(AC48&lt;50,"Re-teach",IF(AC48&lt;75,"Practice more","Relatively secure")))</f>
        <v/>
      </c>
    </row>
    <row r="49">
      <c r="A49">
        <f>IF(Attempts!A49="","",Attempts!A49)</f>
        <v/>
      </c>
      <c r="B49">
        <f>IF(Attempts!A49="","",Attempts!B49)</f>
        <v/>
      </c>
      <c r="C49">
        <f>IF(Attempts!A49="","",Attempts!D49)</f>
        <v/>
      </c>
      <c r="D49">
        <f>IF($A49="","",IFERROR(INDEX(Papers!$E$2:$E$12,MATCH($C49,Papers!$A$2:$A$12,0)),""))</f>
        <v/>
      </c>
      <c r="E49">
        <f>IF($A49="","",IFERROR(SUMPRODUCT((INDEX(SubMap!$B$2:$AE$12,MATCH($C49,SubMap!$A$2:$A$12,0),0)=1)*Attempts!$AR49:$BU49),0))</f>
        <v/>
      </c>
      <c r="F49">
        <f>IF($A49="","",IFERROR(COUNTIF(INDEX(SubMap!$B$2:$AE$12,MATCH($C49,SubMap!$A$2:$A$12,0),0),1),0))</f>
        <v/>
      </c>
      <c r="G49">
        <f>IF(OR($A49="",F49=0),"",ROUND(E49/F49*100,1))</f>
        <v/>
      </c>
      <c r="H49">
        <f>IF($A49="","",IFERROR(INDEX(Papers!$F$2:$F$12,MATCH($C49,Papers!$A$2:$A$12,0)),""))</f>
        <v/>
      </c>
      <c r="I49">
        <f>IF($A49="","",IFERROR(SUMPRODUCT((INDEX(SubMap!$B$2:$AE$12,MATCH($C49,SubMap!$A$2:$A$12,0),0)=2)*Attempts!$AR49:$BU49),0))</f>
        <v/>
      </c>
      <c r="J49">
        <f>IF($A49="","",IFERROR(COUNTIF(INDEX(SubMap!$B$2:$AE$12,MATCH($C49,SubMap!$A$2:$A$12,0),0),2),0))</f>
        <v/>
      </c>
      <c r="K49">
        <f>IF(OR($A49="",J49=0),"",ROUND(I49/J49*100,1))</f>
        <v/>
      </c>
      <c r="L49">
        <f>IF($A49="","",IFERROR(INDEX(Papers!$G$2:$G$12,MATCH($C49,Papers!$A$2:$A$12,0)),""))</f>
        <v/>
      </c>
      <c r="M49">
        <f>IF($A49="","",IFERROR(SUMPRODUCT((INDEX(SubMap!$B$2:$AE$12,MATCH($C49,SubMap!$A$2:$A$12,0),0)=3)*Attempts!$AR49:$BU49),0))</f>
        <v/>
      </c>
      <c r="N49">
        <f>IF($A49="","",IFERROR(COUNTIF(INDEX(SubMap!$B$2:$AE$12,MATCH($C49,SubMap!$A$2:$A$12,0),0),3),0))</f>
        <v/>
      </c>
      <c r="O49">
        <f>IF(OR($A49="",N49=0),"",ROUND(M49/N49*100,1))</f>
        <v/>
      </c>
      <c r="P49">
        <f>IF($A49="","",IFERROR(INDEX(Papers!$H$2:$H$12,MATCH($C49,Papers!$A$2:$A$12,0)),""))</f>
        <v/>
      </c>
      <c r="Q49">
        <f>IF($A49="","",IFERROR(SUMPRODUCT((INDEX(SubMap!$B$2:$AE$12,MATCH($C49,SubMap!$A$2:$A$12,0),0)=4)*Attempts!$AR49:$BU49),0))</f>
        <v/>
      </c>
      <c r="R49">
        <f>IF($A49="","",IFERROR(COUNTIF(INDEX(SubMap!$B$2:$AE$12,MATCH($C49,SubMap!$A$2:$A$12,0),0),4),0))</f>
        <v/>
      </c>
      <c r="S49">
        <f>IF(OR($A49="",R49=0),"",ROUND(Q49/R49*100,1))</f>
        <v/>
      </c>
      <c r="T49">
        <f>IF($A49="","",IFERROR(INDEX(Papers!$I$2:$I$12,MATCH($C49,Papers!$A$2:$A$12,0)),""))</f>
        <v/>
      </c>
      <c r="U49">
        <f>IF($A49="","",IFERROR(SUMPRODUCT((INDEX(SubMap!$B$2:$AE$12,MATCH($C49,SubMap!$A$2:$A$12,0),0)=5)*Attempts!$AR49:$BU49),0))</f>
        <v/>
      </c>
      <c r="V49">
        <f>IF($A49="","",IFERROR(COUNTIF(INDEX(SubMap!$B$2:$AE$12,MATCH($C49,SubMap!$A$2:$A$12,0),0),5),0))</f>
        <v/>
      </c>
      <c r="W49">
        <f>IF(OR($A49="",V49=0),"",ROUND(U49/V49*100,1))</f>
        <v/>
      </c>
      <c r="X49">
        <f>IF($A49="","",IFERROR(INDEX(Papers!$J$2:$J$12,MATCH($C49,Papers!$A$2:$A$12,0)),""))</f>
        <v/>
      </c>
      <c r="Y49">
        <f>IF($A49="","",IFERROR(SUMPRODUCT((INDEX(SubMap!$B$2:$AE$12,MATCH($C49,SubMap!$A$2:$A$12,0),0)=6)*Attempts!$AR49:$BU49),0))</f>
        <v/>
      </c>
      <c r="Z49">
        <f>IF($A49="","",IFERROR(COUNTIF(INDEX(SubMap!$B$2:$AE$12,MATCH($C49,SubMap!$A$2:$A$12,0),0),6),0))</f>
        <v/>
      </c>
      <c r="AA49">
        <f>IF(OR($A49="",Z49=0),"",ROUND(Y49/Z49*100,1))</f>
        <v/>
      </c>
      <c r="AB49">
        <f>IF($A49="","",IFERROR(INDEX(CHOOSE({1,2,3,4,5,6},D49,H49,L49,P49,T49,X49),MATCH(MIN(G49,K49,O49,S49,W49,AA49),CHOOSE({1,2,3,4,5,6},G49,K49,O49,S49,W49,AA49),0)),""))</f>
        <v/>
      </c>
      <c r="AC49">
        <f>IF($A49="","",IF(COUNT(G49,K49,O49,S49,W49,AA49)=0,"",MIN(G49,K49,O49,S49,W49,AA49)))</f>
        <v/>
      </c>
      <c r="AD49">
        <f>IF($A49="","",IFERROR(INDEX(CHOOSE({1,2,3,4,5,6},IFERROR(INDEX(Papers!$K$2:$K$12,MATCH($C49,Papers!$A$2:$A$12,0)),""),IFERROR(INDEX(Papers!$L$2:$L$12,MATCH($C49,Papers!$A$2:$A$12,0)),""),IFERROR(INDEX(Papers!$M$2:$M$12,MATCH($C49,Papers!$A$2:$A$12,0)),""),IFERROR(INDEX(Papers!$N$2:$N$12,MATCH($C49,Papers!$A$2:$A$12,0)),""),IFERROR(INDEX(Papers!$O$2:$O$12,MATCH($C49,Papers!$A$2:$A$12,0)),""),IFERROR(INDEX(Papers!$P$2:$P$12,MATCH($C49,Papers!$A$2:$A$12,0)),"")),MATCH(MIN(G49,K49,O49,S49,W49,AA49),CHOOSE({1,2,3,4,5,6},G49,K49,O49,S49,W49,AA49),0)),""))</f>
        <v/>
      </c>
      <c r="AE49">
        <f>IF(AC49="","",IF(AC49&lt;50,"Re-teach",IF(AC49&lt;75,"Practice more","Relatively secure")))</f>
        <v/>
      </c>
    </row>
    <row r="50">
      <c r="A50">
        <f>IF(Attempts!A50="","",Attempts!A50)</f>
        <v/>
      </c>
      <c r="B50">
        <f>IF(Attempts!A50="","",Attempts!B50)</f>
        <v/>
      </c>
      <c r="C50">
        <f>IF(Attempts!A50="","",Attempts!D50)</f>
        <v/>
      </c>
      <c r="D50">
        <f>IF($A50="","",IFERROR(INDEX(Papers!$E$2:$E$12,MATCH($C50,Papers!$A$2:$A$12,0)),""))</f>
        <v/>
      </c>
      <c r="E50">
        <f>IF($A50="","",IFERROR(SUMPRODUCT((INDEX(SubMap!$B$2:$AE$12,MATCH($C50,SubMap!$A$2:$A$12,0),0)=1)*Attempts!$AR50:$BU50),0))</f>
        <v/>
      </c>
      <c r="F50">
        <f>IF($A50="","",IFERROR(COUNTIF(INDEX(SubMap!$B$2:$AE$12,MATCH($C50,SubMap!$A$2:$A$12,0),0),1),0))</f>
        <v/>
      </c>
      <c r="G50">
        <f>IF(OR($A50="",F50=0),"",ROUND(E50/F50*100,1))</f>
        <v/>
      </c>
      <c r="H50">
        <f>IF($A50="","",IFERROR(INDEX(Papers!$F$2:$F$12,MATCH($C50,Papers!$A$2:$A$12,0)),""))</f>
        <v/>
      </c>
      <c r="I50">
        <f>IF($A50="","",IFERROR(SUMPRODUCT((INDEX(SubMap!$B$2:$AE$12,MATCH($C50,SubMap!$A$2:$A$12,0),0)=2)*Attempts!$AR50:$BU50),0))</f>
        <v/>
      </c>
      <c r="J50">
        <f>IF($A50="","",IFERROR(COUNTIF(INDEX(SubMap!$B$2:$AE$12,MATCH($C50,SubMap!$A$2:$A$12,0),0),2),0))</f>
        <v/>
      </c>
      <c r="K50">
        <f>IF(OR($A50="",J50=0),"",ROUND(I50/J50*100,1))</f>
        <v/>
      </c>
      <c r="L50">
        <f>IF($A50="","",IFERROR(INDEX(Papers!$G$2:$G$12,MATCH($C50,Papers!$A$2:$A$12,0)),""))</f>
        <v/>
      </c>
      <c r="M50">
        <f>IF($A50="","",IFERROR(SUMPRODUCT((INDEX(SubMap!$B$2:$AE$12,MATCH($C50,SubMap!$A$2:$A$12,0),0)=3)*Attempts!$AR50:$BU50),0))</f>
        <v/>
      </c>
      <c r="N50">
        <f>IF($A50="","",IFERROR(COUNTIF(INDEX(SubMap!$B$2:$AE$12,MATCH($C50,SubMap!$A$2:$A$12,0),0),3),0))</f>
        <v/>
      </c>
      <c r="O50">
        <f>IF(OR($A50="",N50=0),"",ROUND(M50/N50*100,1))</f>
        <v/>
      </c>
      <c r="P50">
        <f>IF($A50="","",IFERROR(INDEX(Papers!$H$2:$H$12,MATCH($C50,Papers!$A$2:$A$12,0)),""))</f>
        <v/>
      </c>
      <c r="Q50">
        <f>IF($A50="","",IFERROR(SUMPRODUCT((INDEX(SubMap!$B$2:$AE$12,MATCH($C50,SubMap!$A$2:$A$12,0),0)=4)*Attempts!$AR50:$BU50),0))</f>
        <v/>
      </c>
      <c r="R50">
        <f>IF($A50="","",IFERROR(COUNTIF(INDEX(SubMap!$B$2:$AE$12,MATCH($C50,SubMap!$A$2:$A$12,0),0),4),0))</f>
        <v/>
      </c>
      <c r="S50">
        <f>IF(OR($A50="",R50=0),"",ROUND(Q50/R50*100,1))</f>
        <v/>
      </c>
      <c r="T50">
        <f>IF($A50="","",IFERROR(INDEX(Papers!$I$2:$I$12,MATCH($C50,Papers!$A$2:$A$12,0)),""))</f>
        <v/>
      </c>
      <c r="U50">
        <f>IF($A50="","",IFERROR(SUMPRODUCT((INDEX(SubMap!$B$2:$AE$12,MATCH($C50,SubMap!$A$2:$A$12,0),0)=5)*Attempts!$AR50:$BU50),0))</f>
        <v/>
      </c>
      <c r="V50">
        <f>IF($A50="","",IFERROR(COUNTIF(INDEX(SubMap!$B$2:$AE$12,MATCH($C50,SubMap!$A$2:$A$12,0),0),5),0))</f>
        <v/>
      </c>
      <c r="W50">
        <f>IF(OR($A50="",V50=0),"",ROUND(U50/V50*100,1))</f>
        <v/>
      </c>
      <c r="X50">
        <f>IF($A50="","",IFERROR(INDEX(Papers!$J$2:$J$12,MATCH($C50,Papers!$A$2:$A$12,0)),""))</f>
        <v/>
      </c>
      <c r="Y50">
        <f>IF($A50="","",IFERROR(SUMPRODUCT((INDEX(SubMap!$B$2:$AE$12,MATCH($C50,SubMap!$A$2:$A$12,0),0)=6)*Attempts!$AR50:$BU50),0))</f>
        <v/>
      </c>
      <c r="Z50">
        <f>IF($A50="","",IFERROR(COUNTIF(INDEX(SubMap!$B$2:$AE$12,MATCH($C50,SubMap!$A$2:$A$12,0),0),6),0))</f>
        <v/>
      </c>
      <c r="AA50">
        <f>IF(OR($A50="",Z50=0),"",ROUND(Y50/Z50*100,1))</f>
        <v/>
      </c>
      <c r="AB50">
        <f>IF($A50="","",IFERROR(INDEX(CHOOSE({1,2,3,4,5,6},D50,H50,L50,P50,T50,X50),MATCH(MIN(G50,K50,O50,S50,W50,AA50),CHOOSE({1,2,3,4,5,6},G50,K50,O50,S50,W50,AA50),0)),""))</f>
        <v/>
      </c>
      <c r="AC50">
        <f>IF($A50="","",IF(COUNT(G50,K50,O50,S50,W50,AA50)=0,"",MIN(G50,K50,O50,S50,W50,AA50)))</f>
        <v/>
      </c>
      <c r="AD50">
        <f>IF($A50="","",IFERROR(INDEX(CHOOSE({1,2,3,4,5,6},IFERROR(INDEX(Papers!$K$2:$K$12,MATCH($C50,Papers!$A$2:$A$12,0)),""),IFERROR(INDEX(Papers!$L$2:$L$12,MATCH($C50,Papers!$A$2:$A$12,0)),""),IFERROR(INDEX(Papers!$M$2:$M$12,MATCH($C50,Papers!$A$2:$A$12,0)),""),IFERROR(INDEX(Papers!$N$2:$N$12,MATCH($C50,Papers!$A$2:$A$12,0)),""),IFERROR(INDEX(Papers!$O$2:$O$12,MATCH($C50,Papers!$A$2:$A$12,0)),""),IFERROR(INDEX(Papers!$P$2:$P$12,MATCH($C50,Papers!$A$2:$A$12,0)),"")),MATCH(MIN(G50,K50,O50,S50,W50,AA50),CHOOSE({1,2,3,4,5,6},G50,K50,O50,S50,W50,AA50),0)),""))</f>
        <v/>
      </c>
      <c r="AE50">
        <f>IF(AC50="","",IF(AC50&lt;50,"Re-teach",IF(AC50&lt;75,"Practice more","Relatively secure")))</f>
        <v/>
      </c>
    </row>
    <row r="51">
      <c r="A51">
        <f>IF(Attempts!A51="","",Attempts!A51)</f>
        <v/>
      </c>
      <c r="B51">
        <f>IF(Attempts!A51="","",Attempts!B51)</f>
        <v/>
      </c>
      <c r="C51">
        <f>IF(Attempts!A51="","",Attempts!D51)</f>
        <v/>
      </c>
      <c r="D51">
        <f>IF($A51="","",IFERROR(INDEX(Papers!$E$2:$E$12,MATCH($C51,Papers!$A$2:$A$12,0)),""))</f>
        <v/>
      </c>
      <c r="E51">
        <f>IF($A51="","",IFERROR(SUMPRODUCT((INDEX(SubMap!$B$2:$AE$12,MATCH($C51,SubMap!$A$2:$A$12,0),0)=1)*Attempts!$AR51:$BU51),0))</f>
        <v/>
      </c>
      <c r="F51">
        <f>IF($A51="","",IFERROR(COUNTIF(INDEX(SubMap!$B$2:$AE$12,MATCH($C51,SubMap!$A$2:$A$12,0),0),1),0))</f>
        <v/>
      </c>
      <c r="G51">
        <f>IF(OR($A51="",F51=0),"",ROUND(E51/F51*100,1))</f>
        <v/>
      </c>
      <c r="H51">
        <f>IF($A51="","",IFERROR(INDEX(Papers!$F$2:$F$12,MATCH($C51,Papers!$A$2:$A$12,0)),""))</f>
        <v/>
      </c>
      <c r="I51">
        <f>IF($A51="","",IFERROR(SUMPRODUCT((INDEX(SubMap!$B$2:$AE$12,MATCH($C51,SubMap!$A$2:$A$12,0),0)=2)*Attempts!$AR51:$BU51),0))</f>
        <v/>
      </c>
      <c r="J51">
        <f>IF($A51="","",IFERROR(COUNTIF(INDEX(SubMap!$B$2:$AE$12,MATCH($C51,SubMap!$A$2:$A$12,0),0),2),0))</f>
        <v/>
      </c>
      <c r="K51">
        <f>IF(OR($A51="",J51=0),"",ROUND(I51/J51*100,1))</f>
        <v/>
      </c>
      <c r="L51">
        <f>IF($A51="","",IFERROR(INDEX(Papers!$G$2:$G$12,MATCH($C51,Papers!$A$2:$A$12,0)),""))</f>
        <v/>
      </c>
      <c r="M51">
        <f>IF($A51="","",IFERROR(SUMPRODUCT((INDEX(SubMap!$B$2:$AE$12,MATCH($C51,SubMap!$A$2:$A$12,0),0)=3)*Attempts!$AR51:$BU51),0))</f>
        <v/>
      </c>
      <c r="N51">
        <f>IF($A51="","",IFERROR(COUNTIF(INDEX(SubMap!$B$2:$AE$12,MATCH($C51,SubMap!$A$2:$A$12,0),0),3),0))</f>
        <v/>
      </c>
      <c r="O51">
        <f>IF(OR($A51="",N51=0),"",ROUND(M51/N51*100,1))</f>
        <v/>
      </c>
      <c r="P51">
        <f>IF($A51="","",IFERROR(INDEX(Papers!$H$2:$H$12,MATCH($C51,Papers!$A$2:$A$12,0)),""))</f>
        <v/>
      </c>
      <c r="Q51">
        <f>IF($A51="","",IFERROR(SUMPRODUCT((INDEX(SubMap!$B$2:$AE$12,MATCH($C51,SubMap!$A$2:$A$12,0),0)=4)*Attempts!$AR51:$BU51),0))</f>
        <v/>
      </c>
      <c r="R51">
        <f>IF($A51="","",IFERROR(COUNTIF(INDEX(SubMap!$B$2:$AE$12,MATCH($C51,SubMap!$A$2:$A$12,0),0),4),0))</f>
        <v/>
      </c>
      <c r="S51">
        <f>IF(OR($A51="",R51=0),"",ROUND(Q51/R51*100,1))</f>
        <v/>
      </c>
      <c r="T51">
        <f>IF($A51="","",IFERROR(INDEX(Papers!$I$2:$I$12,MATCH($C51,Papers!$A$2:$A$12,0)),""))</f>
        <v/>
      </c>
      <c r="U51">
        <f>IF($A51="","",IFERROR(SUMPRODUCT((INDEX(SubMap!$B$2:$AE$12,MATCH($C51,SubMap!$A$2:$A$12,0),0)=5)*Attempts!$AR51:$BU51),0))</f>
        <v/>
      </c>
      <c r="V51">
        <f>IF($A51="","",IFERROR(COUNTIF(INDEX(SubMap!$B$2:$AE$12,MATCH($C51,SubMap!$A$2:$A$12,0),0),5),0))</f>
        <v/>
      </c>
      <c r="W51">
        <f>IF(OR($A51="",V51=0),"",ROUND(U51/V51*100,1))</f>
        <v/>
      </c>
      <c r="X51">
        <f>IF($A51="","",IFERROR(INDEX(Papers!$J$2:$J$12,MATCH($C51,Papers!$A$2:$A$12,0)),""))</f>
        <v/>
      </c>
      <c r="Y51">
        <f>IF($A51="","",IFERROR(SUMPRODUCT((INDEX(SubMap!$B$2:$AE$12,MATCH($C51,SubMap!$A$2:$A$12,0),0)=6)*Attempts!$AR51:$BU51),0))</f>
        <v/>
      </c>
      <c r="Z51">
        <f>IF($A51="","",IFERROR(COUNTIF(INDEX(SubMap!$B$2:$AE$12,MATCH($C51,SubMap!$A$2:$A$12,0),0),6),0))</f>
        <v/>
      </c>
      <c r="AA51">
        <f>IF(OR($A51="",Z51=0),"",ROUND(Y51/Z51*100,1))</f>
        <v/>
      </c>
      <c r="AB51">
        <f>IF($A51="","",IFERROR(INDEX(CHOOSE({1,2,3,4,5,6},D51,H51,L51,P51,T51,X51),MATCH(MIN(G51,K51,O51,S51,W51,AA51),CHOOSE({1,2,3,4,5,6},G51,K51,O51,S51,W51,AA51),0)),""))</f>
        <v/>
      </c>
      <c r="AC51">
        <f>IF($A51="","",IF(COUNT(G51,K51,O51,S51,W51,AA51)=0,"",MIN(G51,K51,O51,S51,W51,AA51)))</f>
        <v/>
      </c>
      <c r="AD51">
        <f>IF($A51="","",IFERROR(INDEX(CHOOSE({1,2,3,4,5,6},IFERROR(INDEX(Papers!$K$2:$K$12,MATCH($C51,Papers!$A$2:$A$12,0)),""),IFERROR(INDEX(Papers!$L$2:$L$12,MATCH($C51,Papers!$A$2:$A$12,0)),""),IFERROR(INDEX(Papers!$M$2:$M$12,MATCH($C51,Papers!$A$2:$A$12,0)),""),IFERROR(INDEX(Papers!$N$2:$N$12,MATCH($C51,Papers!$A$2:$A$12,0)),""),IFERROR(INDEX(Papers!$O$2:$O$12,MATCH($C51,Papers!$A$2:$A$12,0)),""),IFERROR(INDEX(Papers!$P$2:$P$12,MATCH($C51,Papers!$A$2:$A$12,0)),"")),MATCH(MIN(G51,K51,O51,S51,W51,AA51),CHOOSE({1,2,3,4,5,6},G51,K51,O51,S51,W51,AA51),0)),""))</f>
        <v/>
      </c>
      <c r="AE51">
        <f>IF(AC51="","",IF(AC51&lt;50,"Re-teach",IF(AC51&lt;75,"Practice more","Relatively secure")))</f>
        <v/>
      </c>
    </row>
    <row r="52">
      <c r="A52">
        <f>IF(Attempts!A52="","",Attempts!A52)</f>
        <v/>
      </c>
      <c r="B52">
        <f>IF(Attempts!A52="","",Attempts!B52)</f>
        <v/>
      </c>
      <c r="C52">
        <f>IF(Attempts!A52="","",Attempts!D52)</f>
        <v/>
      </c>
      <c r="D52">
        <f>IF($A52="","",IFERROR(INDEX(Papers!$E$2:$E$12,MATCH($C52,Papers!$A$2:$A$12,0)),""))</f>
        <v/>
      </c>
      <c r="E52">
        <f>IF($A52="","",IFERROR(SUMPRODUCT((INDEX(SubMap!$B$2:$AE$12,MATCH($C52,SubMap!$A$2:$A$12,0),0)=1)*Attempts!$AR52:$BU52),0))</f>
        <v/>
      </c>
      <c r="F52">
        <f>IF($A52="","",IFERROR(COUNTIF(INDEX(SubMap!$B$2:$AE$12,MATCH($C52,SubMap!$A$2:$A$12,0),0),1),0))</f>
        <v/>
      </c>
      <c r="G52">
        <f>IF(OR($A52="",F52=0),"",ROUND(E52/F52*100,1))</f>
        <v/>
      </c>
      <c r="H52">
        <f>IF($A52="","",IFERROR(INDEX(Papers!$F$2:$F$12,MATCH($C52,Papers!$A$2:$A$12,0)),""))</f>
        <v/>
      </c>
      <c r="I52">
        <f>IF($A52="","",IFERROR(SUMPRODUCT((INDEX(SubMap!$B$2:$AE$12,MATCH($C52,SubMap!$A$2:$A$12,0),0)=2)*Attempts!$AR52:$BU52),0))</f>
        <v/>
      </c>
      <c r="J52">
        <f>IF($A52="","",IFERROR(COUNTIF(INDEX(SubMap!$B$2:$AE$12,MATCH($C52,SubMap!$A$2:$A$12,0),0),2),0))</f>
        <v/>
      </c>
      <c r="K52">
        <f>IF(OR($A52="",J52=0),"",ROUND(I52/J52*100,1))</f>
        <v/>
      </c>
      <c r="L52">
        <f>IF($A52="","",IFERROR(INDEX(Papers!$G$2:$G$12,MATCH($C52,Papers!$A$2:$A$12,0)),""))</f>
        <v/>
      </c>
      <c r="M52">
        <f>IF($A52="","",IFERROR(SUMPRODUCT((INDEX(SubMap!$B$2:$AE$12,MATCH($C52,SubMap!$A$2:$A$12,0),0)=3)*Attempts!$AR52:$BU52),0))</f>
        <v/>
      </c>
      <c r="N52">
        <f>IF($A52="","",IFERROR(COUNTIF(INDEX(SubMap!$B$2:$AE$12,MATCH($C52,SubMap!$A$2:$A$12,0),0),3),0))</f>
        <v/>
      </c>
      <c r="O52">
        <f>IF(OR($A52="",N52=0),"",ROUND(M52/N52*100,1))</f>
        <v/>
      </c>
      <c r="P52">
        <f>IF($A52="","",IFERROR(INDEX(Papers!$H$2:$H$12,MATCH($C52,Papers!$A$2:$A$12,0)),""))</f>
        <v/>
      </c>
      <c r="Q52">
        <f>IF($A52="","",IFERROR(SUMPRODUCT((INDEX(SubMap!$B$2:$AE$12,MATCH($C52,SubMap!$A$2:$A$12,0),0)=4)*Attempts!$AR52:$BU52),0))</f>
        <v/>
      </c>
      <c r="R52">
        <f>IF($A52="","",IFERROR(COUNTIF(INDEX(SubMap!$B$2:$AE$12,MATCH($C52,SubMap!$A$2:$A$12,0),0),4),0))</f>
        <v/>
      </c>
      <c r="S52">
        <f>IF(OR($A52="",R52=0),"",ROUND(Q52/R52*100,1))</f>
        <v/>
      </c>
      <c r="T52">
        <f>IF($A52="","",IFERROR(INDEX(Papers!$I$2:$I$12,MATCH($C52,Papers!$A$2:$A$12,0)),""))</f>
        <v/>
      </c>
      <c r="U52">
        <f>IF($A52="","",IFERROR(SUMPRODUCT((INDEX(SubMap!$B$2:$AE$12,MATCH($C52,SubMap!$A$2:$A$12,0),0)=5)*Attempts!$AR52:$BU52),0))</f>
        <v/>
      </c>
      <c r="V52">
        <f>IF($A52="","",IFERROR(COUNTIF(INDEX(SubMap!$B$2:$AE$12,MATCH($C52,SubMap!$A$2:$A$12,0),0),5),0))</f>
        <v/>
      </c>
      <c r="W52">
        <f>IF(OR($A52="",V52=0),"",ROUND(U52/V52*100,1))</f>
        <v/>
      </c>
      <c r="X52">
        <f>IF($A52="","",IFERROR(INDEX(Papers!$J$2:$J$12,MATCH($C52,Papers!$A$2:$A$12,0)),""))</f>
        <v/>
      </c>
      <c r="Y52">
        <f>IF($A52="","",IFERROR(SUMPRODUCT((INDEX(SubMap!$B$2:$AE$12,MATCH($C52,SubMap!$A$2:$A$12,0),0)=6)*Attempts!$AR52:$BU52),0))</f>
        <v/>
      </c>
      <c r="Z52">
        <f>IF($A52="","",IFERROR(COUNTIF(INDEX(SubMap!$B$2:$AE$12,MATCH($C52,SubMap!$A$2:$A$12,0),0),6),0))</f>
        <v/>
      </c>
      <c r="AA52">
        <f>IF(OR($A52="",Z52=0),"",ROUND(Y52/Z52*100,1))</f>
        <v/>
      </c>
      <c r="AB52">
        <f>IF($A52="","",IFERROR(INDEX(CHOOSE({1,2,3,4,5,6},D52,H52,L52,P52,T52,X52),MATCH(MIN(G52,K52,O52,S52,W52,AA52),CHOOSE({1,2,3,4,5,6},G52,K52,O52,S52,W52,AA52),0)),""))</f>
        <v/>
      </c>
      <c r="AC52">
        <f>IF($A52="","",IF(COUNT(G52,K52,O52,S52,W52,AA52)=0,"",MIN(G52,K52,O52,S52,W52,AA52)))</f>
        <v/>
      </c>
      <c r="AD52">
        <f>IF($A52="","",IFERROR(INDEX(CHOOSE({1,2,3,4,5,6},IFERROR(INDEX(Papers!$K$2:$K$12,MATCH($C52,Papers!$A$2:$A$12,0)),""),IFERROR(INDEX(Papers!$L$2:$L$12,MATCH($C52,Papers!$A$2:$A$12,0)),""),IFERROR(INDEX(Papers!$M$2:$M$12,MATCH($C52,Papers!$A$2:$A$12,0)),""),IFERROR(INDEX(Papers!$N$2:$N$12,MATCH($C52,Papers!$A$2:$A$12,0)),""),IFERROR(INDEX(Papers!$O$2:$O$12,MATCH($C52,Papers!$A$2:$A$12,0)),""),IFERROR(INDEX(Papers!$P$2:$P$12,MATCH($C52,Papers!$A$2:$A$12,0)),"")),MATCH(MIN(G52,K52,O52,S52,W52,AA52),CHOOSE({1,2,3,4,5,6},G52,K52,O52,S52,W52,AA52),0)),""))</f>
        <v/>
      </c>
      <c r="AE52">
        <f>IF(AC52="","",IF(AC52&lt;50,"Re-teach",IF(AC52&lt;75,"Practice more","Relatively secure")))</f>
        <v/>
      </c>
    </row>
    <row r="53">
      <c r="A53">
        <f>IF(Attempts!A53="","",Attempts!A53)</f>
        <v/>
      </c>
      <c r="B53">
        <f>IF(Attempts!A53="","",Attempts!B53)</f>
        <v/>
      </c>
      <c r="C53">
        <f>IF(Attempts!A53="","",Attempts!D53)</f>
        <v/>
      </c>
      <c r="D53">
        <f>IF($A53="","",IFERROR(INDEX(Papers!$E$2:$E$12,MATCH($C53,Papers!$A$2:$A$12,0)),""))</f>
        <v/>
      </c>
      <c r="E53">
        <f>IF($A53="","",IFERROR(SUMPRODUCT((INDEX(SubMap!$B$2:$AE$12,MATCH($C53,SubMap!$A$2:$A$12,0),0)=1)*Attempts!$AR53:$BU53),0))</f>
        <v/>
      </c>
      <c r="F53">
        <f>IF($A53="","",IFERROR(COUNTIF(INDEX(SubMap!$B$2:$AE$12,MATCH($C53,SubMap!$A$2:$A$12,0),0),1),0))</f>
        <v/>
      </c>
      <c r="G53">
        <f>IF(OR($A53="",F53=0),"",ROUND(E53/F53*100,1))</f>
        <v/>
      </c>
      <c r="H53">
        <f>IF($A53="","",IFERROR(INDEX(Papers!$F$2:$F$12,MATCH($C53,Papers!$A$2:$A$12,0)),""))</f>
        <v/>
      </c>
      <c r="I53">
        <f>IF($A53="","",IFERROR(SUMPRODUCT((INDEX(SubMap!$B$2:$AE$12,MATCH($C53,SubMap!$A$2:$A$12,0),0)=2)*Attempts!$AR53:$BU53),0))</f>
        <v/>
      </c>
      <c r="J53">
        <f>IF($A53="","",IFERROR(COUNTIF(INDEX(SubMap!$B$2:$AE$12,MATCH($C53,SubMap!$A$2:$A$12,0),0),2),0))</f>
        <v/>
      </c>
      <c r="K53">
        <f>IF(OR($A53="",J53=0),"",ROUND(I53/J53*100,1))</f>
        <v/>
      </c>
      <c r="L53">
        <f>IF($A53="","",IFERROR(INDEX(Papers!$G$2:$G$12,MATCH($C53,Papers!$A$2:$A$12,0)),""))</f>
        <v/>
      </c>
      <c r="M53">
        <f>IF($A53="","",IFERROR(SUMPRODUCT((INDEX(SubMap!$B$2:$AE$12,MATCH($C53,SubMap!$A$2:$A$12,0),0)=3)*Attempts!$AR53:$BU53),0))</f>
        <v/>
      </c>
      <c r="N53">
        <f>IF($A53="","",IFERROR(COUNTIF(INDEX(SubMap!$B$2:$AE$12,MATCH($C53,SubMap!$A$2:$A$12,0),0),3),0))</f>
        <v/>
      </c>
      <c r="O53">
        <f>IF(OR($A53="",N53=0),"",ROUND(M53/N53*100,1))</f>
        <v/>
      </c>
      <c r="P53">
        <f>IF($A53="","",IFERROR(INDEX(Papers!$H$2:$H$12,MATCH($C53,Papers!$A$2:$A$12,0)),""))</f>
        <v/>
      </c>
      <c r="Q53">
        <f>IF($A53="","",IFERROR(SUMPRODUCT((INDEX(SubMap!$B$2:$AE$12,MATCH($C53,SubMap!$A$2:$A$12,0),0)=4)*Attempts!$AR53:$BU53),0))</f>
        <v/>
      </c>
      <c r="R53">
        <f>IF($A53="","",IFERROR(COUNTIF(INDEX(SubMap!$B$2:$AE$12,MATCH($C53,SubMap!$A$2:$A$12,0),0),4),0))</f>
        <v/>
      </c>
      <c r="S53">
        <f>IF(OR($A53="",R53=0),"",ROUND(Q53/R53*100,1))</f>
        <v/>
      </c>
      <c r="T53">
        <f>IF($A53="","",IFERROR(INDEX(Papers!$I$2:$I$12,MATCH($C53,Papers!$A$2:$A$12,0)),""))</f>
        <v/>
      </c>
      <c r="U53">
        <f>IF($A53="","",IFERROR(SUMPRODUCT((INDEX(SubMap!$B$2:$AE$12,MATCH($C53,SubMap!$A$2:$A$12,0),0)=5)*Attempts!$AR53:$BU53),0))</f>
        <v/>
      </c>
      <c r="V53">
        <f>IF($A53="","",IFERROR(COUNTIF(INDEX(SubMap!$B$2:$AE$12,MATCH($C53,SubMap!$A$2:$A$12,0),0),5),0))</f>
        <v/>
      </c>
      <c r="W53">
        <f>IF(OR($A53="",V53=0),"",ROUND(U53/V53*100,1))</f>
        <v/>
      </c>
      <c r="X53">
        <f>IF($A53="","",IFERROR(INDEX(Papers!$J$2:$J$12,MATCH($C53,Papers!$A$2:$A$12,0)),""))</f>
        <v/>
      </c>
      <c r="Y53">
        <f>IF($A53="","",IFERROR(SUMPRODUCT((INDEX(SubMap!$B$2:$AE$12,MATCH($C53,SubMap!$A$2:$A$12,0),0)=6)*Attempts!$AR53:$BU53),0))</f>
        <v/>
      </c>
      <c r="Z53">
        <f>IF($A53="","",IFERROR(COUNTIF(INDEX(SubMap!$B$2:$AE$12,MATCH($C53,SubMap!$A$2:$A$12,0),0),6),0))</f>
        <v/>
      </c>
      <c r="AA53">
        <f>IF(OR($A53="",Z53=0),"",ROUND(Y53/Z53*100,1))</f>
        <v/>
      </c>
      <c r="AB53">
        <f>IF($A53="","",IFERROR(INDEX(CHOOSE({1,2,3,4,5,6},D53,H53,L53,P53,T53,X53),MATCH(MIN(G53,K53,O53,S53,W53,AA53),CHOOSE({1,2,3,4,5,6},G53,K53,O53,S53,W53,AA53),0)),""))</f>
        <v/>
      </c>
      <c r="AC53">
        <f>IF($A53="","",IF(COUNT(G53,K53,O53,S53,W53,AA53)=0,"",MIN(G53,K53,O53,S53,W53,AA53)))</f>
        <v/>
      </c>
      <c r="AD53">
        <f>IF($A53="","",IFERROR(INDEX(CHOOSE({1,2,3,4,5,6},IFERROR(INDEX(Papers!$K$2:$K$12,MATCH($C53,Papers!$A$2:$A$12,0)),""),IFERROR(INDEX(Papers!$L$2:$L$12,MATCH($C53,Papers!$A$2:$A$12,0)),""),IFERROR(INDEX(Papers!$M$2:$M$12,MATCH($C53,Papers!$A$2:$A$12,0)),""),IFERROR(INDEX(Papers!$N$2:$N$12,MATCH($C53,Papers!$A$2:$A$12,0)),""),IFERROR(INDEX(Papers!$O$2:$O$12,MATCH($C53,Papers!$A$2:$A$12,0)),""),IFERROR(INDEX(Papers!$P$2:$P$12,MATCH($C53,Papers!$A$2:$A$12,0)),"")),MATCH(MIN(G53,K53,O53,S53,W53,AA53),CHOOSE({1,2,3,4,5,6},G53,K53,O53,S53,W53,AA53),0)),""))</f>
        <v/>
      </c>
      <c r="AE53">
        <f>IF(AC53="","",IF(AC53&lt;50,"Re-teach",IF(AC53&lt;75,"Practice more","Relatively secure")))</f>
        <v/>
      </c>
    </row>
    <row r="54">
      <c r="A54">
        <f>IF(Attempts!A54="","",Attempts!A54)</f>
        <v/>
      </c>
      <c r="B54">
        <f>IF(Attempts!A54="","",Attempts!B54)</f>
        <v/>
      </c>
      <c r="C54">
        <f>IF(Attempts!A54="","",Attempts!D54)</f>
        <v/>
      </c>
      <c r="D54">
        <f>IF($A54="","",IFERROR(INDEX(Papers!$E$2:$E$12,MATCH($C54,Papers!$A$2:$A$12,0)),""))</f>
        <v/>
      </c>
      <c r="E54">
        <f>IF($A54="","",IFERROR(SUMPRODUCT((INDEX(SubMap!$B$2:$AE$12,MATCH($C54,SubMap!$A$2:$A$12,0),0)=1)*Attempts!$AR54:$BU54),0))</f>
        <v/>
      </c>
      <c r="F54">
        <f>IF($A54="","",IFERROR(COUNTIF(INDEX(SubMap!$B$2:$AE$12,MATCH($C54,SubMap!$A$2:$A$12,0),0),1),0))</f>
        <v/>
      </c>
      <c r="G54">
        <f>IF(OR($A54="",F54=0),"",ROUND(E54/F54*100,1))</f>
        <v/>
      </c>
      <c r="H54">
        <f>IF($A54="","",IFERROR(INDEX(Papers!$F$2:$F$12,MATCH($C54,Papers!$A$2:$A$12,0)),""))</f>
        <v/>
      </c>
      <c r="I54">
        <f>IF($A54="","",IFERROR(SUMPRODUCT((INDEX(SubMap!$B$2:$AE$12,MATCH($C54,SubMap!$A$2:$A$12,0),0)=2)*Attempts!$AR54:$BU54),0))</f>
        <v/>
      </c>
      <c r="J54">
        <f>IF($A54="","",IFERROR(COUNTIF(INDEX(SubMap!$B$2:$AE$12,MATCH($C54,SubMap!$A$2:$A$12,0),0),2),0))</f>
        <v/>
      </c>
      <c r="K54">
        <f>IF(OR($A54="",J54=0),"",ROUND(I54/J54*100,1))</f>
        <v/>
      </c>
      <c r="L54">
        <f>IF($A54="","",IFERROR(INDEX(Papers!$G$2:$G$12,MATCH($C54,Papers!$A$2:$A$12,0)),""))</f>
        <v/>
      </c>
      <c r="M54">
        <f>IF($A54="","",IFERROR(SUMPRODUCT((INDEX(SubMap!$B$2:$AE$12,MATCH($C54,SubMap!$A$2:$A$12,0),0)=3)*Attempts!$AR54:$BU54),0))</f>
        <v/>
      </c>
      <c r="N54">
        <f>IF($A54="","",IFERROR(COUNTIF(INDEX(SubMap!$B$2:$AE$12,MATCH($C54,SubMap!$A$2:$A$12,0),0),3),0))</f>
        <v/>
      </c>
      <c r="O54">
        <f>IF(OR($A54="",N54=0),"",ROUND(M54/N54*100,1))</f>
        <v/>
      </c>
      <c r="P54">
        <f>IF($A54="","",IFERROR(INDEX(Papers!$H$2:$H$12,MATCH($C54,Papers!$A$2:$A$12,0)),""))</f>
        <v/>
      </c>
      <c r="Q54">
        <f>IF($A54="","",IFERROR(SUMPRODUCT((INDEX(SubMap!$B$2:$AE$12,MATCH($C54,SubMap!$A$2:$A$12,0),0)=4)*Attempts!$AR54:$BU54),0))</f>
        <v/>
      </c>
      <c r="R54">
        <f>IF($A54="","",IFERROR(COUNTIF(INDEX(SubMap!$B$2:$AE$12,MATCH($C54,SubMap!$A$2:$A$12,0),0),4),0))</f>
        <v/>
      </c>
      <c r="S54">
        <f>IF(OR($A54="",R54=0),"",ROUND(Q54/R54*100,1))</f>
        <v/>
      </c>
      <c r="T54">
        <f>IF($A54="","",IFERROR(INDEX(Papers!$I$2:$I$12,MATCH($C54,Papers!$A$2:$A$12,0)),""))</f>
        <v/>
      </c>
      <c r="U54">
        <f>IF($A54="","",IFERROR(SUMPRODUCT((INDEX(SubMap!$B$2:$AE$12,MATCH($C54,SubMap!$A$2:$A$12,0),0)=5)*Attempts!$AR54:$BU54),0))</f>
        <v/>
      </c>
      <c r="V54">
        <f>IF($A54="","",IFERROR(COUNTIF(INDEX(SubMap!$B$2:$AE$12,MATCH($C54,SubMap!$A$2:$A$12,0),0),5),0))</f>
        <v/>
      </c>
      <c r="W54">
        <f>IF(OR($A54="",V54=0),"",ROUND(U54/V54*100,1))</f>
        <v/>
      </c>
      <c r="X54">
        <f>IF($A54="","",IFERROR(INDEX(Papers!$J$2:$J$12,MATCH($C54,Papers!$A$2:$A$12,0)),""))</f>
        <v/>
      </c>
      <c r="Y54">
        <f>IF($A54="","",IFERROR(SUMPRODUCT((INDEX(SubMap!$B$2:$AE$12,MATCH($C54,SubMap!$A$2:$A$12,0),0)=6)*Attempts!$AR54:$BU54),0))</f>
        <v/>
      </c>
      <c r="Z54">
        <f>IF($A54="","",IFERROR(COUNTIF(INDEX(SubMap!$B$2:$AE$12,MATCH($C54,SubMap!$A$2:$A$12,0),0),6),0))</f>
        <v/>
      </c>
      <c r="AA54">
        <f>IF(OR($A54="",Z54=0),"",ROUND(Y54/Z54*100,1))</f>
        <v/>
      </c>
      <c r="AB54">
        <f>IF($A54="","",IFERROR(INDEX(CHOOSE({1,2,3,4,5,6},D54,H54,L54,P54,T54,X54),MATCH(MIN(G54,K54,O54,S54,W54,AA54),CHOOSE({1,2,3,4,5,6},G54,K54,O54,S54,W54,AA54),0)),""))</f>
        <v/>
      </c>
      <c r="AC54">
        <f>IF($A54="","",IF(COUNT(G54,K54,O54,S54,W54,AA54)=0,"",MIN(G54,K54,O54,S54,W54,AA54)))</f>
        <v/>
      </c>
      <c r="AD54">
        <f>IF($A54="","",IFERROR(INDEX(CHOOSE({1,2,3,4,5,6},IFERROR(INDEX(Papers!$K$2:$K$12,MATCH($C54,Papers!$A$2:$A$12,0)),""),IFERROR(INDEX(Papers!$L$2:$L$12,MATCH($C54,Papers!$A$2:$A$12,0)),""),IFERROR(INDEX(Papers!$M$2:$M$12,MATCH($C54,Papers!$A$2:$A$12,0)),""),IFERROR(INDEX(Papers!$N$2:$N$12,MATCH($C54,Papers!$A$2:$A$12,0)),""),IFERROR(INDEX(Papers!$O$2:$O$12,MATCH($C54,Papers!$A$2:$A$12,0)),""),IFERROR(INDEX(Papers!$P$2:$P$12,MATCH($C54,Papers!$A$2:$A$12,0)),"")),MATCH(MIN(G54,K54,O54,S54,W54,AA54),CHOOSE({1,2,3,4,5,6},G54,K54,O54,S54,W54,AA54),0)),""))</f>
        <v/>
      </c>
      <c r="AE54">
        <f>IF(AC54="","",IF(AC54&lt;50,"Re-teach",IF(AC54&lt;75,"Practice more","Relatively secure")))</f>
        <v/>
      </c>
    </row>
    <row r="55">
      <c r="A55">
        <f>IF(Attempts!A55="","",Attempts!A55)</f>
        <v/>
      </c>
      <c r="B55">
        <f>IF(Attempts!A55="","",Attempts!B55)</f>
        <v/>
      </c>
      <c r="C55">
        <f>IF(Attempts!A55="","",Attempts!D55)</f>
        <v/>
      </c>
      <c r="D55">
        <f>IF($A55="","",IFERROR(INDEX(Papers!$E$2:$E$12,MATCH($C55,Papers!$A$2:$A$12,0)),""))</f>
        <v/>
      </c>
      <c r="E55">
        <f>IF($A55="","",IFERROR(SUMPRODUCT((INDEX(SubMap!$B$2:$AE$12,MATCH($C55,SubMap!$A$2:$A$12,0),0)=1)*Attempts!$AR55:$BU55),0))</f>
        <v/>
      </c>
      <c r="F55">
        <f>IF($A55="","",IFERROR(COUNTIF(INDEX(SubMap!$B$2:$AE$12,MATCH($C55,SubMap!$A$2:$A$12,0),0),1),0))</f>
        <v/>
      </c>
      <c r="G55">
        <f>IF(OR($A55="",F55=0),"",ROUND(E55/F55*100,1))</f>
        <v/>
      </c>
      <c r="H55">
        <f>IF($A55="","",IFERROR(INDEX(Papers!$F$2:$F$12,MATCH($C55,Papers!$A$2:$A$12,0)),""))</f>
        <v/>
      </c>
      <c r="I55">
        <f>IF($A55="","",IFERROR(SUMPRODUCT((INDEX(SubMap!$B$2:$AE$12,MATCH($C55,SubMap!$A$2:$A$12,0),0)=2)*Attempts!$AR55:$BU55),0))</f>
        <v/>
      </c>
      <c r="J55">
        <f>IF($A55="","",IFERROR(COUNTIF(INDEX(SubMap!$B$2:$AE$12,MATCH($C55,SubMap!$A$2:$A$12,0),0),2),0))</f>
        <v/>
      </c>
      <c r="K55">
        <f>IF(OR($A55="",J55=0),"",ROUND(I55/J55*100,1))</f>
        <v/>
      </c>
      <c r="L55">
        <f>IF($A55="","",IFERROR(INDEX(Papers!$G$2:$G$12,MATCH($C55,Papers!$A$2:$A$12,0)),""))</f>
        <v/>
      </c>
      <c r="M55">
        <f>IF($A55="","",IFERROR(SUMPRODUCT((INDEX(SubMap!$B$2:$AE$12,MATCH($C55,SubMap!$A$2:$A$12,0),0)=3)*Attempts!$AR55:$BU55),0))</f>
        <v/>
      </c>
      <c r="N55">
        <f>IF($A55="","",IFERROR(COUNTIF(INDEX(SubMap!$B$2:$AE$12,MATCH($C55,SubMap!$A$2:$A$12,0),0),3),0))</f>
        <v/>
      </c>
      <c r="O55">
        <f>IF(OR($A55="",N55=0),"",ROUND(M55/N55*100,1))</f>
        <v/>
      </c>
      <c r="P55">
        <f>IF($A55="","",IFERROR(INDEX(Papers!$H$2:$H$12,MATCH($C55,Papers!$A$2:$A$12,0)),""))</f>
        <v/>
      </c>
      <c r="Q55">
        <f>IF($A55="","",IFERROR(SUMPRODUCT((INDEX(SubMap!$B$2:$AE$12,MATCH($C55,SubMap!$A$2:$A$12,0),0)=4)*Attempts!$AR55:$BU55),0))</f>
        <v/>
      </c>
      <c r="R55">
        <f>IF($A55="","",IFERROR(COUNTIF(INDEX(SubMap!$B$2:$AE$12,MATCH($C55,SubMap!$A$2:$A$12,0),0),4),0))</f>
        <v/>
      </c>
      <c r="S55">
        <f>IF(OR($A55="",R55=0),"",ROUND(Q55/R55*100,1))</f>
        <v/>
      </c>
      <c r="T55">
        <f>IF($A55="","",IFERROR(INDEX(Papers!$I$2:$I$12,MATCH($C55,Papers!$A$2:$A$12,0)),""))</f>
        <v/>
      </c>
      <c r="U55">
        <f>IF($A55="","",IFERROR(SUMPRODUCT((INDEX(SubMap!$B$2:$AE$12,MATCH($C55,SubMap!$A$2:$A$12,0),0)=5)*Attempts!$AR55:$BU55),0))</f>
        <v/>
      </c>
      <c r="V55">
        <f>IF($A55="","",IFERROR(COUNTIF(INDEX(SubMap!$B$2:$AE$12,MATCH($C55,SubMap!$A$2:$A$12,0),0),5),0))</f>
        <v/>
      </c>
      <c r="W55">
        <f>IF(OR($A55="",V55=0),"",ROUND(U55/V55*100,1))</f>
        <v/>
      </c>
      <c r="X55">
        <f>IF($A55="","",IFERROR(INDEX(Papers!$J$2:$J$12,MATCH($C55,Papers!$A$2:$A$12,0)),""))</f>
        <v/>
      </c>
      <c r="Y55">
        <f>IF($A55="","",IFERROR(SUMPRODUCT((INDEX(SubMap!$B$2:$AE$12,MATCH($C55,SubMap!$A$2:$A$12,0),0)=6)*Attempts!$AR55:$BU55),0))</f>
        <v/>
      </c>
      <c r="Z55">
        <f>IF($A55="","",IFERROR(COUNTIF(INDEX(SubMap!$B$2:$AE$12,MATCH($C55,SubMap!$A$2:$A$12,0),0),6),0))</f>
        <v/>
      </c>
      <c r="AA55">
        <f>IF(OR($A55="",Z55=0),"",ROUND(Y55/Z55*100,1))</f>
        <v/>
      </c>
      <c r="AB55">
        <f>IF($A55="","",IFERROR(INDEX(CHOOSE({1,2,3,4,5,6},D55,H55,L55,P55,T55,X55),MATCH(MIN(G55,K55,O55,S55,W55,AA55),CHOOSE({1,2,3,4,5,6},G55,K55,O55,S55,W55,AA55),0)),""))</f>
        <v/>
      </c>
      <c r="AC55">
        <f>IF($A55="","",IF(COUNT(G55,K55,O55,S55,W55,AA55)=0,"",MIN(G55,K55,O55,S55,W55,AA55)))</f>
        <v/>
      </c>
      <c r="AD55">
        <f>IF($A55="","",IFERROR(INDEX(CHOOSE({1,2,3,4,5,6},IFERROR(INDEX(Papers!$K$2:$K$12,MATCH($C55,Papers!$A$2:$A$12,0)),""),IFERROR(INDEX(Papers!$L$2:$L$12,MATCH($C55,Papers!$A$2:$A$12,0)),""),IFERROR(INDEX(Papers!$M$2:$M$12,MATCH($C55,Papers!$A$2:$A$12,0)),""),IFERROR(INDEX(Papers!$N$2:$N$12,MATCH($C55,Papers!$A$2:$A$12,0)),""),IFERROR(INDEX(Papers!$O$2:$O$12,MATCH($C55,Papers!$A$2:$A$12,0)),""),IFERROR(INDEX(Papers!$P$2:$P$12,MATCH($C55,Papers!$A$2:$A$12,0)),"")),MATCH(MIN(G55,K55,O55,S55,W55,AA55),CHOOSE({1,2,3,4,5,6},G55,K55,O55,S55,W55,AA55),0)),""))</f>
        <v/>
      </c>
      <c r="AE55">
        <f>IF(AC55="","",IF(AC55&lt;50,"Re-teach",IF(AC55&lt;75,"Practice more","Relatively secure")))</f>
        <v/>
      </c>
    </row>
    <row r="56">
      <c r="A56">
        <f>IF(Attempts!A56="","",Attempts!A56)</f>
        <v/>
      </c>
      <c r="B56">
        <f>IF(Attempts!A56="","",Attempts!B56)</f>
        <v/>
      </c>
      <c r="C56">
        <f>IF(Attempts!A56="","",Attempts!D56)</f>
        <v/>
      </c>
      <c r="D56">
        <f>IF($A56="","",IFERROR(INDEX(Papers!$E$2:$E$12,MATCH($C56,Papers!$A$2:$A$12,0)),""))</f>
        <v/>
      </c>
      <c r="E56">
        <f>IF($A56="","",IFERROR(SUMPRODUCT((INDEX(SubMap!$B$2:$AE$12,MATCH($C56,SubMap!$A$2:$A$12,0),0)=1)*Attempts!$AR56:$BU56),0))</f>
        <v/>
      </c>
      <c r="F56">
        <f>IF($A56="","",IFERROR(COUNTIF(INDEX(SubMap!$B$2:$AE$12,MATCH($C56,SubMap!$A$2:$A$12,0),0),1),0))</f>
        <v/>
      </c>
      <c r="G56">
        <f>IF(OR($A56="",F56=0),"",ROUND(E56/F56*100,1))</f>
        <v/>
      </c>
      <c r="H56">
        <f>IF($A56="","",IFERROR(INDEX(Papers!$F$2:$F$12,MATCH($C56,Papers!$A$2:$A$12,0)),""))</f>
        <v/>
      </c>
      <c r="I56">
        <f>IF($A56="","",IFERROR(SUMPRODUCT((INDEX(SubMap!$B$2:$AE$12,MATCH($C56,SubMap!$A$2:$A$12,0),0)=2)*Attempts!$AR56:$BU56),0))</f>
        <v/>
      </c>
      <c r="J56">
        <f>IF($A56="","",IFERROR(COUNTIF(INDEX(SubMap!$B$2:$AE$12,MATCH($C56,SubMap!$A$2:$A$12,0),0),2),0))</f>
        <v/>
      </c>
      <c r="K56">
        <f>IF(OR($A56="",J56=0),"",ROUND(I56/J56*100,1))</f>
        <v/>
      </c>
      <c r="L56">
        <f>IF($A56="","",IFERROR(INDEX(Papers!$G$2:$G$12,MATCH($C56,Papers!$A$2:$A$12,0)),""))</f>
        <v/>
      </c>
      <c r="M56">
        <f>IF($A56="","",IFERROR(SUMPRODUCT((INDEX(SubMap!$B$2:$AE$12,MATCH($C56,SubMap!$A$2:$A$12,0),0)=3)*Attempts!$AR56:$BU56),0))</f>
        <v/>
      </c>
      <c r="N56">
        <f>IF($A56="","",IFERROR(COUNTIF(INDEX(SubMap!$B$2:$AE$12,MATCH($C56,SubMap!$A$2:$A$12,0),0),3),0))</f>
        <v/>
      </c>
      <c r="O56">
        <f>IF(OR($A56="",N56=0),"",ROUND(M56/N56*100,1))</f>
        <v/>
      </c>
      <c r="P56">
        <f>IF($A56="","",IFERROR(INDEX(Papers!$H$2:$H$12,MATCH($C56,Papers!$A$2:$A$12,0)),""))</f>
        <v/>
      </c>
      <c r="Q56">
        <f>IF($A56="","",IFERROR(SUMPRODUCT((INDEX(SubMap!$B$2:$AE$12,MATCH($C56,SubMap!$A$2:$A$12,0),0)=4)*Attempts!$AR56:$BU56),0))</f>
        <v/>
      </c>
      <c r="R56">
        <f>IF($A56="","",IFERROR(COUNTIF(INDEX(SubMap!$B$2:$AE$12,MATCH($C56,SubMap!$A$2:$A$12,0),0),4),0))</f>
        <v/>
      </c>
      <c r="S56">
        <f>IF(OR($A56="",R56=0),"",ROUND(Q56/R56*100,1))</f>
        <v/>
      </c>
      <c r="T56">
        <f>IF($A56="","",IFERROR(INDEX(Papers!$I$2:$I$12,MATCH($C56,Papers!$A$2:$A$12,0)),""))</f>
        <v/>
      </c>
      <c r="U56">
        <f>IF($A56="","",IFERROR(SUMPRODUCT((INDEX(SubMap!$B$2:$AE$12,MATCH($C56,SubMap!$A$2:$A$12,0),0)=5)*Attempts!$AR56:$BU56),0))</f>
        <v/>
      </c>
      <c r="V56">
        <f>IF($A56="","",IFERROR(COUNTIF(INDEX(SubMap!$B$2:$AE$12,MATCH($C56,SubMap!$A$2:$A$12,0),0),5),0))</f>
        <v/>
      </c>
      <c r="W56">
        <f>IF(OR($A56="",V56=0),"",ROUND(U56/V56*100,1))</f>
        <v/>
      </c>
      <c r="X56">
        <f>IF($A56="","",IFERROR(INDEX(Papers!$J$2:$J$12,MATCH($C56,Papers!$A$2:$A$12,0)),""))</f>
        <v/>
      </c>
      <c r="Y56">
        <f>IF($A56="","",IFERROR(SUMPRODUCT((INDEX(SubMap!$B$2:$AE$12,MATCH($C56,SubMap!$A$2:$A$12,0),0)=6)*Attempts!$AR56:$BU56),0))</f>
        <v/>
      </c>
      <c r="Z56">
        <f>IF($A56="","",IFERROR(COUNTIF(INDEX(SubMap!$B$2:$AE$12,MATCH($C56,SubMap!$A$2:$A$12,0),0),6),0))</f>
        <v/>
      </c>
      <c r="AA56">
        <f>IF(OR($A56="",Z56=0),"",ROUND(Y56/Z56*100,1))</f>
        <v/>
      </c>
      <c r="AB56">
        <f>IF($A56="","",IFERROR(INDEX(CHOOSE({1,2,3,4,5,6},D56,H56,L56,P56,T56,X56),MATCH(MIN(G56,K56,O56,S56,W56,AA56),CHOOSE({1,2,3,4,5,6},G56,K56,O56,S56,W56,AA56),0)),""))</f>
        <v/>
      </c>
      <c r="AC56">
        <f>IF($A56="","",IF(COUNT(G56,K56,O56,S56,W56,AA56)=0,"",MIN(G56,K56,O56,S56,W56,AA56)))</f>
        <v/>
      </c>
      <c r="AD56">
        <f>IF($A56="","",IFERROR(INDEX(CHOOSE({1,2,3,4,5,6},IFERROR(INDEX(Papers!$K$2:$K$12,MATCH($C56,Papers!$A$2:$A$12,0)),""),IFERROR(INDEX(Papers!$L$2:$L$12,MATCH($C56,Papers!$A$2:$A$12,0)),""),IFERROR(INDEX(Papers!$M$2:$M$12,MATCH($C56,Papers!$A$2:$A$12,0)),""),IFERROR(INDEX(Papers!$N$2:$N$12,MATCH($C56,Papers!$A$2:$A$12,0)),""),IFERROR(INDEX(Papers!$O$2:$O$12,MATCH($C56,Papers!$A$2:$A$12,0)),""),IFERROR(INDEX(Papers!$P$2:$P$12,MATCH($C56,Papers!$A$2:$A$12,0)),"")),MATCH(MIN(G56,K56,O56,S56,W56,AA56),CHOOSE({1,2,3,4,5,6},G56,K56,O56,S56,W56,AA56),0)),""))</f>
        <v/>
      </c>
      <c r="AE56">
        <f>IF(AC56="","",IF(AC56&lt;50,"Re-teach",IF(AC56&lt;75,"Practice more","Relatively secure")))</f>
        <v/>
      </c>
    </row>
    <row r="57">
      <c r="A57">
        <f>IF(Attempts!A57="","",Attempts!A57)</f>
        <v/>
      </c>
      <c r="B57">
        <f>IF(Attempts!A57="","",Attempts!B57)</f>
        <v/>
      </c>
      <c r="C57">
        <f>IF(Attempts!A57="","",Attempts!D57)</f>
        <v/>
      </c>
      <c r="D57">
        <f>IF($A57="","",IFERROR(INDEX(Papers!$E$2:$E$12,MATCH($C57,Papers!$A$2:$A$12,0)),""))</f>
        <v/>
      </c>
      <c r="E57">
        <f>IF($A57="","",IFERROR(SUMPRODUCT((INDEX(SubMap!$B$2:$AE$12,MATCH($C57,SubMap!$A$2:$A$12,0),0)=1)*Attempts!$AR57:$BU57),0))</f>
        <v/>
      </c>
      <c r="F57">
        <f>IF($A57="","",IFERROR(COUNTIF(INDEX(SubMap!$B$2:$AE$12,MATCH($C57,SubMap!$A$2:$A$12,0),0),1),0))</f>
        <v/>
      </c>
      <c r="G57">
        <f>IF(OR($A57="",F57=0),"",ROUND(E57/F57*100,1))</f>
        <v/>
      </c>
      <c r="H57">
        <f>IF($A57="","",IFERROR(INDEX(Papers!$F$2:$F$12,MATCH($C57,Papers!$A$2:$A$12,0)),""))</f>
        <v/>
      </c>
      <c r="I57">
        <f>IF($A57="","",IFERROR(SUMPRODUCT((INDEX(SubMap!$B$2:$AE$12,MATCH($C57,SubMap!$A$2:$A$12,0),0)=2)*Attempts!$AR57:$BU57),0))</f>
        <v/>
      </c>
      <c r="J57">
        <f>IF($A57="","",IFERROR(COUNTIF(INDEX(SubMap!$B$2:$AE$12,MATCH($C57,SubMap!$A$2:$A$12,0),0),2),0))</f>
        <v/>
      </c>
      <c r="K57">
        <f>IF(OR($A57="",J57=0),"",ROUND(I57/J57*100,1))</f>
        <v/>
      </c>
      <c r="L57">
        <f>IF($A57="","",IFERROR(INDEX(Papers!$G$2:$G$12,MATCH($C57,Papers!$A$2:$A$12,0)),""))</f>
        <v/>
      </c>
      <c r="M57">
        <f>IF($A57="","",IFERROR(SUMPRODUCT((INDEX(SubMap!$B$2:$AE$12,MATCH($C57,SubMap!$A$2:$A$12,0),0)=3)*Attempts!$AR57:$BU57),0))</f>
        <v/>
      </c>
      <c r="N57">
        <f>IF($A57="","",IFERROR(COUNTIF(INDEX(SubMap!$B$2:$AE$12,MATCH($C57,SubMap!$A$2:$A$12,0),0),3),0))</f>
        <v/>
      </c>
      <c r="O57">
        <f>IF(OR($A57="",N57=0),"",ROUND(M57/N57*100,1))</f>
        <v/>
      </c>
      <c r="P57">
        <f>IF($A57="","",IFERROR(INDEX(Papers!$H$2:$H$12,MATCH($C57,Papers!$A$2:$A$12,0)),""))</f>
        <v/>
      </c>
      <c r="Q57">
        <f>IF($A57="","",IFERROR(SUMPRODUCT((INDEX(SubMap!$B$2:$AE$12,MATCH($C57,SubMap!$A$2:$A$12,0),0)=4)*Attempts!$AR57:$BU57),0))</f>
        <v/>
      </c>
      <c r="R57">
        <f>IF($A57="","",IFERROR(COUNTIF(INDEX(SubMap!$B$2:$AE$12,MATCH($C57,SubMap!$A$2:$A$12,0),0),4),0))</f>
        <v/>
      </c>
      <c r="S57">
        <f>IF(OR($A57="",R57=0),"",ROUND(Q57/R57*100,1))</f>
        <v/>
      </c>
      <c r="T57">
        <f>IF($A57="","",IFERROR(INDEX(Papers!$I$2:$I$12,MATCH($C57,Papers!$A$2:$A$12,0)),""))</f>
        <v/>
      </c>
      <c r="U57">
        <f>IF($A57="","",IFERROR(SUMPRODUCT((INDEX(SubMap!$B$2:$AE$12,MATCH($C57,SubMap!$A$2:$A$12,0),0)=5)*Attempts!$AR57:$BU57),0))</f>
        <v/>
      </c>
      <c r="V57">
        <f>IF($A57="","",IFERROR(COUNTIF(INDEX(SubMap!$B$2:$AE$12,MATCH($C57,SubMap!$A$2:$A$12,0),0),5),0))</f>
        <v/>
      </c>
      <c r="W57">
        <f>IF(OR($A57="",V57=0),"",ROUND(U57/V57*100,1))</f>
        <v/>
      </c>
      <c r="X57">
        <f>IF($A57="","",IFERROR(INDEX(Papers!$J$2:$J$12,MATCH($C57,Papers!$A$2:$A$12,0)),""))</f>
        <v/>
      </c>
      <c r="Y57">
        <f>IF($A57="","",IFERROR(SUMPRODUCT((INDEX(SubMap!$B$2:$AE$12,MATCH($C57,SubMap!$A$2:$A$12,0),0)=6)*Attempts!$AR57:$BU57),0))</f>
        <v/>
      </c>
      <c r="Z57">
        <f>IF($A57="","",IFERROR(COUNTIF(INDEX(SubMap!$B$2:$AE$12,MATCH($C57,SubMap!$A$2:$A$12,0),0),6),0))</f>
        <v/>
      </c>
      <c r="AA57">
        <f>IF(OR($A57="",Z57=0),"",ROUND(Y57/Z57*100,1))</f>
        <v/>
      </c>
      <c r="AB57">
        <f>IF($A57="","",IFERROR(INDEX(CHOOSE({1,2,3,4,5,6},D57,H57,L57,P57,T57,X57),MATCH(MIN(G57,K57,O57,S57,W57,AA57),CHOOSE({1,2,3,4,5,6},G57,K57,O57,S57,W57,AA57),0)),""))</f>
        <v/>
      </c>
      <c r="AC57">
        <f>IF($A57="","",IF(COUNT(G57,K57,O57,S57,W57,AA57)=0,"",MIN(G57,K57,O57,S57,W57,AA57)))</f>
        <v/>
      </c>
      <c r="AD57">
        <f>IF($A57="","",IFERROR(INDEX(CHOOSE({1,2,3,4,5,6},IFERROR(INDEX(Papers!$K$2:$K$12,MATCH($C57,Papers!$A$2:$A$12,0)),""),IFERROR(INDEX(Papers!$L$2:$L$12,MATCH($C57,Papers!$A$2:$A$12,0)),""),IFERROR(INDEX(Papers!$M$2:$M$12,MATCH($C57,Papers!$A$2:$A$12,0)),""),IFERROR(INDEX(Papers!$N$2:$N$12,MATCH($C57,Papers!$A$2:$A$12,0)),""),IFERROR(INDEX(Papers!$O$2:$O$12,MATCH($C57,Papers!$A$2:$A$12,0)),""),IFERROR(INDEX(Papers!$P$2:$P$12,MATCH($C57,Papers!$A$2:$A$12,0)),"")),MATCH(MIN(G57,K57,O57,S57,W57,AA57),CHOOSE({1,2,3,4,5,6},G57,K57,O57,S57,W57,AA57),0)),""))</f>
        <v/>
      </c>
      <c r="AE57">
        <f>IF(AC57="","",IF(AC57&lt;50,"Re-teach",IF(AC57&lt;75,"Practice more","Relatively secure")))</f>
        <v/>
      </c>
    </row>
    <row r="58">
      <c r="A58">
        <f>IF(Attempts!A58="","",Attempts!A58)</f>
        <v/>
      </c>
      <c r="B58">
        <f>IF(Attempts!A58="","",Attempts!B58)</f>
        <v/>
      </c>
      <c r="C58">
        <f>IF(Attempts!A58="","",Attempts!D58)</f>
        <v/>
      </c>
      <c r="D58">
        <f>IF($A58="","",IFERROR(INDEX(Papers!$E$2:$E$12,MATCH($C58,Papers!$A$2:$A$12,0)),""))</f>
        <v/>
      </c>
      <c r="E58">
        <f>IF($A58="","",IFERROR(SUMPRODUCT((INDEX(SubMap!$B$2:$AE$12,MATCH($C58,SubMap!$A$2:$A$12,0),0)=1)*Attempts!$AR58:$BU58),0))</f>
        <v/>
      </c>
      <c r="F58">
        <f>IF($A58="","",IFERROR(COUNTIF(INDEX(SubMap!$B$2:$AE$12,MATCH($C58,SubMap!$A$2:$A$12,0),0),1),0))</f>
        <v/>
      </c>
      <c r="G58">
        <f>IF(OR($A58="",F58=0),"",ROUND(E58/F58*100,1))</f>
        <v/>
      </c>
      <c r="H58">
        <f>IF($A58="","",IFERROR(INDEX(Papers!$F$2:$F$12,MATCH($C58,Papers!$A$2:$A$12,0)),""))</f>
        <v/>
      </c>
      <c r="I58">
        <f>IF($A58="","",IFERROR(SUMPRODUCT((INDEX(SubMap!$B$2:$AE$12,MATCH($C58,SubMap!$A$2:$A$12,0),0)=2)*Attempts!$AR58:$BU58),0))</f>
        <v/>
      </c>
      <c r="J58">
        <f>IF($A58="","",IFERROR(COUNTIF(INDEX(SubMap!$B$2:$AE$12,MATCH($C58,SubMap!$A$2:$A$12,0),0),2),0))</f>
        <v/>
      </c>
      <c r="K58">
        <f>IF(OR($A58="",J58=0),"",ROUND(I58/J58*100,1))</f>
        <v/>
      </c>
      <c r="L58">
        <f>IF($A58="","",IFERROR(INDEX(Papers!$G$2:$G$12,MATCH($C58,Papers!$A$2:$A$12,0)),""))</f>
        <v/>
      </c>
      <c r="M58">
        <f>IF($A58="","",IFERROR(SUMPRODUCT((INDEX(SubMap!$B$2:$AE$12,MATCH($C58,SubMap!$A$2:$A$12,0),0)=3)*Attempts!$AR58:$BU58),0))</f>
        <v/>
      </c>
      <c r="N58">
        <f>IF($A58="","",IFERROR(COUNTIF(INDEX(SubMap!$B$2:$AE$12,MATCH($C58,SubMap!$A$2:$A$12,0),0),3),0))</f>
        <v/>
      </c>
      <c r="O58">
        <f>IF(OR($A58="",N58=0),"",ROUND(M58/N58*100,1))</f>
        <v/>
      </c>
      <c r="P58">
        <f>IF($A58="","",IFERROR(INDEX(Papers!$H$2:$H$12,MATCH($C58,Papers!$A$2:$A$12,0)),""))</f>
        <v/>
      </c>
      <c r="Q58">
        <f>IF($A58="","",IFERROR(SUMPRODUCT((INDEX(SubMap!$B$2:$AE$12,MATCH($C58,SubMap!$A$2:$A$12,0),0)=4)*Attempts!$AR58:$BU58),0))</f>
        <v/>
      </c>
      <c r="R58">
        <f>IF($A58="","",IFERROR(COUNTIF(INDEX(SubMap!$B$2:$AE$12,MATCH($C58,SubMap!$A$2:$A$12,0),0),4),0))</f>
        <v/>
      </c>
      <c r="S58">
        <f>IF(OR($A58="",R58=0),"",ROUND(Q58/R58*100,1))</f>
        <v/>
      </c>
      <c r="T58">
        <f>IF($A58="","",IFERROR(INDEX(Papers!$I$2:$I$12,MATCH($C58,Papers!$A$2:$A$12,0)),""))</f>
        <v/>
      </c>
      <c r="U58">
        <f>IF($A58="","",IFERROR(SUMPRODUCT((INDEX(SubMap!$B$2:$AE$12,MATCH($C58,SubMap!$A$2:$A$12,0),0)=5)*Attempts!$AR58:$BU58),0))</f>
        <v/>
      </c>
      <c r="V58">
        <f>IF($A58="","",IFERROR(COUNTIF(INDEX(SubMap!$B$2:$AE$12,MATCH($C58,SubMap!$A$2:$A$12,0),0),5),0))</f>
        <v/>
      </c>
      <c r="W58">
        <f>IF(OR($A58="",V58=0),"",ROUND(U58/V58*100,1))</f>
        <v/>
      </c>
      <c r="X58">
        <f>IF($A58="","",IFERROR(INDEX(Papers!$J$2:$J$12,MATCH($C58,Papers!$A$2:$A$12,0)),""))</f>
        <v/>
      </c>
      <c r="Y58">
        <f>IF($A58="","",IFERROR(SUMPRODUCT((INDEX(SubMap!$B$2:$AE$12,MATCH($C58,SubMap!$A$2:$A$12,0),0)=6)*Attempts!$AR58:$BU58),0))</f>
        <v/>
      </c>
      <c r="Z58">
        <f>IF($A58="","",IFERROR(COUNTIF(INDEX(SubMap!$B$2:$AE$12,MATCH($C58,SubMap!$A$2:$A$12,0),0),6),0))</f>
        <v/>
      </c>
      <c r="AA58">
        <f>IF(OR($A58="",Z58=0),"",ROUND(Y58/Z58*100,1))</f>
        <v/>
      </c>
      <c r="AB58">
        <f>IF($A58="","",IFERROR(INDEX(CHOOSE({1,2,3,4,5,6},D58,H58,L58,P58,T58,X58),MATCH(MIN(G58,K58,O58,S58,W58,AA58),CHOOSE({1,2,3,4,5,6},G58,K58,O58,S58,W58,AA58),0)),""))</f>
        <v/>
      </c>
      <c r="AC58">
        <f>IF($A58="","",IF(COUNT(G58,K58,O58,S58,W58,AA58)=0,"",MIN(G58,K58,O58,S58,W58,AA58)))</f>
        <v/>
      </c>
      <c r="AD58">
        <f>IF($A58="","",IFERROR(INDEX(CHOOSE({1,2,3,4,5,6},IFERROR(INDEX(Papers!$K$2:$K$12,MATCH($C58,Papers!$A$2:$A$12,0)),""),IFERROR(INDEX(Papers!$L$2:$L$12,MATCH($C58,Papers!$A$2:$A$12,0)),""),IFERROR(INDEX(Papers!$M$2:$M$12,MATCH($C58,Papers!$A$2:$A$12,0)),""),IFERROR(INDEX(Papers!$N$2:$N$12,MATCH($C58,Papers!$A$2:$A$12,0)),""),IFERROR(INDEX(Papers!$O$2:$O$12,MATCH($C58,Papers!$A$2:$A$12,0)),""),IFERROR(INDEX(Papers!$P$2:$P$12,MATCH($C58,Papers!$A$2:$A$12,0)),"")),MATCH(MIN(G58,K58,O58,S58,W58,AA58),CHOOSE({1,2,3,4,5,6},G58,K58,O58,S58,W58,AA58),0)),""))</f>
        <v/>
      </c>
      <c r="AE58">
        <f>IF(AC58="","",IF(AC58&lt;50,"Re-teach",IF(AC58&lt;75,"Practice more","Relatively secure")))</f>
        <v/>
      </c>
    </row>
    <row r="59">
      <c r="A59">
        <f>IF(Attempts!A59="","",Attempts!A59)</f>
        <v/>
      </c>
      <c r="B59">
        <f>IF(Attempts!A59="","",Attempts!B59)</f>
        <v/>
      </c>
      <c r="C59">
        <f>IF(Attempts!A59="","",Attempts!D59)</f>
        <v/>
      </c>
      <c r="D59">
        <f>IF($A59="","",IFERROR(INDEX(Papers!$E$2:$E$12,MATCH($C59,Papers!$A$2:$A$12,0)),""))</f>
        <v/>
      </c>
      <c r="E59">
        <f>IF($A59="","",IFERROR(SUMPRODUCT((INDEX(SubMap!$B$2:$AE$12,MATCH($C59,SubMap!$A$2:$A$12,0),0)=1)*Attempts!$AR59:$BU59),0))</f>
        <v/>
      </c>
      <c r="F59">
        <f>IF($A59="","",IFERROR(COUNTIF(INDEX(SubMap!$B$2:$AE$12,MATCH($C59,SubMap!$A$2:$A$12,0),0),1),0))</f>
        <v/>
      </c>
      <c r="G59">
        <f>IF(OR($A59="",F59=0),"",ROUND(E59/F59*100,1))</f>
        <v/>
      </c>
      <c r="H59">
        <f>IF($A59="","",IFERROR(INDEX(Papers!$F$2:$F$12,MATCH($C59,Papers!$A$2:$A$12,0)),""))</f>
        <v/>
      </c>
      <c r="I59">
        <f>IF($A59="","",IFERROR(SUMPRODUCT((INDEX(SubMap!$B$2:$AE$12,MATCH($C59,SubMap!$A$2:$A$12,0),0)=2)*Attempts!$AR59:$BU59),0))</f>
        <v/>
      </c>
      <c r="J59">
        <f>IF($A59="","",IFERROR(COUNTIF(INDEX(SubMap!$B$2:$AE$12,MATCH($C59,SubMap!$A$2:$A$12,0),0),2),0))</f>
        <v/>
      </c>
      <c r="K59">
        <f>IF(OR($A59="",J59=0),"",ROUND(I59/J59*100,1))</f>
        <v/>
      </c>
      <c r="L59">
        <f>IF($A59="","",IFERROR(INDEX(Papers!$G$2:$G$12,MATCH($C59,Papers!$A$2:$A$12,0)),""))</f>
        <v/>
      </c>
      <c r="M59">
        <f>IF($A59="","",IFERROR(SUMPRODUCT((INDEX(SubMap!$B$2:$AE$12,MATCH($C59,SubMap!$A$2:$A$12,0),0)=3)*Attempts!$AR59:$BU59),0))</f>
        <v/>
      </c>
      <c r="N59">
        <f>IF($A59="","",IFERROR(COUNTIF(INDEX(SubMap!$B$2:$AE$12,MATCH($C59,SubMap!$A$2:$A$12,0),0),3),0))</f>
        <v/>
      </c>
      <c r="O59">
        <f>IF(OR($A59="",N59=0),"",ROUND(M59/N59*100,1))</f>
        <v/>
      </c>
      <c r="P59">
        <f>IF($A59="","",IFERROR(INDEX(Papers!$H$2:$H$12,MATCH($C59,Papers!$A$2:$A$12,0)),""))</f>
        <v/>
      </c>
      <c r="Q59">
        <f>IF($A59="","",IFERROR(SUMPRODUCT((INDEX(SubMap!$B$2:$AE$12,MATCH($C59,SubMap!$A$2:$A$12,0),0)=4)*Attempts!$AR59:$BU59),0))</f>
        <v/>
      </c>
      <c r="R59">
        <f>IF($A59="","",IFERROR(COUNTIF(INDEX(SubMap!$B$2:$AE$12,MATCH($C59,SubMap!$A$2:$A$12,0),0),4),0))</f>
        <v/>
      </c>
      <c r="S59">
        <f>IF(OR($A59="",R59=0),"",ROUND(Q59/R59*100,1))</f>
        <v/>
      </c>
      <c r="T59">
        <f>IF($A59="","",IFERROR(INDEX(Papers!$I$2:$I$12,MATCH($C59,Papers!$A$2:$A$12,0)),""))</f>
        <v/>
      </c>
      <c r="U59">
        <f>IF($A59="","",IFERROR(SUMPRODUCT((INDEX(SubMap!$B$2:$AE$12,MATCH($C59,SubMap!$A$2:$A$12,0),0)=5)*Attempts!$AR59:$BU59),0))</f>
        <v/>
      </c>
      <c r="V59">
        <f>IF($A59="","",IFERROR(COUNTIF(INDEX(SubMap!$B$2:$AE$12,MATCH($C59,SubMap!$A$2:$A$12,0),0),5),0))</f>
        <v/>
      </c>
      <c r="W59">
        <f>IF(OR($A59="",V59=0),"",ROUND(U59/V59*100,1))</f>
        <v/>
      </c>
      <c r="X59">
        <f>IF($A59="","",IFERROR(INDEX(Papers!$J$2:$J$12,MATCH($C59,Papers!$A$2:$A$12,0)),""))</f>
        <v/>
      </c>
      <c r="Y59">
        <f>IF($A59="","",IFERROR(SUMPRODUCT((INDEX(SubMap!$B$2:$AE$12,MATCH($C59,SubMap!$A$2:$A$12,0),0)=6)*Attempts!$AR59:$BU59),0))</f>
        <v/>
      </c>
      <c r="Z59">
        <f>IF($A59="","",IFERROR(COUNTIF(INDEX(SubMap!$B$2:$AE$12,MATCH($C59,SubMap!$A$2:$A$12,0),0),6),0))</f>
        <v/>
      </c>
      <c r="AA59">
        <f>IF(OR($A59="",Z59=0),"",ROUND(Y59/Z59*100,1))</f>
        <v/>
      </c>
      <c r="AB59">
        <f>IF($A59="","",IFERROR(INDEX(CHOOSE({1,2,3,4,5,6},D59,H59,L59,P59,T59,X59),MATCH(MIN(G59,K59,O59,S59,W59,AA59),CHOOSE({1,2,3,4,5,6},G59,K59,O59,S59,W59,AA59),0)),""))</f>
        <v/>
      </c>
      <c r="AC59">
        <f>IF($A59="","",IF(COUNT(G59,K59,O59,S59,W59,AA59)=0,"",MIN(G59,K59,O59,S59,W59,AA59)))</f>
        <v/>
      </c>
      <c r="AD59">
        <f>IF($A59="","",IFERROR(INDEX(CHOOSE({1,2,3,4,5,6},IFERROR(INDEX(Papers!$K$2:$K$12,MATCH($C59,Papers!$A$2:$A$12,0)),""),IFERROR(INDEX(Papers!$L$2:$L$12,MATCH($C59,Papers!$A$2:$A$12,0)),""),IFERROR(INDEX(Papers!$M$2:$M$12,MATCH($C59,Papers!$A$2:$A$12,0)),""),IFERROR(INDEX(Papers!$N$2:$N$12,MATCH($C59,Papers!$A$2:$A$12,0)),""),IFERROR(INDEX(Papers!$O$2:$O$12,MATCH($C59,Papers!$A$2:$A$12,0)),""),IFERROR(INDEX(Papers!$P$2:$P$12,MATCH($C59,Papers!$A$2:$A$12,0)),"")),MATCH(MIN(G59,K59,O59,S59,W59,AA59),CHOOSE({1,2,3,4,5,6},G59,K59,O59,S59,W59,AA59),0)),""))</f>
        <v/>
      </c>
      <c r="AE59">
        <f>IF(AC59="","",IF(AC59&lt;50,"Re-teach",IF(AC59&lt;75,"Practice more","Relatively secure")))</f>
        <v/>
      </c>
    </row>
    <row r="60">
      <c r="A60">
        <f>IF(Attempts!A60="","",Attempts!A60)</f>
        <v/>
      </c>
      <c r="B60">
        <f>IF(Attempts!A60="","",Attempts!B60)</f>
        <v/>
      </c>
      <c r="C60">
        <f>IF(Attempts!A60="","",Attempts!D60)</f>
        <v/>
      </c>
      <c r="D60">
        <f>IF($A60="","",IFERROR(INDEX(Papers!$E$2:$E$12,MATCH($C60,Papers!$A$2:$A$12,0)),""))</f>
        <v/>
      </c>
      <c r="E60">
        <f>IF($A60="","",IFERROR(SUMPRODUCT((INDEX(SubMap!$B$2:$AE$12,MATCH($C60,SubMap!$A$2:$A$12,0),0)=1)*Attempts!$AR60:$BU60),0))</f>
        <v/>
      </c>
      <c r="F60">
        <f>IF($A60="","",IFERROR(COUNTIF(INDEX(SubMap!$B$2:$AE$12,MATCH($C60,SubMap!$A$2:$A$12,0),0),1),0))</f>
        <v/>
      </c>
      <c r="G60">
        <f>IF(OR($A60="",F60=0),"",ROUND(E60/F60*100,1))</f>
        <v/>
      </c>
      <c r="H60">
        <f>IF($A60="","",IFERROR(INDEX(Papers!$F$2:$F$12,MATCH($C60,Papers!$A$2:$A$12,0)),""))</f>
        <v/>
      </c>
      <c r="I60">
        <f>IF($A60="","",IFERROR(SUMPRODUCT((INDEX(SubMap!$B$2:$AE$12,MATCH($C60,SubMap!$A$2:$A$12,0),0)=2)*Attempts!$AR60:$BU60),0))</f>
        <v/>
      </c>
      <c r="J60">
        <f>IF($A60="","",IFERROR(COUNTIF(INDEX(SubMap!$B$2:$AE$12,MATCH($C60,SubMap!$A$2:$A$12,0),0),2),0))</f>
        <v/>
      </c>
      <c r="K60">
        <f>IF(OR($A60="",J60=0),"",ROUND(I60/J60*100,1))</f>
        <v/>
      </c>
      <c r="L60">
        <f>IF($A60="","",IFERROR(INDEX(Papers!$G$2:$G$12,MATCH($C60,Papers!$A$2:$A$12,0)),""))</f>
        <v/>
      </c>
      <c r="M60">
        <f>IF($A60="","",IFERROR(SUMPRODUCT((INDEX(SubMap!$B$2:$AE$12,MATCH($C60,SubMap!$A$2:$A$12,0),0)=3)*Attempts!$AR60:$BU60),0))</f>
        <v/>
      </c>
      <c r="N60">
        <f>IF($A60="","",IFERROR(COUNTIF(INDEX(SubMap!$B$2:$AE$12,MATCH($C60,SubMap!$A$2:$A$12,0),0),3),0))</f>
        <v/>
      </c>
      <c r="O60">
        <f>IF(OR($A60="",N60=0),"",ROUND(M60/N60*100,1))</f>
        <v/>
      </c>
      <c r="P60">
        <f>IF($A60="","",IFERROR(INDEX(Papers!$H$2:$H$12,MATCH($C60,Papers!$A$2:$A$12,0)),""))</f>
        <v/>
      </c>
      <c r="Q60">
        <f>IF($A60="","",IFERROR(SUMPRODUCT((INDEX(SubMap!$B$2:$AE$12,MATCH($C60,SubMap!$A$2:$A$12,0),0)=4)*Attempts!$AR60:$BU60),0))</f>
        <v/>
      </c>
      <c r="R60">
        <f>IF($A60="","",IFERROR(COUNTIF(INDEX(SubMap!$B$2:$AE$12,MATCH($C60,SubMap!$A$2:$A$12,0),0),4),0))</f>
        <v/>
      </c>
      <c r="S60">
        <f>IF(OR($A60="",R60=0),"",ROUND(Q60/R60*100,1))</f>
        <v/>
      </c>
      <c r="T60">
        <f>IF($A60="","",IFERROR(INDEX(Papers!$I$2:$I$12,MATCH($C60,Papers!$A$2:$A$12,0)),""))</f>
        <v/>
      </c>
      <c r="U60">
        <f>IF($A60="","",IFERROR(SUMPRODUCT((INDEX(SubMap!$B$2:$AE$12,MATCH($C60,SubMap!$A$2:$A$12,0),0)=5)*Attempts!$AR60:$BU60),0))</f>
        <v/>
      </c>
      <c r="V60">
        <f>IF($A60="","",IFERROR(COUNTIF(INDEX(SubMap!$B$2:$AE$12,MATCH($C60,SubMap!$A$2:$A$12,0),0),5),0))</f>
        <v/>
      </c>
      <c r="W60">
        <f>IF(OR($A60="",V60=0),"",ROUND(U60/V60*100,1))</f>
        <v/>
      </c>
      <c r="X60">
        <f>IF($A60="","",IFERROR(INDEX(Papers!$J$2:$J$12,MATCH($C60,Papers!$A$2:$A$12,0)),""))</f>
        <v/>
      </c>
      <c r="Y60">
        <f>IF($A60="","",IFERROR(SUMPRODUCT((INDEX(SubMap!$B$2:$AE$12,MATCH($C60,SubMap!$A$2:$A$12,0),0)=6)*Attempts!$AR60:$BU60),0))</f>
        <v/>
      </c>
      <c r="Z60">
        <f>IF($A60="","",IFERROR(COUNTIF(INDEX(SubMap!$B$2:$AE$12,MATCH($C60,SubMap!$A$2:$A$12,0),0),6),0))</f>
        <v/>
      </c>
      <c r="AA60">
        <f>IF(OR($A60="",Z60=0),"",ROUND(Y60/Z60*100,1))</f>
        <v/>
      </c>
      <c r="AB60">
        <f>IF($A60="","",IFERROR(INDEX(CHOOSE({1,2,3,4,5,6},D60,H60,L60,P60,T60,X60),MATCH(MIN(G60,K60,O60,S60,W60,AA60),CHOOSE({1,2,3,4,5,6},G60,K60,O60,S60,W60,AA60),0)),""))</f>
        <v/>
      </c>
      <c r="AC60">
        <f>IF($A60="","",IF(COUNT(G60,K60,O60,S60,W60,AA60)=0,"",MIN(G60,K60,O60,S60,W60,AA60)))</f>
        <v/>
      </c>
      <c r="AD60">
        <f>IF($A60="","",IFERROR(INDEX(CHOOSE({1,2,3,4,5,6},IFERROR(INDEX(Papers!$K$2:$K$12,MATCH($C60,Papers!$A$2:$A$12,0)),""),IFERROR(INDEX(Papers!$L$2:$L$12,MATCH($C60,Papers!$A$2:$A$12,0)),""),IFERROR(INDEX(Papers!$M$2:$M$12,MATCH($C60,Papers!$A$2:$A$12,0)),""),IFERROR(INDEX(Papers!$N$2:$N$12,MATCH($C60,Papers!$A$2:$A$12,0)),""),IFERROR(INDEX(Papers!$O$2:$O$12,MATCH($C60,Papers!$A$2:$A$12,0)),""),IFERROR(INDEX(Papers!$P$2:$P$12,MATCH($C60,Papers!$A$2:$A$12,0)),"")),MATCH(MIN(G60,K60,O60,S60,W60,AA60),CHOOSE({1,2,3,4,5,6},G60,K60,O60,S60,W60,AA60),0)),""))</f>
        <v/>
      </c>
      <c r="AE60">
        <f>IF(AC60="","",IF(AC60&lt;50,"Re-teach",IF(AC60&lt;75,"Practice more","Relatively secure")))</f>
        <v/>
      </c>
    </row>
    <row r="61">
      <c r="A61">
        <f>IF(Attempts!A61="","",Attempts!A61)</f>
        <v/>
      </c>
      <c r="B61">
        <f>IF(Attempts!A61="","",Attempts!B61)</f>
        <v/>
      </c>
      <c r="C61">
        <f>IF(Attempts!A61="","",Attempts!D61)</f>
        <v/>
      </c>
      <c r="D61">
        <f>IF($A61="","",IFERROR(INDEX(Papers!$E$2:$E$12,MATCH($C61,Papers!$A$2:$A$12,0)),""))</f>
        <v/>
      </c>
      <c r="E61">
        <f>IF($A61="","",IFERROR(SUMPRODUCT((INDEX(SubMap!$B$2:$AE$12,MATCH($C61,SubMap!$A$2:$A$12,0),0)=1)*Attempts!$AR61:$BU61),0))</f>
        <v/>
      </c>
      <c r="F61">
        <f>IF($A61="","",IFERROR(COUNTIF(INDEX(SubMap!$B$2:$AE$12,MATCH($C61,SubMap!$A$2:$A$12,0),0),1),0))</f>
        <v/>
      </c>
      <c r="G61">
        <f>IF(OR($A61="",F61=0),"",ROUND(E61/F61*100,1))</f>
        <v/>
      </c>
      <c r="H61">
        <f>IF($A61="","",IFERROR(INDEX(Papers!$F$2:$F$12,MATCH($C61,Papers!$A$2:$A$12,0)),""))</f>
        <v/>
      </c>
      <c r="I61">
        <f>IF($A61="","",IFERROR(SUMPRODUCT((INDEX(SubMap!$B$2:$AE$12,MATCH($C61,SubMap!$A$2:$A$12,0),0)=2)*Attempts!$AR61:$BU61),0))</f>
        <v/>
      </c>
      <c r="J61">
        <f>IF($A61="","",IFERROR(COUNTIF(INDEX(SubMap!$B$2:$AE$12,MATCH($C61,SubMap!$A$2:$A$12,0),0),2),0))</f>
        <v/>
      </c>
      <c r="K61">
        <f>IF(OR($A61="",J61=0),"",ROUND(I61/J61*100,1))</f>
        <v/>
      </c>
      <c r="L61">
        <f>IF($A61="","",IFERROR(INDEX(Papers!$G$2:$G$12,MATCH($C61,Papers!$A$2:$A$12,0)),""))</f>
        <v/>
      </c>
      <c r="M61">
        <f>IF($A61="","",IFERROR(SUMPRODUCT((INDEX(SubMap!$B$2:$AE$12,MATCH($C61,SubMap!$A$2:$A$12,0),0)=3)*Attempts!$AR61:$BU61),0))</f>
        <v/>
      </c>
      <c r="N61">
        <f>IF($A61="","",IFERROR(COUNTIF(INDEX(SubMap!$B$2:$AE$12,MATCH($C61,SubMap!$A$2:$A$12,0),0),3),0))</f>
        <v/>
      </c>
      <c r="O61">
        <f>IF(OR($A61="",N61=0),"",ROUND(M61/N61*100,1))</f>
        <v/>
      </c>
      <c r="P61">
        <f>IF($A61="","",IFERROR(INDEX(Papers!$H$2:$H$12,MATCH($C61,Papers!$A$2:$A$12,0)),""))</f>
        <v/>
      </c>
      <c r="Q61">
        <f>IF($A61="","",IFERROR(SUMPRODUCT((INDEX(SubMap!$B$2:$AE$12,MATCH($C61,SubMap!$A$2:$A$12,0),0)=4)*Attempts!$AR61:$BU61),0))</f>
        <v/>
      </c>
      <c r="R61">
        <f>IF($A61="","",IFERROR(COUNTIF(INDEX(SubMap!$B$2:$AE$12,MATCH($C61,SubMap!$A$2:$A$12,0),0),4),0))</f>
        <v/>
      </c>
      <c r="S61">
        <f>IF(OR($A61="",R61=0),"",ROUND(Q61/R61*100,1))</f>
        <v/>
      </c>
      <c r="T61">
        <f>IF($A61="","",IFERROR(INDEX(Papers!$I$2:$I$12,MATCH($C61,Papers!$A$2:$A$12,0)),""))</f>
        <v/>
      </c>
      <c r="U61">
        <f>IF($A61="","",IFERROR(SUMPRODUCT((INDEX(SubMap!$B$2:$AE$12,MATCH($C61,SubMap!$A$2:$A$12,0),0)=5)*Attempts!$AR61:$BU61),0))</f>
        <v/>
      </c>
      <c r="V61">
        <f>IF($A61="","",IFERROR(COUNTIF(INDEX(SubMap!$B$2:$AE$12,MATCH($C61,SubMap!$A$2:$A$12,0),0),5),0))</f>
        <v/>
      </c>
      <c r="W61">
        <f>IF(OR($A61="",V61=0),"",ROUND(U61/V61*100,1))</f>
        <v/>
      </c>
      <c r="X61">
        <f>IF($A61="","",IFERROR(INDEX(Papers!$J$2:$J$12,MATCH($C61,Papers!$A$2:$A$12,0)),""))</f>
        <v/>
      </c>
      <c r="Y61">
        <f>IF($A61="","",IFERROR(SUMPRODUCT((INDEX(SubMap!$B$2:$AE$12,MATCH($C61,SubMap!$A$2:$A$12,0),0)=6)*Attempts!$AR61:$BU61),0))</f>
        <v/>
      </c>
      <c r="Z61">
        <f>IF($A61="","",IFERROR(COUNTIF(INDEX(SubMap!$B$2:$AE$12,MATCH($C61,SubMap!$A$2:$A$12,0),0),6),0))</f>
        <v/>
      </c>
      <c r="AA61">
        <f>IF(OR($A61="",Z61=0),"",ROUND(Y61/Z61*100,1))</f>
        <v/>
      </c>
      <c r="AB61">
        <f>IF($A61="","",IFERROR(INDEX(CHOOSE({1,2,3,4,5,6},D61,H61,L61,P61,T61,X61),MATCH(MIN(G61,K61,O61,S61,W61,AA61),CHOOSE({1,2,3,4,5,6},G61,K61,O61,S61,W61,AA61),0)),""))</f>
        <v/>
      </c>
      <c r="AC61">
        <f>IF($A61="","",IF(COUNT(G61,K61,O61,S61,W61,AA61)=0,"",MIN(G61,K61,O61,S61,W61,AA61)))</f>
        <v/>
      </c>
      <c r="AD61">
        <f>IF($A61="","",IFERROR(INDEX(CHOOSE({1,2,3,4,5,6},IFERROR(INDEX(Papers!$K$2:$K$12,MATCH($C61,Papers!$A$2:$A$12,0)),""),IFERROR(INDEX(Papers!$L$2:$L$12,MATCH($C61,Papers!$A$2:$A$12,0)),""),IFERROR(INDEX(Papers!$M$2:$M$12,MATCH($C61,Papers!$A$2:$A$12,0)),""),IFERROR(INDEX(Papers!$N$2:$N$12,MATCH($C61,Papers!$A$2:$A$12,0)),""),IFERROR(INDEX(Papers!$O$2:$O$12,MATCH($C61,Papers!$A$2:$A$12,0)),""),IFERROR(INDEX(Papers!$P$2:$P$12,MATCH($C61,Papers!$A$2:$A$12,0)),"")),MATCH(MIN(G61,K61,O61,S61,W61,AA61),CHOOSE({1,2,3,4,5,6},G61,K61,O61,S61,W61,AA61),0)),""))</f>
        <v/>
      </c>
      <c r="AE61">
        <f>IF(AC61="","",IF(AC61&lt;50,"Re-teach",IF(AC61&lt;75,"Practice more","Relatively secure")))</f>
        <v/>
      </c>
    </row>
    <row r="62">
      <c r="A62">
        <f>IF(Attempts!A62="","",Attempts!A62)</f>
        <v/>
      </c>
      <c r="B62">
        <f>IF(Attempts!A62="","",Attempts!B62)</f>
        <v/>
      </c>
      <c r="C62">
        <f>IF(Attempts!A62="","",Attempts!D62)</f>
        <v/>
      </c>
      <c r="D62">
        <f>IF($A62="","",IFERROR(INDEX(Papers!$E$2:$E$12,MATCH($C62,Papers!$A$2:$A$12,0)),""))</f>
        <v/>
      </c>
      <c r="E62">
        <f>IF($A62="","",IFERROR(SUMPRODUCT((INDEX(SubMap!$B$2:$AE$12,MATCH($C62,SubMap!$A$2:$A$12,0),0)=1)*Attempts!$AR62:$BU62),0))</f>
        <v/>
      </c>
      <c r="F62">
        <f>IF($A62="","",IFERROR(COUNTIF(INDEX(SubMap!$B$2:$AE$12,MATCH($C62,SubMap!$A$2:$A$12,0),0),1),0))</f>
        <v/>
      </c>
      <c r="G62">
        <f>IF(OR($A62="",F62=0),"",ROUND(E62/F62*100,1))</f>
        <v/>
      </c>
      <c r="H62">
        <f>IF($A62="","",IFERROR(INDEX(Papers!$F$2:$F$12,MATCH($C62,Papers!$A$2:$A$12,0)),""))</f>
        <v/>
      </c>
      <c r="I62">
        <f>IF($A62="","",IFERROR(SUMPRODUCT((INDEX(SubMap!$B$2:$AE$12,MATCH($C62,SubMap!$A$2:$A$12,0),0)=2)*Attempts!$AR62:$BU62),0))</f>
        <v/>
      </c>
      <c r="J62">
        <f>IF($A62="","",IFERROR(COUNTIF(INDEX(SubMap!$B$2:$AE$12,MATCH($C62,SubMap!$A$2:$A$12,0),0),2),0))</f>
        <v/>
      </c>
      <c r="K62">
        <f>IF(OR($A62="",J62=0),"",ROUND(I62/J62*100,1))</f>
        <v/>
      </c>
      <c r="L62">
        <f>IF($A62="","",IFERROR(INDEX(Papers!$G$2:$G$12,MATCH($C62,Papers!$A$2:$A$12,0)),""))</f>
        <v/>
      </c>
      <c r="M62">
        <f>IF($A62="","",IFERROR(SUMPRODUCT((INDEX(SubMap!$B$2:$AE$12,MATCH($C62,SubMap!$A$2:$A$12,0),0)=3)*Attempts!$AR62:$BU62),0))</f>
        <v/>
      </c>
      <c r="N62">
        <f>IF($A62="","",IFERROR(COUNTIF(INDEX(SubMap!$B$2:$AE$12,MATCH($C62,SubMap!$A$2:$A$12,0),0),3),0))</f>
        <v/>
      </c>
      <c r="O62">
        <f>IF(OR($A62="",N62=0),"",ROUND(M62/N62*100,1))</f>
        <v/>
      </c>
      <c r="P62">
        <f>IF($A62="","",IFERROR(INDEX(Papers!$H$2:$H$12,MATCH($C62,Papers!$A$2:$A$12,0)),""))</f>
        <v/>
      </c>
      <c r="Q62">
        <f>IF($A62="","",IFERROR(SUMPRODUCT((INDEX(SubMap!$B$2:$AE$12,MATCH($C62,SubMap!$A$2:$A$12,0),0)=4)*Attempts!$AR62:$BU62),0))</f>
        <v/>
      </c>
      <c r="R62">
        <f>IF($A62="","",IFERROR(COUNTIF(INDEX(SubMap!$B$2:$AE$12,MATCH($C62,SubMap!$A$2:$A$12,0),0),4),0))</f>
        <v/>
      </c>
      <c r="S62">
        <f>IF(OR($A62="",R62=0),"",ROUND(Q62/R62*100,1))</f>
        <v/>
      </c>
      <c r="T62">
        <f>IF($A62="","",IFERROR(INDEX(Papers!$I$2:$I$12,MATCH($C62,Papers!$A$2:$A$12,0)),""))</f>
        <v/>
      </c>
      <c r="U62">
        <f>IF($A62="","",IFERROR(SUMPRODUCT((INDEX(SubMap!$B$2:$AE$12,MATCH($C62,SubMap!$A$2:$A$12,0),0)=5)*Attempts!$AR62:$BU62),0))</f>
        <v/>
      </c>
      <c r="V62">
        <f>IF($A62="","",IFERROR(COUNTIF(INDEX(SubMap!$B$2:$AE$12,MATCH($C62,SubMap!$A$2:$A$12,0),0),5),0))</f>
        <v/>
      </c>
      <c r="W62">
        <f>IF(OR($A62="",V62=0),"",ROUND(U62/V62*100,1))</f>
        <v/>
      </c>
      <c r="X62">
        <f>IF($A62="","",IFERROR(INDEX(Papers!$J$2:$J$12,MATCH($C62,Papers!$A$2:$A$12,0)),""))</f>
        <v/>
      </c>
      <c r="Y62">
        <f>IF($A62="","",IFERROR(SUMPRODUCT((INDEX(SubMap!$B$2:$AE$12,MATCH($C62,SubMap!$A$2:$A$12,0),0)=6)*Attempts!$AR62:$BU62),0))</f>
        <v/>
      </c>
      <c r="Z62">
        <f>IF($A62="","",IFERROR(COUNTIF(INDEX(SubMap!$B$2:$AE$12,MATCH($C62,SubMap!$A$2:$A$12,0),0),6),0))</f>
        <v/>
      </c>
      <c r="AA62">
        <f>IF(OR($A62="",Z62=0),"",ROUND(Y62/Z62*100,1))</f>
        <v/>
      </c>
      <c r="AB62">
        <f>IF($A62="","",IFERROR(INDEX(CHOOSE({1,2,3,4,5,6},D62,H62,L62,P62,T62,X62),MATCH(MIN(G62,K62,O62,S62,W62,AA62),CHOOSE({1,2,3,4,5,6},G62,K62,O62,S62,W62,AA62),0)),""))</f>
        <v/>
      </c>
      <c r="AC62">
        <f>IF($A62="","",IF(COUNT(G62,K62,O62,S62,W62,AA62)=0,"",MIN(G62,K62,O62,S62,W62,AA62)))</f>
        <v/>
      </c>
      <c r="AD62">
        <f>IF($A62="","",IFERROR(INDEX(CHOOSE({1,2,3,4,5,6},IFERROR(INDEX(Papers!$K$2:$K$12,MATCH($C62,Papers!$A$2:$A$12,0)),""),IFERROR(INDEX(Papers!$L$2:$L$12,MATCH($C62,Papers!$A$2:$A$12,0)),""),IFERROR(INDEX(Papers!$M$2:$M$12,MATCH($C62,Papers!$A$2:$A$12,0)),""),IFERROR(INDEX(Papers!$N$2:$N$12,MATCH($C62,Papers!$A$2:$A$12,0)),""),IFERROR(INDEX(Papers!$O$2:$O$12,MATCH($C62,Papers!$A$2:$A$12,0)),""),IFERROR(INDEX(Papers!$P$2:$P$12,MATCH($C62,Papers!$A$2:$A$12,0)),"")),MATCH(MIN(G62,K62,O62,S62,W62,AA62),CHOOSE({1,2,3,4,5,6},G62,K62,O62,S62,W62,AA62),0)),""))</f>
        <v/>
      </c>
      <c r="AE62">
        <f>IF(AC62="","",IF(AC62&lt;50,"Re-teach",IF(AC62&lt;75,"Practice more","Relatively secure")))</f>
        <v/>
      </c>
    </row>
    <row r="63">
      <c r="A63">
        <f>IF(Attempts!A63="","",Attempts!A63)</f>
        <v/>
      </c>
      <c r="B63">
        <f>IF(Attempts!A63="","",Attempts!B63)</f>
        <v/>
      </c>
      <c r="C63">
        <f>IF(Attempts!A63="","",Attempts!D63)</f>
        <v/>
      </c>
      <c r="D63">
        <f>IF($A63="","",IFERROR(INDEX(Papers!$E$2:$E$12,MATCH($C63,Papers!$A$2:$A$12,0)),""))</f>
        <v/>
      </c>
      <c r="E63">
        <f>IF($A63="","",IFERROR(SUMPRODUCT((INDEX(SubMap!$B$2:$AE$12,MATCH($C63,SubMap!$A$2:$A$12,0),0)=1)*Attempts!$AR63:$BU63),0))</f>
        <v/>
      </c>
      <c r="F63">
        <f>IF($A63="","",IFERROR(COUNTIF(INDEX(SubMap!$B$2:$AE$12,MATCH($C63,SubMap!$A$2:$A$12,0),0),1),0))</f>
        <v/>
      </c>
      <c r="G63">
        <f>IF(OR($A63="",F63=0),"",ROUND(E63/F63*100,1))</f>
        <v/>
      </c>
      <c r="H63">
        <f>IF($A63="","",IFERROR(INDEX(Papers!$F$2:$F$12,MATCH($C63,Papers!$A$2:$A$12,0)),""))</f>
        <v/>
      </c>
      <c r="I63">
        <f>IF($A63="","",IFERROR(SUMPRODUCT((INDEX(SubMap!$B$2:$AE$12,MATCH($C63,SubMap!$A$2:$A$12,0),0)=2)*Attempts!$AR63:$BU63),0))</f>
        <v/>
      </c>
      <c r="J63">
        <f>IF($A63="","",IFERROR(COUNTIF(INDEX(SubMap!$B$2:$AE$12,MATCH($C63,SubMap!$A$2:$A$12,0),0),2),0))</f>
        <v/>
      </c>
      <c r="K63">
        <f>IF(OR($A63="",J63=0),"",ROUND(I63/J63*100,1))</f>
        <v/>
      </c>
      <c r="L63">
        <f>IF($A63="","",IFERROR(INDEX(Papers!$G$2:$G$12,MATCH($C63,Papers!$A$2:$A$12,0)),""))</f>
        <v/>
      </c>
      <c r="M63">
        <f>IF($A63="","",IFERROR(SUMPRODUCT((INDEX(SubMap!$B$2:$AE$12,MATCH($C63,SubMap!$A$2:$A$12,0),0)=3)*Attempts!$AR63:$BU63),0))</f>
        <v/>
      </c>
      <c r="N63">
        <f>IF($A63="","",IFERROR(COUNTIF(INDEX(SubMap!$B$2:$AE$12,MATCH($C63,SubMap!$A$2:$A$12,0),0),3),0))</f>
        <v/>
      </c>
      <c r="O63">
        <f>IF(OR($A63="",N63=0),"",ROUND(M63/N63*100,1))</f>
        <v/>
      </c>
      <c r="P63">
        <f>IF($A63="","",IFERROR(INDEX(Papers!$H$2:$H$12,MATCH($C63,Papers!$A$2:$A$12,0)),""))</f>
        <v/>
      </c>
      <c r="Q63">
        <f>IF($A63="","",IFERROR(SUMPRODUCT((INDEX(SubMap!$B$2:$AE$12,MATCH($C63,SubMap!$A$2:$A$12,0),0)=4)*Attempts!$AR63:$BU63),0))</f>
        <v/>
      </c>
      <c r="R63">
        <f>IF($A63="","",IFERROR(COUNTIF(INDEX(SubMap!$B$2:$AE$12,MATCH($C63,SubMap!$A$2:$A$12,0),0),4),0))</f>
        <v/>
      </c>
      <c r="S63">
        <f>IF(OR($A63="",R63=0),"",ROUND(Q63/R63*100,1))</f>
        <v/>
      </c>
      <c r="T63">
        <f>IF($A63="","",IFERROR(INDEX(Papers!$I$2:$I$12,MATCH($C63,Papers!$A$2:$A$12,0)),""))</f>
        <v/>
      </c>
      <c r="U63">
        <f>IF($A63="","",IFERROR(SUMPRODUCT((INDEX(SubMap!$B$2:$AE$12,MATCH($C63,SubMap!$A$2:$A$12,0),0)=5)*Attempts!$AR63:$BU63),0))</f>
        <v/>
      </c>
      <c r="V63">
        <f>IF($A63="","",IFERROR(COUNTIF(INDEX(SubMap!$B$2:$AE$12,MATCH($C63,SubMap!$A$2:$A$12,0),0),5),0))</f>
        <v/>
      </c>
      <c r="W63">
        <f>IF(OR($A63="",V63=0),"",ROUND(U63/V63*100,1))</f>
        <v/>
      </c>
      <c r="X63">
        <f>IF($A63="","",IFERROR(INDEX(Papers!$J$2:$J$12,MATCH($C63,Papers!$A$2:$A$12,0)),""))</f>
        <v/>
      </c>
      <c r="Y63">
        <f>IF($A63="","",IFERROR(SUMPRODUCT((INDEX(SubMap!$B$2:$AE$12,MATCH($C63,SubMap!$A$2:$A$12,0),0)=6)*Attempts!$AR63:$BU63),0))</f>
        <v/>
      </c>
      <c r="Z63">
        <f>IF($A63="","",IFERROR(COUNTIF(INDEX(SubMap!$B$2:$AE$12,MATCH($C63,SubMap!$A$2:$A$12,0),0),6),0))</f>
        <v/>
      </c>
      <c r="AA63">
        <f>IF(OR($A63="",Z63=0),"",ROUND(Y63/Z63*100,1))</f>
        <v/>
      </c>
      <c r="AB63">
        <f>IF($A63="","",IFERROR(INDEX(CHOOSE({1,2,3,4,5,6},D63,H63,L63,P63,T63,X63),MATCH(MIN(G63,K63,O63,S63,W63,AA63),CHOOSE({1,2,3,4,5,6},G63,K63,O63,S63,W63,AA63),0)),""))</f>
        <v/>
      </c>
      <c r="AC63">
        <f>IF($A63="","",IF(COUNT(G63,K63,O63,S63,W63,AA63)=0,"",MIN(G63,K63,O63,S63,W63,AA63)))</f>
        <v/>
      </c>
      <c r="AD63">
        <f>IF($A63="","",IFERROR(INDEX(CHOOSE({1,2,3,4,5,6},IFERROR(INDEX(Papers!$K$2:$K$12,MATCH($C63,Papers!$A$2:$A$12,0)),""),IFERROR(INDEX(Papers!$L$2:$L$12,MATCH($C63,Papers!$A$2:$A$12,0)),""),IFERROR(INDEX(Papers!$M$2:$M$12,MATCH($C63,Papers!$A$2:$A$12,0)),""),IFERROR(INDEX(Papers!$N$2:$N$12,MATCH($C63,Papers!$A$2:$A$12,0)),""),IFERROR(INDEX(Papers!$O$2:$O$12,MATCH($C63,Papers!$A$2:$A$12,0)),""),IFERROR(INDEX(Papers!$P$2:$P$12,MATCH($C63,Papers!$A$2:$A$12,0)),"")),MATCH(MIN(G63,K63,O63,S63,W63,AA63),CHOOSE({1,2,3,4,5,6},G63,K63,O63,S63,W63,AA63),0)),""))</f>
        <v/>
      </c>
      <c r="AE63">
        <f>IF(AC63="","",IF(AC63&lt;50,"Re-teach",IF(AC63&lt;75,"Practice more","Relatively secure")))</f>
        <v/>
      </c>
    </row>
    <row r="64">
      <c r="A64">
        <f>IF(Attempts!A64="","",Attempts!A64)</f>
        <v/>
      </c>
      <c r="B64">
        <f>IF(Attempts!A64="","",Attempts!B64)</f>
        <v/>
      </c>
      <c r="C64">
        <f>IF(Attempts!A64="","",Attempts!D64)</f>
        <v/>
      </c>
      <c r="D64">
        <f>IF($A64="","",IFERROR(INDEX(Papers!$E$2:$E$12,MATCH($C64,Papers!$A$2:$A$12,0)),""))</f>
        <v/>
      </c>
      <c r="E64">
        <f>IF($A64="","",IFERROR(SUMPRODUCT((INDEX(SubMap!$B$2:$AE$12,MATCH($C64,SubMap!$A$2:$A$12,0),0)=1)*Attempts!$AR64:$BU64),0))</f>
        <v/>
      </c>
      <c r="F64">
        <f>IF($A64="","",IFERROR(COUNTIF(INDEX(SubMap!$B$2:$AE$12,MATCH($C64,SubMap!$A$2:$A$12,0),0),1),0))</f>
        <v/>
      </c>
      <c r="G64">
        <f>IF(OR($A64="",F64=0),"",ROUND(E64/F64*100,1))</f>
        <v/>
      </c>
      <c r="H64">
        <f>IF($A64="","",IFERROR(INDEX(Papers!$F$2:$F$12,MATCH($C64,Papers!$A$2:$A$12,0)),""))</f>
        <v/>
      </c>
      <c r="I64">
        <f>IF($A64="","",IFERROR(SUMPRODUCT((INDEX(SubMap!$B$2:$AE$12,MATCH($C64,SubMap!$A$2:$A$12,0),0)=2)*Attempts!$AR64:$BU64),0))</f>
        <v/>
      </c>
      <c r="J64">
        <f>IF($A64="","",IFERROR(COUNTIF(INDEX(SubMap!$B$2:$AE$12,MATCH($C64,SubMap!$A$2:$A$12,0),0),2),0))</f>
        <v/>
      </c>
      <c r="K64">
        <f>IF(OR($A64="",J64=0),"",ROUND(I64/J64*100,1))</f>
        <v/>
      </c>
      <c r="L64">
        <f>IF($A64="","",IFERROR(INDEX(Papers!$G$2:$G$12,MATCH($C64,Papers!$A$2:$A$12,0)),""))</f>
        <v/>
      </c>
      <c r="M64">
        <f>IF($A64="","",IFERROR(SUMPRODUCT((INDEX(SubMap!$B$2:$AE$12,MATCH($C64,SubMap!$A$2:$A$12,0),0)=3)*Attempts!$AR64:$BU64),0))</f>
        <v/>
      </c>
      <c r="N64">
        <f>IF($A64="","",IFERROR(COUNTIF(INDEX(SubMap!$B$2:$AE$12,MATCH($C64,SubMap!$A$2:$A$12,0),0),3),0))</f>
        <v/>
      </c>
      <c r="O64">
        <f>IF(OR($A64="",N64=0),"",ROUND(M64/N64*100,1))</f>
        <v/>
      </c>
      <c r="P64">
        <f>IF($A64="","",IFERROR(INDEX(Papers!$H$2:$H$12,MATCH($C64,Papers!$A$2:$A$12,0)),""))</f>
        <v/>
      </c>
      <c r="Q64">
        <f>IF($A64="","",IFERROR(SUMPRODUCT((INDEX(SubMap!$B$2:$AE$12,MATCH($C64,SubMap!$A$2:$A$12,0),0)=4)*Attempts!$AR64:$BU64),0))</f>
        <v/>
      </c>
      <c r="R64">
        <f>IF($A64="","",IFERROR(COUNTIF(INDEX(SubMap!$B$2:$AE$12,MATCH($C64,SubMap!$A$2:$A$12,0),0),4),0))</f>
        <v/>
      </c>
      <c r="S64">
        <f>IF(OR($A64="",R64=0),"",ROUND(Q64/R64*100,1))</f>
        <v/>
      </c>
      <c r="T64">
        <f>IF($A64="","",IFERROR(INDEX(Papers!$I$2:$I$12,MATCH($C64,Papers!$A$2:$A$12,0)),""))</f>
        <v/>
      </c>
      <c r="U64">
        <f>IF($A64="","",IFERROR(SUMPRODUCT((INDEX(SubMap!$B$2:$AE$12,MATCH($C64,SubMap!$A$2:$A$12,0),0)=5)*Attempts!$AR64:$BU64),0))</f>
        <v/>
      </c>
      <c r="V64">
        <f>IF($A64="","",IFERROR(COUNTIF(INDEX(SubMap!$B$2:$AE$12,MATCH($C64,SubMap!$A$2:$A$12,0),0),5),0))</f>
        <v/>
      </c>
      <c r="W64">
        <f>IF(OR($A64="",V64=0),"",ROUND(U64/V64*100,1))</f>
        <v/>
      </c>
      <c r="X64">
        <f>IF($A64="","",IFERROR(INDEX(Papers!$J$2:$J$12,MATCH($C64,Papers!$A$2:$A$12,0)),""))</f>
        <v/>
      </c>
      <c r="Y64">
        <f>IF($A64="","",IFERROR(SUMPRODUCT((INDEX(SubMap!$B$2:$AE$12,MATCH($C64,SubMap!$A$2:$A$12,0),0)=6)*Attempts!$AR64:$BU64),0))</f>
        <v/>
      </c>
      <c r="Z64">
        <f>IF($A64="","",IFERROR(COUNTIF(INDEX(SubMap!$B$2:$AE$12,MATCH($C64,SubMap!$A$2:$A$12,0),0),6),0))</f>
        <v/>
      </c>
      <c r="AA64">
        <f>IF(OR($A64="",Z64=0),"",ROUND(Y64/Z64*100,1))</f>
        <v/>
      </c>
      <c r="AB64">
        <f>IF($A64="","",IFERROR(INDEX(CHOOSE({1,2,3,4,5,6},D64,H64,L64,P64,T64,X64),MATCH(MIN(G64,K64,O64,S64,W64,AA64),CHOOSE({1,2,3,4,5,6},G64,K64,O64,S64,W64,AA64),0)),""))</f>
        <v/>
      </c>
      <c r="AC64">
        <f>IF($A64="","",IF(COUNT(G64,K64,O64,S64,W64,AA64)=0,"",MIN(G64,K64,O64,S64,W64,AA64)))</f>
        <v/>
      </c>
      <c r="AD64">
        <f>IF($A64="","",IFERROR(INDEX(CHOOSE({1,2,3,4,5,6},IFERROR(INDEX(Papers!$K$2:$K$12,MATCH($C64,Papers!$A$2:$A$12,0)),""),IFERROR(INDEX(Papers!$L$2:$L$12,MATCH($C64,Papers!$A$2:$A$12,0)),""),IFERROR(INDEX(Papers!$M$2:$M$12,MATCH($C64,Papers!$A$2:$A$12,0)),""),IFERROR(INDEX(Papers!$N$2:$N$12,MATCH($C64,Papers!$A$2:$A$12,0)),""),IFERROR(INDEX(Papers!$O$2:$O$12,MATCH($C64,Papers!$A$2:$A$12,0)),""),IFERROR(INDEX(Papers!$P$2:$P$12,MATCH($C64,Papers!$A$2:$A$12,0)),"")),MATCH(MIN(G64,K64,O64,S64,W64,AA64),CHOOSE({1,2,3,4,5,6},G64,K64,O64,S64,W64,AA64),0)),""))</f>
        <v/>
      </c>
      <c r="AE64">
        <f>IF(AC64="","",IF(AC64&lt;50,"Re-teach",IF(AC64&lt;75,"Practice more","Relatively secure")))</f>
        <v/>
      </c>
    </row>
    <row r="65">
      <c r="A65">
        <f>IF(Attempts!A65="","",Attempts!A65)</f>
        <v/>
      </c>
      <c r="B65">
        <f>IF(Attempts!A65="","",Attempts!B65)</f>
        <v/>
      </c>
      <c r="C65">
        <f>IF(Attempts!A65="","",Attempts!D65)</f>
        <v/>
      </c>
      <c r="D65">
        <f>IF($A65="","",IFERROR(INDEX(Papers!$E$2:$E$12,MATCH($C65,Papers!$A$2:$A$12,0)),""))</f>
        <v/>
      </c>
      <c r="E65">
        <f>IF($A65="","",IFERROR(SUMPRODUCT((INDEX(SubMap!$B$2:$AE$12,MATCH($C65,SubMap!$A$2:$A$12,0),0)=1)*Attempts!$AR65:$BU65),0))</f>
        <v/>
      </c>
      <c r="F65">
        <f>IF($A65="","",IFERROR(COUNTIF(INDEX(SubMap!$B$2:$AE$12,MATCH($C65,SubMap!$A$2:$A$12,0),0),1),0))</f>
        <v/>
      </c>
      <c r="G65">
        <f>IF(OR($A65="",F65=0),"",ROUND(E65/F65*100,1))</f>
        <v/>
      </c>
      <c r="H65">
        <f>IF($A65="","",IFERROR(INDEX(Papers!$F$2:$F$12,MATCH($C65,Papers!$A$2:$A$12,0)),""))</f>
        <v/>
      </c>
      <c r="I65">
        <f>IF($A65="","",IFERROR(SUMPRODUCT((INDEX(SubMap!$B$2:$AE$12,MATCH($C65,SubMap!$A$2:$A$12,0),0)=2)*Attempts!$AR65:$BU65),0))</f>
        <v/>
      </c>
      <c r="J65">
        <f>IF($A65="","",IFERROR(COUNTIF(INDEX(SubMap!$B$2:$AE$12,MATCH($C65,SubMap!$A$2:$A$12,0),0),2),0))</f>
        <v/>
      </c>
      <c r="K65">
        <f>IF(OR($A65="",J65=0),"",ROUND(I65/J65*100,1))</f>
        <v/>
      </c>
      <c r="L65">
        <f>IF($A65="","",IFERROR(INDEX(Papers!$G$2:$G$12,MATCH($C65,Papers!$A$2:$A$12,0)),""))</f>
        <v/>
      </c>
      <c r="M65">
        <f>IF($A65="","",IFERROR(SUMPRODUCT((INDEX(SubMap!$B$2:$AE$12,MATCH($C65,SubMap!$A$2:$A$12,0),0)=3)*Attempts!$AR65:$BU65),0))</f>
        <v/>
      </c>
      <c r="N65">
        <f>IF($A65="","",IFERROR(COUNTIF(INDEX(SubMap!$B$2:$AE$12,MATCH($C65,SubMap!$A$2:$A$12,0),0),3),0))</f>
        <v/>
      </c>
      <c r="O65">
        <f>IF(OR($A65="",N65=0),"",ROUND(M65/N65*100,1))</f>
        <v/>
      </c>
      <c r="P65">
        <f>IF($A65="","",IFERROR(INDEX(Papers!$H$2:$H$12,MATCH($C65,Papers!$A$2:$A$12,0)),""))</f>
        <v/>
      </c>
      <c r="Q65">
        <f>IF($A65="","",IFERROR(SUMPRODUCT((INDEX(SubMap!$B$2:$AE$12,MATCH($C65,SubMap!$A$2:$A$12,0),0)=4)*Attempts!$AR65:$BU65),0))</f>
        <v/>
      </c>
      <c r="R65">
        <f>IF($A65="","",IFERROR(COUNTIF(INDEX(SubMap!$B$2:$AE$12,MATCH($C65,SubMap!$A$2:$A$12,0),0),4),0))</f>
        <v/>
      </c>
      <c r="S65">
        <f>IF(OR($A65="",R65=0),"",ROUND(Q65/R65*100,1))</f>
        <v/>
      </c>
      <c r="T65">
        <f>IF($A65="","",IFERROR(INDEX(Papers!$I$2:$I$12,MATCH($C65,Papers!$A$2:$A$12,0)),""))</f>
        <v/>
      </c>
      <c r="U65">
        <f>IF($A65="","",IFERROR(SUMPRODUCT((INDEX(SubMap!$B$2:$AE$12,MATCH($C65,SubMap!$A$2:$A$12,0),0)=5)*Attempts!$AR65:$BU65),0))</f>
        <v/>
      </c>
      <c r="V65">
        <f>IF($A65="","",IFERROR(COUNTIF(INDEX(SubMap!$B$2:$AE$12,MATCH($C65,SubMap!$A$2:$A$12,0),0),5),0))</f>
        <v/>
      </c>
      <c r="W65">
        <f>IF(OR($A65="",V65=0),"",ROUND(U65/V65*100,1))</f>
        <v/>
      </c>
      <c r="X65">
        <f>IF($A65="","",IFERROR(INDEX(Papers!$J$2:$J$12,MATCH($C65,Papers!$A$2:$A$12,0)),""))</f>
        <v/>
      </c>
      <c r="Y65">
        <f>IF($A65="","",IFERROR(SUMPRODUCT((INDEX(SubMap!$B$2:$AE$12,MATCH($C65,SubMap!$A$2:$A$12,0),0)=6)*Attempts!$AR65:$BU65),0))</f>
        <v/>
      </c>
      <c r="Z65">
        <f>IF($A65="","",IFERROR(COUNTIF(INDEX(SubMap!$B$2:$AE$12,MATCH($C65,SubMap!$A$2:$A$12,0),0),6),0))</f>
        <v/>
      </c>
      <c r="AA65">
        <f>IF(OR($A65="",Z65=0),"",ROUND(Y65/Z65*100,1))</f>
        <v/>
      </c>
      <c r="AB65">
        <f>IF($A65="","",IFERROR(INDEX(CHOOSE({1,2,3,4,5,6},D65,H65,L65,P65,T65,X65),MATCH(MIN(G65,K65,O65,S65,W65,AA65),CHOOSE({1,2,3,4,5,6},G65,K65,O65,S65,W65,AA65),0)),""))</f>
        <v/>
      </c>
      <c r="AC65">
        <f>IF($A65="","",IF(COUNT(G65,K65,O65,S65,W65,AA65)=0,"",MIN(G65,K65,O65,S65,W65,AA65)))</f>
        <v/>
      </c>
      <c r="AD65">
        <f>IF($A65="","",IFERROR(INDEX(CHOOSE({1,2,3,4,5,6},IFERROR(INDEX(Papers!$K$2:$K$12,MATCH($C65,Papers!$A$2:$A$12,0)),""),IFERROR(INDEX(Papers!$L$2:$L$12,MATCH($C65,Papers!$A$2:$A$12,0)),""),IFERROR(INDEX(Papers!$M$2:$M$12,MATCH($C65,Papers!$A$2:$A$12,0)),""),IFERROR(INDEX(Papers!$N$2:$N$12,MATCH($C65,Papers!$A$2:$A$12,0)),""),IFERROR(INDEX(Papers!$O$2:$O$12,MATCH($C65,Papers!$A$2:$A$12,0)),""),IFERROR(INDEX(Papers!$P$2:$P$12,MATCH($C65,Papers!$A$2:$A$12,0)),"")),MATCH(MIN(G65,K65,O65,S65,W65,AA65),CHOOSE({1,2,3,4,5,6},G65,K65,O65,S65,W65,AA65),0)),""))</f>
        <v/>
      </c>
      <c r="AE65">
        <f>IF(AC65="","",IF(AC65&lt;50,"Re-teach",IF(AC65&lt;75,"Practice more","Relatively secure")))</f>
        <v/>
      </c>
    </row>
    <row r="66">
      <c r="A66">
        <f>IF(Attempts!A66="","",Attempts!A66)</f>
        <v/>
      </c>
      <c r="B66">
        <f>IF(Attempts!A66="","",Attempts!B66)</f>
        <v/>
      </c>
      <c r="C66">
        <f>IF(Attempts!A66="","",Attempts!D66)</f>
        <v/>
      </c>
      <c r="D66">
        <f>IF($A66="","",IFERROR(INDEX(Papers!$E$2:$E$12,MATCH($C66,Papers!$A$2:$A$12,0)),""))</f>
        <v/>
      </c>
      <c r="E66">
        <f>IF($A66="","",IFERROR(SUMPRODUCT((INDEX(SubMap!$B$2:$AE$12,MATCH($C66,SubMap!$A$2:$A$12,0),0)=1)*Attempts!$AR66:$BU66),0))</f>
        <v/>
      </c>
      <c r="F66">
        <f>IF($A66="","",IFERROR(COUNTIF(INDEX(SubMap!$B$2:$AE$12,MATCH($C66,SubMap!$A$2:$A$12,0),0),1),0))</f>
        <v/>
      </c>
      <c r="G66">
        <f>IF(OR($A66="",F66=0),"",ROUND(E66/F66*100,1))</f>
        <v/>
      </c>
      <c r="H66">
        <f>IF($A66="","",IFERROR(INDEX(Papers!$F$2:$F$12,MATCH($C66,Papers!$A$2:$A$12,0)),""))</f>
        <v/>
      </c>
      <c r="I66">
        <f>IF($A66="","",IFERROR(SUMPRODUCT((INDEX(SubMap!$B$2:$AE$12,MATCH($C66,SubMap!$A$2:$A$12,0),0)=2)*Attempts!$AR66:$BU66),0))</f>
        <v/>
      </c>
      <c r="J66">
        <f>IF($A66="","",IFERROR(COUNTIF(INDEX(SubMap!$B$2:$AE$12,MATCH($C66,SubMap!$A$2:$A$12,0),0),2),0))</f>
        <v/>
      </c>
      <c r="K66">
        <f>IF(OR($A66="",J66=0),"",ROUND(I66/J66*100,1))</f>
        <v/>
      </c>
      <c r="L66">
        <f>IF($A66="","",IFERROR(INDEX(Papers!$G$2:$G$12,MATCH($C66,Papers!$A$2:$A$12,0)),""))</f>
        <v/>
      </c>
      <c r="M66">
        <f>IF($A66="","",IFERROR(SUMPRODUCT((INDEX(SubMap!$B$2:$AE$12,MATCH($C66,SubMap!$A$2:$A$12,0),0)=3)*Attempts!$AR66:$BU66),0))</f>
        <v/>
      </c>
      <c r="N66">
        <f>IF($A66="","",IFERROR(COUNTIF(INDEX(SubMap!$B$2:$AE$12,MATCH($C66,SubMap!$A$2:$A$12,0),0),3),0))</f>
        <v/>
      </c>
      <c r="O66">
        <f>IF(OR($A66="",N66=0),"",ROUND(M66/N66*100,1))</f>
        <v/>
      </c>
      <c r="P66">
        <f>IF($A66="","",IFERROR(INDEX(Papers!$H$2:$H$12,MATCH($C66,Papers!$A$2:$A$12,0)),""))</f>
        <v/>
      </c>
      <c r="Q66">
        <f>IF($A66="","",IFERROR(SUMPRODUCT((INDEX(SubMap!$B$2:$AE$12,MATCH($C66,SubMap!$A$2:$A$12,0),0)=4)*Attempts!$AR66:$BU66),0))</f>
        <v/>
      </c>
      <c r="R66">
        <f>IF($A66="","",IFERROR(COUNTIF(INDEX(SubMap!$B$2:$AE$12,MATCH($C66,SubMap!$A$2:$A$12,0),0),4),0))</f>
        <v/>
      </c>
      <c r="S66">
        <f>IF(OR($A66="",R66=0),"",ROUND(Q66/R66*100,1))</f>
        <v/>
      </c>
      <c r="T66">
        <f>IF($A66="","",IFERROR(INDEX(Papers!$I$2:$I$12,MATCH($C66,Papers!$A$2:$A$12,0)),""))</f>
        <v/>
      </c>
      <c r="U66">
        <f>IF($A66="","",IFERROR(SUMPRODUCT((INDEX(SubMap!$B$2:$AE$12,MATCH($C66,SubMap!$A$2:$A$12,0),0)=5)*Attempts!$AR66:$BU66),0))</f>
        <v/>
      </c>
      <c r="V66">
        <f>IF($A66="","",IFERROR(COUNTIF(INDEX(SubMap!$B$2:$AE$12,MATCH($C66,SubMap!$A$2:$A$12,0),0),5),0))</f>
        <v/>
      </c>
      <c r="W66">
        <f>IF(OR($A66="",V66=0),"",ROUND(U66/V66*100,1))</f>
        <v/>
      </c>
      <c r="X66">
        <f>IF($A66="","",IFERROR(INDEX(Papers!$J$2:$J$12,MATCH($C66,Papers!$A$2:$A$12,0)),""))</f>
        <v/>
      </c>
      <c r="Y66">
        <f>IF($A66="","",IFERROR(SUMPRODUCT((INDEX(SubMap!$B$2:$AE$12,MATCH($C66,SubMap!$A$2:$A$12,0),0)=6)*Attempts!$AR66:$BU66),0))</f>
        <v/>
      </c>
      <c r="Z66">
        <f>IF($A66="","",IFERROR(COUNTIF(INDEX(SubMap!$B$2:$AE$12,MATCH($C66,SubMap!$A$2:$A$12,0),0),6),0))</f>
        <v/>
      </c>
      <c r="AA66">
        <f>IF(OR($A66="",Z66=0),"",ROUND(Y66/Z66*100,1))</f>
        <v/>
      </c>
      <c r="AB66">
        <f>IF($A66="","",IFERROR(INDEX(CHOOSE({1,2,3,4,5,6},D66,H66,L66,P66,T66,X66),MATCH(MIN(G66,K66,O66,S66,W66,AA66),CHOOSE({1,2,3,4,5,6},G66,K66,O66,S66,W66,AA66),0)),""))</f>
        <v/>
      </c>
      <c r="AC66">
        <f>IF($A66="","",IF(COUNT(G66,K66,O66,S66,W66,AA66)=0,"",MIN(G66,K66,O66,S66,W66,AA66)))</f>
        <v/>
      </c>
      <c r="AD66">
        <f>IF($A66="","",IFERROR(INDEX(CHOOSE({1,2,3,4,5,6},IFERROR(INDEX(Papers!$K$2:$K$12,MATCH($C66,Papers!$A$2:$A$12,0)),""),IFERROR(INDEX(Papers!$L$2:$L$12,MATCH($C66,Papers!$A$2:$A$12,0)),""),IFERROR(INDEX(Papers!$M$2:$M$12,MATCH($C66,Papers!$A$2:$A$12,0)),""),IFERROR(INDEX(Papers!$N$2:$N$12,MATCH($C66,Papers!$A$2:$A$12,0)),""),IFERROR(INDEX(Papers!$O$2:$O$12,MATCH($C66,Papers!$A$2:$A$12,0)),""),IFERROR(INDEX(Papers!$P$2:$P$12,MATCH($C66,Papers!$A$2:$A$12,0)),"")),MATCH(MIN(G66,K66,O66,S66,W66,AA66),CHOOSE({1,2,3,4,5,6},G66,K66,O66,S66,W66,AA66),0)),""))</f>
        <v/>
      </c>
      <c r="AE66">
        <f>IF(AC66="","",IF(AC66&lt;50,"Re-teach",IF(AC66&lt;75,"Practice more","Relatively secure")))</f>
        <v/>
      </c>
    </row>
    <row r="67">
      <c r="A67">
        <f>IF(Attempts!A67="","",Attempts!A67)</f>
        <v/>
      </c>
      <c r="B67">
        <f>IF(Attempts!A67="","",Attempts!B67)</f>
        <v/>
      </c>
      <c r="C67">
        <f>IF(Attempts!A67="","",Attempts!D67)</f>
        <v/>
      </c>
      <c r="D67">
        <f>IF($A67="","",IFERROR(INDEX(Papers!$E$2:$E$12,MATCH($C67,Papers!$A$2:$A$12,0)),""))</f>
        <v/>
      </c>
      <c r="E67">
        <f>IF($A67="","",IFERROR(SUMPRODUCT((INDEX(SubMap!$B$2:$AE$12,MATCH($C67,SubMap!$A$2:$A$12,0),0)=1)*Attempts!$AR67:$BU67),0))</f>
        <v/>
      </c>
      <c r="F67">
        <f>IF($A67="","",IFERROR(COUNTIF(INDEX(SubMap!$B$2:$AE$12,MATCH($C67,SubMap!$A$2:$A$12,0),0),1),0))</f>
        <v/>
      </c>
      <c r="G67">
        <f>IF(OR($A67="",F67=0),"",ROUND(E67/F67*100,1))</f>
        <v/>
      </c>
      <c r="H67">
        <f>IF($A67="","",IFERROR(INDEX(Papers!$F$2:$F$12,MATCH($C67,Papers!$A$2:$A$12,0)),""))</f>
        <v/>
      </c>
      <c r="I67">
        <f>IF($A67="","",IFERROR(SUMPRODUCT((INDEX(SubMap!$B$2:$AE$12,MATCH($C67,SubMap!$A$2:$A$12,0),0)=2)*Attempts!$AR67:$BU67),0))</f>
        <v/>
      </c>
      <c r="J67">
        <f>IF($A67="","",IFERROR(COUNTIF(INDEX(SubMap!$B$2:$AE$12,MATCH($C67,SubMap!$A$2:$A$12,0),0),2),0))</f>
        <v/>
      </c>
      <c r="K67">
        <f>IF(OR($A67="",J67=0),"",ROUND(I67/J67*100,1))</f>
        <v/>
      </c>
      <c r="L67">
        <f>IF($A67="","",IFERROR(INDEX(Papers!$G$2:$G$12,MATCH($C67,Papers!$A$2:$A$12,0)),""))</f>
        <v/>
      </c>
      <c r="M67">
        <f>IF($A67="","",IFERROR(SUMPRODUCT((INDEX(SubMap!$B$2:$AE$12,MATCH($C67,SubMap!$A$2:$A$12,0),0)=3)*Attempts!$AR67:$BU67),0))</f>
        <v/>
      </c>
      <c r="N67">
        <f>IF($A67="","",IFERROR(COUNTIF(INDEX(SubMap!$B$2:$AE$12,MATCH($C67,SubMap!$A$2:$A$12,0),0),3),0))</f>
        <v/>
      </c>
      <c r="O67">
        <f>IF(OR($A67="",N67=0),"",ROUND(M67/N67*100,1))</f>
        <v/>
      </c>
      <c r="P67">
        <f>IF($A67="","",IFERROR(INDEX(Papers!$H$2:$H$12,MATCH($C67,Papers!$A$2:$A$12,0)),""))</f>
        <v/>
      </c>
      <c r="Q67">
        <f>IF($A67="","",IFERROR(SUMPRODUCT((INDEX(SubMap!$B$2:$AE$12,MATCH($C67,SubMap!$A$2:$A$12,0),0)=4)*Attempts!$AR67:$BU67),0))</f>
        <v/>
      </c>
      <c r="R67">
        <f>IF($A67="","",IFERROR(COUNTIF(INDEX(SubMap!$B$2:$AE$12,MATCH($C67,SubMap!$A$2:$A$12,0),0),4),0))</f>
        <v/>
      </c>
      <c r="S67">
        <f>IF(OR($A67="",R67=0),"",ROUND(Q67/R67*100,1))</f>
        <v/>
      </c>
      <c r="T67">
        <f>IF($A67="","",IFERROR(INDEX(Papers!$I$2:$I$12,MATCH($C67,Papers!$A$2:$A$12,0)),""))</f>
        <v/>
      </c>
      <c r="U67">
        <f>IF($A67="","",IFERROR(SUMPRODUCT((INDEX(SubMap!$B$2:$AE$12,MATCH($C67,SubMap!$A$2:$A$12,0),0)=5)*Attempts!$AR67:$BU67),0))</f>
        <v/>
      </c>
      <c r="V67">
        <f>IF($A67="","",IFERROR(COUNTIF(INDEX(SubMap!$B$2:$AE$12,MATCH($C67,SubMap!$A$2:$A$12,0),0),5),0))</f>
        <v/>
      </c>
      <c r="W67">
        <f>IF(OR($A67="",V67=0),"",ROUND(U67/V67*100,1))</f>
        <v/>
      </c>
      <c r="X67">
        <f>IF($A67="","",IFERROR(INDEX(Papers!$J$2:$J$12,MATCH($C67,Papers!$A$2:$A$12,0)),""))</f>
        <v/>
      </c>
      <c r="Y67">
        <f>IF($A67="","",IFERROR(SUMPRODUCT((INDEX(SubMap!$B$2:$AE$12,MATCH($C67,SubMap!$A$2:$A$12,0),0)=6)*Attempts!$AR67:$BU67),0))</f>
        <v/>
      </c>
      <c r="Z67">
        <f>IF($A67="","",IFERROR(COUNTIF(INDEX(SubMap!$B$2:$AE$12,MATCH($C67,SubMap!$A$2:$A$12,0),0),6),0))</f>
        <v/>
      </c>
      <c r="AA67">
        <f>IF(OR($A67="",Z67=0),"",ROUND(Y67/Z67*100,1))</f>
        <v/>
      </c>
      <c r="AB67">
        <f>IF($A67="","",IFERROR(INDEX(CHOOSE({1,2,3,4,5,6},D67,H67,L67,P67,T67,X67),MATCH(MIN(G67,K67,O67,S67,W67,AA67),CHOOSE({1,2,3,4,5,6},G67,K67,O67,S67,W67,AA67),0)),""))</f>
        <v/>
      </c>
      <c r="AC67">
        <f>IF($A67="","",IF(COUNT(G67,K67,O67,S67,W67,AA67)=0,"",MIN(G67,K67,O67,S67,W67,AA67)))</f>
        <v/>
      </c>
      <c r="AD67">
        <f>IF($A67="","",IFERROR(INDEX(CHOOSE({1,2,3,4,5,6},IFERROR(INDEX(Papers!$K$2:$K$12,MATCH($C67,Papers!$A$2:$A$12,0)),""),IFERROR(INDEX(Papers!$L$2:$L$12,MATCH($C67,Papers!$A$2:$A$12,0)),""),IFERROR(INDEX(Papers!$M$2:$M$12,MATCH($C67,Papers!$A$2:$A$12,0)),""),IFERROR(INDEX(Papers!$N$2:$N$12,MATCH($C67,Papers!$A$2:$A$12,0)),""),IFERROR(INDEX(Papers!$O$2:$O$12,MATCH($C67,Papers!$A$2:$A$12,0)),""),IFERROR(INDEX(Papers!$P$2:$P$12,MATCH($C67,Papers!$A$2:$A$12,0)),"")),MATCH(MIN(G67,K67,O67,S67,W67,AA67),CHOOSE({1,2,3,4,5,6},G67,K67,O67,S67,W67,AA67),0)),""))</f>
        <v/>
      </c>
      <c r="AE67">
        <f>IF(AC67="","",IF(AC67&lt;50,"Re-teach",IF(AC67&lt;75,"Practice more","Relatively secure")))</f>
        <v/>
      </c>
    </row>
    <row r="68">
      <c r="A68">
        <f>IF(Attempts!A68="","",Attempts!A68)</f>
        <v/>
      </c>
      <c r="B68">
        <f>IF(Attempts!A68="","",Attempts!B68)</f>
        <v/>
      </c>
      <c r="C68">
        <f>IF(Attempts!A68="","",Attempts!D68)</f>
        <v/>
      </c>
      <c r="D68">
        <f>IF($A68="","",IFERROR(INDEX(Papers!$E$2:$E$12,MATCH($C68,Papers!$A$2:$A$12,0)),""))</f>
        <v/>
      </c>
      <c r="E68">
        <f>IF($A68="","",IFERROR(SUMPRODUCT((INDEX(SubMap!$B$2:$AE$12,MATCH($C68,SubMap!$A$2:$A$12,0),0)=1)*Attempts!$AR68:$BU68),0))</f>
        <v/>
      </c>
      <c r="F68">
        <f>IF($A68="","",IFERROR(COUNTIF(INDEX(SubMap!$B$2:$AE$12,MATCH($C68,SubMap!$A$2:$A$12,0),0),1),0))</f>
        <v/>
      </c>
      <c r="G68">
        <f>IF(OR($A68="",F68=0),"",ROUND(E68/F68*100,1))</f>
        <v/>
      </c>
      <c r="H68">
        <f>IF($A68="","",IFERROR(INDEX(Papers!$F$2:$F$12,MATCH($C68,Papers!$A$2:$A$12,0)),""))</f>
        <v/>
      </c>
      <c r="I68">
        <f>IF($A68="","",IFERROR(SUMPRODUCT((INDEX(SubMap!$B$2:$AE$12,MATCH($C68,SubMap!$A$2:$A$12,0),0)=2)*Attempts!$AR68:$BU68),0))</f>
        <v/>
      </c>
      <c r="J68">
        <f>IF($A68="","",IFERROR(COUNTIF(INDEX(SubMap!$B$2:$AE$12,MATCH($C68,SubMap!$A$2:$A$12,0),0),2),0))</f>
        <v/>
      </c>
      <c r="K68">
        <f>IF(OR($A68="",J68=0),"",ROUND(I68/J68*100,1))</f>
        <v/>
      </c>
      <c r="L68">
        <f>IF($A68="","",IFERROR(INDEX(Papers!$G$2:$G$12,MATCH($C68,Papers!$A$2:$A$12,0)),""))</f>
        <v/>
      </c>
      <c r="M68">
        <f>IF($A68="","",IFERROR(SUMPRODUCT((INDEX(SubMap!$B$2:$AE$12,MATCH($C68,SubMap!$A$2:$A$12,0),0)=3)*Attempts!$AR68:$BU68),0))</f>
        <v/>
      </c>
      <c r="N68">
        <f>IF($A68="","",IFERROR(COUNTIF(INDEX(SubMap!$B$2:$AE$12,MATCH($C68,SubMap!$A$2:$A$12,0),0),3),0))</f>
        <v/>
      </c>
      <c r="O68">
        <f>IF(OR($A68="",N68=0),"",ROUND(M68/N68*100,1))</f>
        <v/>
      </c>
      <c r="P68">
        <f>IF($A68="","",IFERROR(INDEX(Papers!$H$2:$H$12,MATCH($C68,Papers!$A$2:$A$12,0)),""))</f>
        <v/>
      </c>
      <c r="Q68">
        <f>IF($A68="","",IFERROR(SUMPRODUCT((INDEX(SubMap!$B$2:$AE$12,MATCH($C68,SubMap!$A$2:$A$12,0),0)=4)*Attempts!$AR68:$BU68),0))</f>
        <v/>
      </c>
      <c r="R68">
        <f>IF($A68="","",IFERROR(COUNTIF(INDEX(SubMap!$B$2:$AE$12,MATCH($C68,SubMap!$A$2:$A$12,0),0),4),0))</f>
        <v/>
      </c>
      <c r="S68">
        <f>IF(OR($A68="",R68=0),"",ROUND(Q68/R68*100,1))</f>
        <v/>
      </c>
      <c r="T68">
        <f>IF($A68="","",IFERROR(INDEX(Papers!$I$2:$I$12,MATCH($C68,Papers!$A$2:$A$12,0)),""))</f>
        <v/>
      </c>
      <c r="U68">
        <f>IF($A68="","",IFERROR(SUMPRODUCT((INDEX(SubMap!$B$2:$AE$12,MATCH($C68,SubMap!$A$2:$A$12,0),0)=5)*Attempts!$AR68:$BU68),0))</f>
        <v/>
      </c>
      <c r="V68">
        <f>IF($A68="","",IFERROR(COUNTIF(INDEX(SubMap!$B$2:$AE$12,MATCH($C68,SubMap!$A$2:$A$12,0),0),5),0))</f>
        <v/>
      </c>
      <c r="W68">
        <f>IF(OR($A68="",V68=0),"",ROUND(U68/V68*100,1))</f>
        <v/>
      </c>
      <c r="X68">
        <f>IF($A68="","",IFERROR(INDEX(Papers!$J$2:$J$12,MATCH($C68,Papers!$A$2:$A$12,0)),""))</f>
        <v/>
      </c>
      <c r="Y68">
        <f>IF($A68="","",IFERROR(SUMPRODUCT((INDEX(SubMap!$B$2:$AE$12,MATCH($C68,SubMap!$A$2:$A$12,0),0)=6)*Attempts!$AR68:$BU68),0))</f>
        <v/>
      </c>
      <c r="Z68">
        <f>IF($A68="","",IFERROR(COUNTIF(INDEX(SubMap!$B$2:$AE$12,MATCH($C68,SubMap!$A$2:$A$12,0),0),6),0))</f>
        <v/>
      </c>
      <c r="AA68">
        <f>IF(OR($A68="",Z68=0),"",ROUND(Y68/Z68*100,1))</f>
        <v/>
      </c>
      <c r="AB68">
        <f>IF($A68="","",IFERROR(INDEX(CHOOSE({1,2,3,4,5,6},D68,H68,L68,P68,T68,X68),MATCH(MIN(G68,K68,O68,S68,W68,AA68),CHOOSE({1,2,3,4,5,6},G68,K68,O68,S68,W68,AA68),0)),""))</f>
        <v/>
      </c>
      <c r="AC68">
        <f>IF($A68="","",IF(COUNT(G68,K68,O68,S68,W68,AA68)=0,"",MIN(G68,K68,O68,S68,W68,AA68)))</f>
        <v/>
      </c>
      <c r="AD68">
        <f>IF($A68="","",IFERROR(INDEX(CHOOSE({1,2,3,4,5,6},IFERROR(INDEX(Papers!$K$2:$K$12,MATCH($C68,Papers!$A$2:$A$12,0)),""),IFERROR(INDEX(Papers!$L$2:$L$12,MATCH($C68,Papers!$A$2:$A$12,0)),""),IFERROR(INDEX(Papers!$M$2:$M$12,MATCH($C68,Papers!$A$2:$A$12,0)),""),IFERROR(INDEX(Papers!$N$2:$N$12,MATCH($C68,Papers!$A$2:$A$12,0)),""),IFERROR(INDEX(Papers!$O$2:$O$12,MATCH($C68,Papers!$A$2:$A$12,0)),""),IFERROR(INDEX(Papers!$P$2:$P$12,MATCH($C68,Papers!$A$2:$A$12,0)),"")),MATCH(MIN(G68,K68,O68,S68,W68,AA68),CHOOSE({1,2,3,4,5,6},G68,K68,O68,S68,W68,AA68),0)),""))</f>
        <v/>
      </c>
      <c r="AE68">
        <f>IF(AC68="","",IF(AC68&lt;50,"Re-teach",IF(AC68&lt;75,"Practice more","Relatively secure")))</f>
        <v/>
      </c>
    </row>
    <row r="69">
      <c r="A69">
        <f>IF(Attempts!A69="","",Attempts!A69)</f>
        <v/>
      </c>
      <c r="B69">
        <f>IF(Attempts!A69="","",Attempts!B69)</f>
        <v/>
      </c>
      <c r="C69">
        <f>IF(Attempts!A69="","",Attempts!D69)</f>
        <v/>
      </c>
      <c r="D69">
        <f>IF($A69="","",IFERROR(INDEX(Papers!$E$2:$E$12,MATCH($C69,Papers!$A$2:$A$12,0)),""))</f>
        <v/>
      </c>
      <c r="E69">
        <f>IF($A69="","",IFERROR(SUMPRODUCT((INDEX(SubMap!$B$2:$AE$12,MATCH($C69,SubMap!$A$2:$A$12,0),0)=1)*Attempts!$AR69:$BU69),0))</f>
        <v/>
      </c>
      <c r="F69">
        <f>IF($A69="","",IFERROR(COUNTIF(INDEX(SubMap!$B$2:$AE$12,MATCH($C69,SubMap!$A$2:$A$12,0),0),1),0))</f>
        <v/>
      </c>
      <c r="G69">
        <f>IF(OR($A69="",F69=0),"",ROUND(E69/F69*100,1))</f>
        <v/>
      </c>
      <c r="H69">
        <f>IF($A69="","",IFERROR(INDEX(Papers!$F$2:$F$12,MATCH($C69,Papers!$A$2:$A$12,0)),""))</f>
        <v/>
      </c>
      <c r="I69">
        <f>IF($A69="","",IFERROR(SUMPRODUCT((INDEX(SubMap!$B$2:$AE$12,MATCH($C69,SubMap!$A$2:$A$12,0),0)=2)*Attempts!$AR69:$BU69),0))</f>
        <v/>
      </c>
      <c r="J69">
        <f>IF($A69="","",IFERROR(COUNTIF(INDEX(SubMap!$B$2:$AE$12,MATCH($C69,SubMap!$A$2:$A$12,0),0),2),0))</f>
        <v/>
      </c>
      <c r="K69">
        <f>IF(OR($A69="",J69=0),"",ROUND(I69/J69*100,1))</f>
        <v/>
      </c>
      <c r="L69">
        <f>IF($A69="","",IFERROR(INDEX(Papers!$G$2:$G$12,MATCH($C69,Papers!$A$2:$A$12,0)),""))</f>
        <v/>
      </c>
      <c r="M69">
        <f>IF($A69="","",IFERROR(SUMPRODUCT((INDEX(SubMap!$B$2:$AE$12,MATCH($C69,SubMap!$A$2:$A$12,0),0)=3)*Attempts!$AR69:$BU69),0))</f>
        <v/>
      </c>
      <c r="N69">
        <f>IF($A69="","",IFERROR(COUNTIF(INDEX(SubMap!$B$2:$AE$12,MATCH($C69,SubMap!$A$2:$A$12,0),0),3),0))</f>
        <v/>
      </c>
      <c r="O69">
        <f>IF(OR($A69="",N69=0),"",ROUND(M69/N69*100,1))</f>
        <v/>
      </c>
      <c r="P69">
        <f>IF($A69="","",IFERROR(INDEX(Papers!$H$2:$H$12,MATCH($C69,Papers!$A$2:$A$12,0)),""))</f>
        <v/>
      </c>
      <c r="Q69">
        <f>IF($A69="","",IFERROR(SUMPRODUCT((INDEX(SubMap!$B$2:$AE$12,MATCH($C69,SubMap!$A$2:$A$12,0),0)=4)*Attempts!$AR69:$BU69),0))</f>
        <v/>
      </c>
      <c r="R69">
        <f>IF($A69="","",IFERROR(COUNTIF(INDEX(SubMap!$B$2:$AE$12,MATCH($C69,SubMap!$A$2:$A$12,0),0),4),0))</f>
        <v/>
      </c>
      <c r="S69">
        <f>IF(OR($A69="",R69=0),"",ROUND(Q69/R69*100,1))</f>
        <v/>
      </c>
      <c r="T69">
        <f>IF($A69="","",IFERROR(INDEX(Papers!$I$2:$I$12,MATCH($C69,Papers!$A$2:$A$12,0)),""))</f>
        <v/>
      </c>
      <c r="U69">
        <f>IF($A69="","",IFERROR(SUMPRODUCT((INDEX(SubMap!$B$2:$AE$12,MATCH($C69,SubMap!$A$2:$A$12,0),0)=5)*Attempts!$AR69:$BU69),0))</f>
        <v/>
      </c>
      <c r="V69">
        <f>IF($A69="","",IFERROR(COUNTIF(INDEX(SubMap!$B$2:$AE$12,MATCH($C69,SubMap!$A$2:$A$12,0),0),5),0))</f>
        <v/>
      </c>
      <c r="W69">
        <f>IF(OR($A69="",V69=0),"",ROUND(U69/V69*100,1))</f>
        <v/>
      </c>
      <c r="X69">
        <f>IF($A69="","",IFERROR(INDEX(Papers!$J$2:$J$12,MATCH($C69,Papers!$A$2:$A$12,0)),""))</f>
        <v/>
      </c>
      <c r="Y69">
        <f>IF($A69="","",IFERROR(SUMPRODUCT((INDEX(SubMap!$B$2:$AE$12,MATCH($C69,SubMap!$A$2:$A$12,0),0)=6)*Attempts!$AR69:$BU69),0))</f>
        <v/>
      </c>
      <c r="Z69">
        <f>IF($A69="","",IFERROR(COUNTIF(INDEX(SubMap!$B$2:$AE$12,MATCH($C69,SubMap!$A$2:$A$12,0),0),6),0))</f>
        <v/>
      </c>
      <c r="AA69">
        <f>IF(OR($A69="",Z69=0),"",ROUND(Y69/Z69*100,1))</f>
        <v/>
      </c>
      <c r="AB69">
        <f>IF($A69="","",IFERROR(INDEX(CHOOSE({1,2,3,4,5,6},D69,H69,L69,P69,T69,X69),MATCH(MIN(G69,K69,O69,S69,W69,AA69),CHOOSE({1,2,3,4,5,6},G69,K69,O69,S69,W69,AA69),0)),""))</f>
        <v/>
      </c>
      <c r="AC69">
        <f>IF($A69="","",IF(COUNT(G69,K69,O69,S69,W69,AA69)=0,"",MIN(G69,K69,O69,S69,W69,AA69)))</f>
        <v/>
      </c>
      <c r="AD69">
        <f>IF($A69="","",IFERROR(INDEX(CHOOSE({1,2,3,4,5,6},IFERROR(INDEX(Papers!$K$2:$K$12,MATCH($C69,Papers!$A$2:$A$12,0)),""),IFERROR(INDEX(Papers!$L$2:$L$12,MATCH($C69,Papers!$A$2:$A$12,0)),""),IFERROR(INDEX(Papers!$M$2:$M$12,MATCH($C69,Papers!$A$2:$A$12,0)),""),IFERROR(INDEX(Papers!$N$2:$N$12,MATCH($C69,Papers!$A$2:$A$12,0)),""),IFERROR(INDEX(Papers!$O$2:$O$12,MATCH($C69,Papers!$A$2:$A$12,0)),""),IFERROR(INDEX(Papers!$P$2:$P$12,MATCH($C69,Papers!$A$2:$A$12,0)),"")),MATCH(MIN(G69,K69,O69,S69,W69,AA69),CHOOSE({1,2,3,4,5,6},G69,K69,O69,S69,W69,AA69),0)),""))</f>
        <v/>
      </c>
      <c r="AE69">
        <f>IF(AC69="","",IF(AC69&lt;50,"Re-teach",IF(AC69&lt;75,"Practice more","Relatively secure")))</f>
        <v/>
      </c>
    </row>
    <row r="70">
      <c r="A70">
        <f>IF(Attempts!A70="","",Attempts!A70)</f>
        <v/>
      </c>
      <c r="B70">
        <f>IF(Attempts!A70="","",Attempts!B70)</f>
        <v/>
      </c>
      <c r="C70">
        <f>IF(Attempts!A70="","",Attempts!D70)</f>
        <v/>
      </c>
      <c r="D70">
        <f>IF($A70="","",IFERROR(INDEX(Papers!$E$2:$E$12,MATCH($C70,Papers!$A$2:$A$12,0)),""))</f>
        <v/>
      </c>
      <c r="E70">
        <f>IF($A70="","",IFERROR(SUMPRODUCT((INDEX(SubMap!$B$2:$AE$12,MATCH($C70,SubMap!$A$2:$A$12,0),0)=1)*Attempts!$AR70:$BU70),0))</f>
        <v/>
      </c>
      <c r="F70">
        <f>IF($A70="","",IFERROR(COUNTIF(INDEX(SubMap!$B$2:$AE$12,MATCH($C70,SubMap!$A$2:$A$12,0),0),1),0))</f>
        <v/>
      </c>
      <c r="G70">
        <f>IF(OR($A70="",F70=0),"",ROUND(E70/F70*100,1))</f>
        <v/>
      </c>
      <c r="H70">
        <f>IF($A70="","",IFERROR(INDEX(Papers!$F$2:$F$12,MATCH($C70,Papers!$A$2:$A$12,0)),""))</f>
        <v/>
      </c>
      <c r="I70">
        <f>IF($A70="","",IFERROR(SUMPRODUCT((INDEX(SubMap!$B$2:$AE$12,MATCH($C70,SubMap!$A$2:$A$12,0),0)=2)*Attempts!$AR70:$BU70),0))</f>
        <v/>
      </c>
      <c r="J70">
        <f>IF($A70="","",IFERROR(COUNTIF(INDEX(SubMap!$B$2:$AE$12,MATCH($C70,SubMap!$A$2:$A$12,0),0),2),0))</f>
        <v/>
      </c>
      <c r="K70">
        <f>IF(OR($A70="",J70=0),"",ROUND(I70/J70*100,1))</f>
        <v/>
      </c>
      <c r="L70">
        <f>IF($A70="","",IFERROR(INDEX(Papers!$G$2:$G$12,MATCH($C70,Papers!$A$2:$A$12,0)),""))</f>
        <v/>
      </c>
      <c r="M70">
        <f>IF($A70="","",IFERROR(SUMPRODUCT((INDEX(SubMap!$B$2:$AE$12,MATCH($C70,SubMap!$A$2:$A$12,0),0)=3)*Attempts!$AR70:$BU70),0))</f>
        <v/>
      </c>
      <c r="N70">
        <f>IF($A70="","",IFERROR(COUNTIF(INDEX(SubMap!$B$2:$AE$12,MATCH($C70,SubMap!$A$2:$A$12,0),0),3),0))</f>
        <v/>
      </c>
      <c r="O70">
        <f>IF(OR($A70="",N70=0),"",ROUND(M70/N70*100,1))</f>
        <v/>
      </c>
      <c r="P70">
        <f>IF($A70="","",IFERROR(INDEX(Papers!$H$2:$H$12,MATCH($C70,Papers!$A$2:$A$12,0)),""))</f>
        <v/>
      </c>
      <c r="Q70">
        <f>IF($A70="","",IFERROR(SUMPRODUCT((INDEX(SubMap!$B$2:$AE$12,MATCH($C70,SubMap!$A$2:$A$12,0),0)=4)*Attempts!$AR70:$BU70),0))</f>
        <v/>
      </c>
      <c r="R70">
        <f>IF($A70="","",IFERROR(COUNTIF(INDEX(SubMap!$B$2:$AE$12,MATCH($C70,SubMap!$A$2:$A$12,0),0),4),0))</f>
        <v/>
      </c>
      <c r="S70">
        <f>IF(OR($A70="",R70=0),"",ROUND(Q70/R70*100,1))</f>
        <v/>
      </c>
      <c r="T70">
        <f>IF($A70="","",IFERROR(INDEX(Papers!$I$2:$I$12,MATCH($C70,Papers!$A$2:$A$12,0)),""))</f>
        <v/>
      </c>
      <c r="U70">
        <f>IF($A70="","",IFERROR(SUMPRODUCT((INDEX(SubMap!$B$2:$AE$12,MATCH($C70,SubMap!$A$2:$A$12,0),0)=5)*Attempts!$AR70:$BU70),0))</f>
        <v/>
      </c>
      <c r="V70">
        <f>IF($A70="","",IFERROR(COUNTIF(INDEX(SubMap!$B$2:$AE$12,MATCH($C70,SubMap!$A$2:$A$12,0),0),5),0))</f>
        <v/>
      </c>
      <c r="W70">
        <f>IF(OR($A70="",V70=0),"",ROUND(U70/V70*100,1))</f>
        <v/>
      </c>
      <c r="X70">
        <f>IF($A70="","",IFERROR(INDEX(Papers!$J$2:$J$12,MATCH($C70,Papers!$A$2:$A$12,0)),""))</f>
        <v/>
      </c>
      <c r="Y70">
        <f>IF($A70="","",IFERROR(SUMPRODUCT((INDEX(SubMap!$B$2:$AE$12,MATCH($C70,SubMap!$A$2:$A$12,0),0)=6)*Attempts!$AR70:$BU70),0))</f>
        <v/>
      </c>
      <c r="Z70">
        <f>IF($A70="","",IFERROR(COUNTIF(INDEX(SubMap!$B$2:$AE$12,MATCH($C70,SubMap!$A$2:$A$12,0),0),6),0))</f>
        <v/>
      </c>
      <c r="AA70">
        <f>IF(OR($A70="",Z70=0),"",ROUND(Y70/Z70*100,1))</f>
        <v/>
      </c>
      <c r="AB70">
        <f>IF($A70="","",IFERROR(INDEX(CHOOSE({1,2,3,4,5,6},D70,H70,L70,P70,T70,X70),MATCH(MIN(G70,K70,O70,S70,W70,AA70),CHOOSE({1,2,3,4,5,6},G70,K70,O70,S70,W70,AA70),0)),""))</f>
        <v/>
      </c>
      <c r="AC70">
        <f>IF($A70="","",IF(COUNT(G70,K70,O70,S70,W70,AA70)=0,"",MIN(G70,K70,O70,S70,W70,AA70)))</f>
        <v/>
      </c>
      <c r="AD70">
        <f>IF($A70="","",IFERROR(INDEX(CHOOSE({1,2,3,4,5,6},IFERROR(INDEX(Papers!$K$2:$K$12,MATCH($C70,Papers!$A$2:$A$12,0)),""),IFERROR(INDEX(Papers!$L$2:$L$12,MATCH($C70,Papers!$A$2:$A$12,0)),""),IFERROR(INDEX(Papers!$M$2:$M$12,MATCH($C70,Papers!$A$2:$A$12,0)),""),IFERROR(INDEX(Papers!$N$2:$N$12,MATCH($C70,Papers!$A$2:$A$12,0)),""),IFERROR(INDEX(Papers!$O$2:$O$12,MATCH($C70,Papers!$A$2:$A$12,0)),""),IFERROR(INDEX(Papers!$P$2:$P$12,MATCH($C70,Papers!$A$2:$A$12,0)),"")),MATCH(MIN(G70,K70,O70,S70,W70,AA70),CHOOSE({1,2,3,4,5,6},G70,K70,O70,S70,W70,AA70),0)),""))</f>
        <v/>
      </c>
      <c r="AE70">
        <f>IF(AC70="","",IF(AC70&lt;50,"Re-teach",IF(AC70&lt;75,"Practice more","Relatively secure")))</f>
        <v/>
      </c>
    </row>
    <row r="71">
      <c r="A71">
        <f>IF(Attempts!A71="","",Attempts!A71)</f>
        <v/>
      </c>
      <c r="B71">
        <f>IF(Attempts!A71="","",Attempts!B71)</f>
        <v/>
      </c>
      <c r="C71">
        <f>IF(Attempts!A71="","",Attempts!D71)</f>
        <v/>
      </c>
      <c r="D71">
        <f>IF($A71="","",IFERROR(INDEX(Papers!$E$2:$E$12,MATCH($C71,Papers!$A$2:$A$12,0)),""))</f>
        <v/>
      </c>
      <c r="E71">
        <f>IF($A71="","",IFERROR(SUMPRODUCT((INDEX(SubMap!$B$2:$AE$12,MATCH($C71,SubMap!$A$2:$A$12,0),0)=1)*Attempts!$AR71:$BU71),0))</f>
        <v/>
      </c>
      <c r="F71">
        <f>IF($A71="","",IFERROR(COUNTIF(INDEX(SubMap!$B$2:$AE$12,MATCH($C71,SubMap!$A$2:$A$12,0),0),1),0))</f>
        <v/>
      </c>
      <c r="G71">
        <f>IF(OR($A71="",F71=0),"",ROUND(E71/F71*100,1))</f>
        <v/>
      </c>
      <c r="H71">
        <f>IF($A71="","",IFERROR(INDEX(Papers!$F$2:$F$12,MATCH($C71,Papers!$A$2:$A$12,0)),""))</f>
        <v/>
      </c>
      <c r="I71">
        <f>IF($A71="","",IFERROR(SUMPRODUCT((INDEX(SubMap!$B$2:$AE$12,MATCH($C71,SubMap!$A$2:$A$12,0),0)=2)*Attempts!$AR71:$BU71),0))</f>
        <v/>
      </c>
      <c r="J71">
        <f>IF($A71="","",IFERROR(COUNTIF(INDEX(SubMap!$B$2:$AE$12,MATCH($C71,SubMap!$A$2:$A$12,0),0),2),0))</f>
        <v/>
      </c>
      <c r="K71">
        <f>IF(OR($A71="",J71=0),"",ROUND(I71/J71*100,1))</f>
        <v/>
      </c>
      <c r="L71">
        <f>IF($A71="","",IFERROR(INDEX(Papers!$G$2:$G$12,MATCH($C71,Papers!$A$2:$A$12,0)),""))</f>
        <v/>
      </c>
      <c r="M71">
        <f>IF($A71="","",IFERROR(SUMPRODUCT((INDEX(SubMap!$B$2:$AE$12,MATCH($C71,SubMap!$A$2:$A$12,0),0)=3)*Attempts!$AR71:$BU71),0))</f>
        <v/>
      </c>
      <c r="N71">
        <f>IF($A71="","",IFERROR(COUNTIF(INDEX(SubMap!$B$2:$AE$12,MATCH($C71,SubMap!$A$2:$A$12,0),0),3),0))</f>
        <v/>
      </c>
      <c r="O71">
        <f>IF(OR($A71="",N71=0),"",ROUND(M71/N71*100,1))</f>
        <v/>
      </c>
      <c r="P71">
        <f>IF($A71="","",IFERROR(INDEX(Papers!$H$2:$H$12,MATCH($C71,Papers!$A$2:$A$12,0)),""))</f>
        <v/>
      </c>
      <c r="Q71">
        <f>IF($A71="","",IFERROR(SUMPRODUCT((INDEX(SubMap!$B$2:$AE$12,MATCH($C71,SubMap!$A$2:$A$12,0),0)=4)*Attempts!$AR71:$BU71),0))</f>
        <v/>
      </c>
      <c r="R71">
        <f>IF($A71="","",IFERROR(COUNTIF(INDEX(SubMap!$B$2:$AE$12,MATCH($C71,SubMap!$A$2:$A$12,0),0),4),0))</f>
        <v/>
      </c>
      <c r="S71">
        <f>IF(OR($A71="",R71=0),"",ROUND(Q71/R71*100,1))</f>
        <v/>
      </c>
      <c r="T71">
        <f>IF($A71="","",IFERROR(INDEX(Papers!$I$2:$I$12,MATCH($C71,Papers!$A$2:$A$12,0)),""))</f>
        <v/>
      </c>
      <c r="U71">
        <f>IF($A71="","",IFERROR(SUMPRODUCT((INDEX(SubMap!$B$2:$AE$12,MATCH($C71,SubMap!$A$2:$A$12,0),0)=5)*Attempts!$AR71:$BU71),0))</f>
        <v/>
      </c>
      <c r="V71">
        <f>IF($A71="","",IFERROR(COUNTIF(INDEX(SubMap!$B$2:$AE$12,MATCH($C71,SubMap!$A$2:$A$12,0),0),5),0))</f>
        <v/>
      </c>
      <c r="W71">
        <f>IF(OR($A71="",V71=0),"",ROUND(U71/V71*100,1))</f>
        <v/>
      </c>
      <c r="X71">
        <f>IF($A71="","",IFERROR(INDEX(Papers!$J$2:$J$12,MATCH($C71,Papers!$A$2:$A$12,0)),""))</f>
        <v/>
      </c>
      <c r="Y71">
        <f>IF($A71="","",IFERROR(SUMPRODUCT((INDEX(SubMap!$B$2:$AE$12,MATCH($C71,SubMap!$A$2:$A$12,0),0)=6)*Attempts!$AR71:$BU71),0))</f>
        <v/>
      </c>
      <c r="Z71">
        <f>IF($A71="","",IFERROR(COUNTIF(INDEX(SubMap!$B$2:$AE$12,MATCH($C71,SubMap!$A$2:$A$12,0),0),6),0))</f>
        <v/>
      </c>
      <c r="AA71">
        <f>IF(OR($A71="",Z71=0),"",ROUND(Y71/Z71*100,1))</f>
        <v/>
      </c>
      <c r="AB71">
        <f>IF($A71="","",IFERROR(INDEX(CHOOSE({1,2,3,4,5,6},D71,H71,L71,P71,T71,X71),MATCH(MIN(G71,K71,O71,S71,W71,AA71),CHOOSE({1,2,3,4,5,6},G71,K71,O71,S71,W71,AA71),0)),""))</f>
        <v/>
      </c>
      <c r="AC71">
        <f>IF($A71="","",IF(COUNT(G71,K71,O71,S71,W71,AA71)=0,"",MIN(G71,K71,O71,S71,W71,AA71)))</f>
        <v/>
      </c>
      <c r="AD71">
        <f>IF($A71="","",IFERROR(INDEX(CHOOSE({1,2,3,4,5,6},IFERROR(INDEX(Papers!$K$2:$K$12,MATCH($C71,Papers!$A$2:$A$12,0)),""),IFERROR(INDEX(Papers!$L$2:$L$12,MATCH($C71,Papers!$A$2:$A$12,0)),""),IFERROR(INDEX(Papers!$M$2:$M$12,MATCH($C71,Papers!$A$2:$A$12,0)),""),IFERROR(INDEX(Papers!$N$2:$N$12,MATCH($C71,Papers!$A$2:$A$12,0)),""),IFERROR(INDEX(Papers!$O$2:$O$12,MATCH($C71,Papers!$A$2:$A$12,0)),""),IFERROR(INDEX(Papers!$P$2:$P$12,MATCH($C71,Papers!$A$2:$A$12,0)),"")),MATCH(MIN(G71,K71,O71,S71,W71,AA71),CHOOSE({1,2,3,4,5,6},G71,K71,O71,S71,W71,AA71),0)),""))</f>
        <v/>
      </c>
      <c r="AE71">
        <f>IF(AC71="","",IF(AC71&lt;50,"Re-teach",IF(AC71&lt;75,"Practice more","Relatively secure")))</f>
        <v/>
      </c>
    </row>
    <row r="72">
      <c r="A72">
        <f>IF(Attempts!A72="","",Attempts!A72)</f>
        <v/>
      </c>
      <c r="B72">
        <f>IF(Attempts!A72="","",Attempts!B72)</f>
        <v/>
      </c>
      <c r="C72">
        <f>IF(Attempts!A72="","",Attempts!D72)</f>
        <v/>
      </c>
      <c r="D72">
        <f>IF($A72="","",IFERROR(INDEX(Papers!$E$2:$E$12,MATCH($C72,Papers!$A$2:$A$12,0)),""))</f>
        <v/>
      </c>
      <c r="E72">
        <f>IF($A72="","",IFERROR(SUMPRODUCT((INDEX(SubMap!$B$2:$AE$12,MATCH($C72,SubMap!$A$2:$A$12,0),0)=1)*Attempts!$AR72:$BU72),0))</f>
        <v/>
      </c>
      <c r="F72">
        <f>IF($A72="","",IFERROR(COUNTIF(INDEX(SubMap!$B$2:$AE$12,MATCH($C72,SubMap!$A$2:$A$12,0),0),1),0))</f>
        <v/>
      </c>
      <c r="G72">
        <f>IF(OR($A72="",F72=0),"",ROUND(E72/F72*100,1))</f>
        <v/>
      </c>
      <c r="H72">
        <f>IF($A72="","",IFERROR(INDEX(Papers!$F$2:$F$12,MATCH($C72,Papers!$A$2:$A$12,0)),""))</f>
        <v/>
      </c>
      <c r="I72">
        <f>IF($A72="","",IFERROR(SUMPRODUCT((INDEX(SubMap!$B$2:$AE$12,MATCH($C72,SubMap!$A$2:$A$12,0),0)=2)*Attempts!$AR72:$BU72),0))</f>
        <v/>
      </c>
      <c r="J72">
        <f>IF($A72="","",IFERROR(COUNTIF(INDEX(SubMap!$B$2:$AE$12,MATCH($C72,SubMap!$A$2:$A$12,0),0),2),0))</f>
        <v/>
      </c>
      <c r="K72">
        <f>IF(OR($A72="",J72=0),"",ROUND(I72/J72*100,1))</f>
        <v/>
      </c>
      <c r="L72">
        <f>IF($A72="","",IFERROR(INDEX(Papers!$G$2:$G$12,MATCH($C72,Papers!$A$2:$A$12,0)),""))</f>
        <v/>
      </c>
      <c r="M72">
        <f>IF($A72="","",IFERROR(SUMPRODUCT((INDEX(SubMap!$B$2:$AE$12,MATCH($C72,SubMap!$A$2:$A$12,0),0)=3)*Attempts!$AR72:$BU72),0))</f>
        <v/>
      </c>
      <c r="N72">
        <f>IF($A72="","",IFERROR(COUNTIF(INDEX(SubMap!$B$2:$AE$12,MATCH($C72,SubMap!$A$2:$A$12,0),0),3),0))</f>
        <v/>
      </c>
      <c r="O72">
        <f>IF(OR($A72="",N72=0),"",ROUND(M72/N72*100,1))</f>
        <v/>
      </c>
      <c r="P72">
        <f>IF($A72="","",IFERROR(INDEX(Papers!$H$2:$H$12,MATCH($C72,Papers!$A$2:$A$12,0)),""))</f>
        <v/>
      </c>
      <c r="Q72">
        <f>IF($A72="","",IFERROR(SUMPRODUCT((INDEX(SubMap!$B$2:$AE$12,MATCH($C72,SubMap!$A$2:$A$12,0),0)=4)*Attempts!$AR72:$BU72),0))</f>
        <v/>
      </c>
      <c r="R72">
        <f>IF($A72="","",IFERROR(COUNTIF(INDEX(SubMap!$B$2:$AE$12,MATCH($C72,SubMap!$A$2:$A$12,0),0),4),0))</f>
        <v/>
      </c>
      <c r="S72">
        <f>IF(OR($A72="",R72=0),"",ROUND(Q72/R72*100,1))</f>
        <v/>
      </c>
      <c r="T72">
        <f>IF($A72="","",IFERROR(INDEX(Papers!$I$2:$I$12,MATCH($C72,Papers!$A$2:$A$12,0)),""))</f>
        <v/>
      </c>
      <c r="U72">
        <f>IF($A72="","",IFERROR(SUMPRODUCT((INDEX(SubMap!$B$2:$AE$12,MATCH($C72,SubMap!$A$2:$A$12,0),0)=5)*Attempts!$AR72:$BU72),0))</f>
        <v/>
      </c>
      <c r="V72">
        <f>IF($A72="","",IFERROR(COUNTIF(INDEX(SubMap!$B$2:$AE$12,MATCH($C72,SubMap!$A$2:$A$12,0),0),5),0))</f>
        <v/>
      </c>
      <c r="W72">
        <f>IF(OR($A72="",V72=0),"",ROUND(U72/V72*100,1))</f>
        <v/>
      </c>
      <c r="X72">
        <f>IF($A72="","",IFERROR(INDEX(Papers!$J$2:$J$12,MATCH($C72,Papers!$A$2:$A$12,0)),""))</f>
        <v/>
      </c>
      <c r="Y72">
        <f>IF($A72="","",IFERROR(SUMPRODUCT((INDEX(SubMap!$B$2:$AE$12,MATCH($C72,SubMap!$A$2:$A$12,0),0)=6)*Attempts!$AR72:$BU72),0))</f>
        <v/>
      </c>
      <c r="Z72">
        <f>IF($A72="","",IFERROR(COUNTIF(INDEX(SubMap!$B$2:$AE$12,MATCH($C72,SubMap!$A$2:$A$12,0),0),6),0))</f>
        <v/>
      </c>
      <c r="AA72">
        <f>IF(OR($A72="",Z72=0),"",ROUND(Y72/Z72*100,1))</f>
        <v/>
      </c>
      <c r="AB72">
        <f>IF($A72="","",IFERROR(INDEX(CHOOSE({1,2,3,4,5,6},D72,H72,L72,P72,T72,X72),MATCH(MIN(G72,K72,O72,S72,W72,AA72),CHOOSE({1,2,3,4,5,6},G72,K72,O72,S72,W72,AA72),0)),""))</f>
        <v/>
      </c>
      <c r="AC72">
        <f>IF($A72="","",IF(COUNT(G72,K72,O72,S72,W72,AA72)=0,"",MIN(G72,K72,O72,S72,W72,AA72)))</f>
        <v/>
      </c>
      <c r="AD72">
        <f>IF($A72="","",IFERROR(INDEX(CHOOSE({1,2,3,4,5,6},IFERROR(INDEX(Papers!$K$2:$K$12,MATCH($C72,Papers!$A$2:$A$12,0)),""),IFERROR(INDEX(Papers!$L$2:$L$12,MATCH($C72,Papers!$A$2:$A$12,0)),""),IFERROR(INDEX(Papers!$M$2:$M$12,MATCH($C72,Papers!$A$2:$A$12,0)),""),IFERROR(INDEX(Papers!$N$2:$N$12,MATCH($C72,Papers!$A$2:$A$12,0)),""),IFERROR(INDEX(Papers!$O$2:$O$12,MATCH($C72,Papers!$A$2:$A$12,0)),""),IFERROR(INDEX(Papers!$P$2:$P$12,MATCH($C72,Papers!$A$2:$A$12,0)),"")),MATCH(MIN(G72,K72,O72,S72,W72,AA72),CHOOSE({1,2,3,4,5,6},G72,K72,O72,S72,W72,AA72),0)),""))</f>
        <v/>
      </c>
      <c r="AE72">
        <f>IF(AC72="","",IF(AC72&lt;50,"Re-teach",IF(AC72&lt;75,"Practice more","Relatively secure")))</f>
        <v/>
      </c>
    </row>
    <row r="73">
      <c r="A73">
        <f>IF(Attempts!A73="","",Attempts!A73)</f>
        <v/>
      </c>
      <c r="B73">
        <f>IF(Attempts!A73="","",Attempts!B73)</f>
        <v/>
      </c>
      <c r="C73">
        <f>IF(Attempts!A73="","",Attempts!D73)</f>
        <v/>
      </c>
      <c r="D73">
        <f>IF($A73="","",IFERROR(INDEX(Papers!$E$2:$E$12,MATCH($C73,Papers!$A$2:$A$12,0)),""))</f>
        <v/>
      </c>
      <c r="E73">
        <f>IF($A73="","",IFERROR(SUMPRODUCT((INDEX(SubMap!$B$2:$AE$12,MATCH($C73,SubMap!$A$2:$A$12,0),0)=1)*Attempts!$AR73:$BU73),0))</f>
        <v/>
      </c>
      <c r="F73">
        <f>IF($A73="","",IFERROR(COUNTIF(INDEX(SubMap!$B$2:$AE$12,MATCH($C73,SubMap!$A$2:$A$12,0),0),1),0))</f>
        <v/>
      </c>
      <c r="G73">
        <f>IF(OR($A73="",F73=0),"",ROUND(E73/F73*100,1))</f>
        <v/>
      </c>
      <c r="H73">
        <f>IF($A73="","",IFERROR(INDEX(Papers!$F$2:$F$12,MATCH($C73,Papers!$A$2:$A$12,0)),""))</f>
        <v/>
      </c>
      <c r="I73">
        <f>IF($A73="","",IFERROR(SUMPRODUCT((INDEX(SubMap!$B$2:$AE$12,MATCH($C73,SubMap!$A$2:$A$12,0),0)=2)*Attempts!$AR73:$BU73),0))</f>
        <v/>
      </c>
      <c r="J73">
        <f>IF($A73="","",IFERROR(COUNTIF(INDEX(SubMap!$B$2:$AE$12,MATCH($C73,SubMap!$A$2:$A$12,0),0),2),0))</f>
        <v/>
      </c>
      <c r="K73">
        <f>IF(OR($A73="",J73=0),"",ROUND(I73/J73*100,1))</f>
        <v/>
      </c>
      <c r="L73">
        <f>IF($A73="","",IFERROR(INDEX(Papers!$G$2:$G$12,MATCH($C73,Papers!$A$2:$A$12,0)),""))</f>
        <v/>
      </c>
      <c r="M73">
        <f>IF($A73="","",IFERROR(SUMPRODUCT((INDEX(SubMap!$B$2:$AE$12,MATCH($C73,SubMap!$A$2:$A$12,0),0)=3)*Attempts!$AR73:$BU73),0))</f>
        <v/>
      </c>
      <c r="N73">
        <f>IF($A73="","",IFERROR(COUNTIF(INDEX(SubMap!$B$2:$AE$12,MATCH($C73,SubMap!$A$2:$A$12,0),0),3),0))</f>
        <v/>
      </c>
      <c r="O73">
        <f>IF(OR($A73="",N73=0),"",ROUND(M73/N73*100,1))</f>
        <v/>
      </c>
      <c r="P73">
        <f>IF($A73="","",IFERROR(INDEX(Papers!$H$2:$H$12,MATCH($C73,Papers!$A$2:$A$12,0)),""))</f>
        <v/>
      </c>
      <c r="Q73">
        <f>IF($A73="","",IFERROR(SUMPRODUCT((INDEX(SubMap!$B$2:$AE$12,MATCH($C73,SubMap!$A$2:$A$12,0),0)=4)*Attempts!$AR73:$BU73),0))</f>
        <v/>
      </c>
      <c r="R73">
        <f>IF($A73="","",IFERROR(COUNTIF(INDEX(SubMap!$B$2:$AE$12,MATCH($C73,SubMap!$A$2:$A$12,0),0),4),0))</f>
        <v/>
      </c>
      <c r="S73">
        <f>IF(OR($A73="",R73=0),"",ROUND(Q73/R73*100,1))</f>
        <v/>
      </c>
      <c r="T73">
        <f>IF($A73="","",IFERROR(INDEX(Papers!$I$2:$I$12,MATCH($C73,Papers!$A$2:$A$12,0)),""))</f>
        <v/>
      </c>
      <c r="U73">
        <f>IF($A73="","",IFERROR(SUMPRODUCT((INDEX(SubMap!$B$2:$AE$12,MATCH($C73,SubMap!$A$2:$A$12,0),0)=5)*Attempts!$AR73:$BU73),0))</f>
        <v/>
      </c>
      <c r="V73">
        <f>IF($A73="","",IFERROR(COUNTIF(INDEX(SubMap!$B$2:$AE$12,MATCH($C73,SubMap!$A$2:$A$12,0),0),5),0))</f>
        <v/>
      </c>
      <c r="W73">
        <f>IF(OR($A73="",V73=0),"",ROUND(U73/V73*100,1))</f>
        <v/>
      </c>
      <c r="X73">
        <f>IF($A73="","",IFERROR(INDEX(Papers!$J$2:$J$12,MATCH($C73,Papers!$A$2:$A$12,0)),""))</f>
        <v/>
      </c>
      <c r="Y73">
        <f>IF($A73="","",IFERROR(SUMPRODUCT((INDEX(SubMap!$B$2:$AE$12,MATCH($C73,SubMap!$A$2:$A$12,0),0)=6)*Attempts!$AR73:$BU73),0))</f>
        <v/>
      </c>
      <c r="Z73">
        <f>IF($A73="","",IFERROR(COUNTIF(INDEX(SubMap!$B$2:$AE$12,MATCH($C73,SubMap!$A$2:$A$12,0),0),6),0))</f>
        <v/>
      </c>
      <c r="AA73">
        <f>IF(OR($A73="",Z73=0),"",ROUND(Y73/Z73*100,1))</f>
        <v/>
      </c>
      <c r="AB73">
        <f>IF($A73="","",IFERROR(INDEX(CHOOSE({1,2,3,4,5,6},D73,H73,L73,P73,T73,X73),MATCH(MIN(G73,K73,O73,S73,W73,AA73),CHOOSE({1,2,3,4,5,6},G73,K73,O73,S73,W73,AA73),0)),""))</f>
        <v/>
      </c>
      <c r="AC73">
        <f>IF($A73="","",IF(COUNT(G73,K73,O73,S73,W73,AA73)=0,"",MIN(G73,K73,O73,S73,W73,AA73)))</f>
        <v/>
      </c>
      <c r="AD73">
        <f>IF($A73="","",IFERROR(INDEX(CHOOSE({1,2,3,4,5,6},IFERROR(INDEX(Papers!$K$2:$K$12,MATCH($C73,Papers!$A$2:$A$12,0)),""),IFERROR(INDEX(Papers!$L$2:$L$12,MATCH($C73,Papers!$A$2:$A$12,0)),""),IFERROR(INDEX(Papers!$M$2:$M$12,MATCH($C73,Papers!$A$2:$A$12,0)),""),IFERROR(INDEX(Papers!$N$2:$N$12,MATCH($C73,Papers!$A$2:$A$12,0)),""),IFERROR(INDEX(Papers!$O$2:$O$12,MATCH($C73,Papers!$A$2:$A$12,0)),""),IFERROR(INDEX(Papers!$P$2:$P$12,MATCH($C73,Papers!$A$2:$A$12,0)),"")),MATCH(MIN(G73,K73,O73,S73,W73,AA73),CHOOSE({1,2,3,4,5,6},G73,K73,O73,S73,W73,AA73),0)),""))</f>
        <v/>
      </c>
      <c r="AE73">
        <f>IF(AC73="","",IF(AC73&lt;50,"Re-teach",IF(AC73&lt;75,"Practice more","Relatively secure")))</f>
        <v/>
      </c>
    </row>
    <row r="74">
      <c r="A74">
        <f>IF(Attempts!A74="","",Attempts!A74)</f>
        <v/>
      </c>
      <c r="B74">
        <f>IF(Attempts!A74="","",Attempts!B74)</f>
        <v/>
      </c>
      <c r="C74">
        <f>IF(Attempts!A74="","",Attempts!D74)</f>
        <v/>
      </c>
      <c r="D74">
        <f>IF($A74="","",IFERROR(INDEX(Papers!$E$2:$E$12,MATCH($C74,Papers!$A$2:$A$12,0)),""))</f>
        <v/>
      </c>
      <c r="E74">
        <f>IF($A74="","",IFERROR(SUMPRODUCT((INDEX(SubMap!$B$2:$AE$12,MATCH($C74,SubMap!$A$2:$A$12,0),0)=1)*Attempts!$AR74:$BU74),0))</f>
        <v/>
      </c>
      <c r="F74">
        <f>IF($A74="","",IFERROR(COUNTIF(INDEX(SubMap!$B$2:$AE$12,MATCH($C74,SubMap!$A$2:$A$12,0),0),1),0))</f>
        <v/>
      </c>
      <c r="G74">
        <f>IF(OR($A74="",F74=0),"",ROUND(E74/F74*100,1))</f>
        <v/>
      </c>
      <c r="H74">
        <f>IF($A74="","",IFERROR(INDEX(Papers!$F$2:$F$12,MATCH($C74,Papers!$A$2:$A$12,0)),""))</f>
        <v/>
      </c>
      <c r="I74">
        <f>IF($A74="","",IFERROR(SUMPRODUCT((INDEX(SubMap!$B$2:$AE$12,MATCH($C74,SubMap!$A$2:$A$12,0),0)=2)*Attempts!$AR74:$BU74),0))</f>
        <v/>
      </c>
      <c r="J74">
        <f>IF($A74="","",IFERROR(COUNTIF(INDEX(SubMap!$B$2:$AE$12,MATCH($C74,SubMap!$A$2:$A$12,0),0),2),0))</f>
        <v/>
      </c>
      <c r="K74">
        <f>IF(OR($A74="",J74=0),"",ROUND(I74/J74*100,1))</f>
        <v/>
      </c>
      <c r="L74">
        <f>IF($A74="","",IFERROR(INDEX(Papers!$G$2:$G$12,MATCH($C74,Papers!$A$2:$A$12,0)),""))</f>
        <v/>
      </c>
      <c r="M74">
        <f>IF($A74="","",IFERROR(SUMPRODUCT((INDEX(SubMap!$B$2:$AE$12,MATCH($C74,SubMap!$A$2:$A$12,0),0)=3)*Attempts!$AR74:$BU74),0))</f>
        <v/>
      </c>
      <c r="N74">
        <f>IF($A74="","",IFERROR(COUNTIF(INDEX(SubMap!$B$2:$AE$12,MATCH($C74,SubMap!$A$2:$A$12,0),0),3),0))</f>
        <v/>
      </c>
      <c r="O74">
        <f>IF(OR($A74="",N74=0),"",ROUND(M74/N74*100,1))</f>
        <v/>
      </c>
      <c r="P74">
        <f>IF($A74="","",IFERROR(INDEX(Papers!$H$2:$H$12,MATCH($C74,Papers!$A$2:$A$12,0)),""))</f>
        <v/>
      </c>
      <c r="Q74">
        <f>IF($A74="","",IFERROR(SUMPRODUCT((INDEX(SubMap!$B$2:$AE$12,MATCH($C74,SubMap!$A$2:$A$12,0),0)=4)*Attempts!$AR74:$BU74),0))</f>
        <v/>
      </c>
      <c r="R74">
        <f>IF($A74="","",IFERROR(COUNTIF(INDEX(SubMap!$B$2:$AE$12,MATCH($C74,SubMap!$A$2:$A$12,0),0),4),0))</f>
        <v/>
      </c>
      <c r="S74">
        <f>IF(OR($A74="",R74=0),"",ROUND(Q74/R74*100,1))</f>
        <v/>
      </c>
      <c r="T74">
        <f>IF($A74="","",IFERROR(INDEX(Papers!$I$2:$I$12,MATCH($C74,Papers!$A$2:$A$12,0)),""))</f>
        <v/>
      </c>
      <c r="U74">
        <f>IF($A74="","",IFERROR(SUMPRODUCT((INDEX(SubMap!$B$2:$AE$12,MATCH($C74,SubMap!$A$2:$A$12,0),0)=5)*Attempts!$AR74:$BU74),0))</f>
        <v/>
      </c>
      <c r="V74">
        <f>IF($A74="","",IFERROR(COUNTIF(INDEX(SubMap!$B$2:$AE$12,MATCH($C74,SubMap!$A$2:$A$12,0),0),5),0))</f>
        <v/>
      </c>
      <c r="W74">
        <f>IF(OR($A74="",V74=0),"",ROUND(U74/V74*100,1))</f>
        <v/>
      </c>
      <c r="X74">
        <f>IF($A74="","",IFERROR(INDEX(Papers!$J$2:$J$12,MATCH($C74,Papers!$A$2:$A$12,0)),""))</f>
        <v/>
      </c>
      <c r="Y74">
        <f>IF($A74="","",IFERROR(SUMPRODUCT((INDEX(SubMap!$B$2:$AE$12,MATCH($C74,SubMap!$A$2:$A$12,0),0)=6)*Attempts!$AR74:$BU74),0))</f>
        <v/>
      </c>
      <c r="Z74">
        <f>IF($A74="","",IFERROR(COUNTIF(INDEX(SubMap!$B$2:$AE$12,MATCH($C74,SubMap!$A$2:$A$12,0),0),6),0))</f>
        <v/>
      </c>
      <c r="AA74">
        <f>IF(OR($A74="",Z74=0),"",ROUND(Y74/Z74*100,1))</f>
        <v/>
      </c>
      <c r="AB74">
        <f>IF($A74="","",IFERROR(INDEX(CHOOSE({1,2,3,4,5,6},D74,H74,L74,P74,T74,X74),MATCH(MIN(G74,K74,O74,S74,W74,AA74),CHOOSE({1,2,3,4,5,6},G74,K74,O74,S74,W74,AA74),0)),""))</f>
        <v/>
      </c>
      <c r="AC74">
        <f>IF($A74="","",IF(COUNT(G74,K74,O74,S74,W74,AA74)=0,"",MIN(G74,K74,O74,S74,W74,AA74)))</f>
        <v/>
      </c>
      <c r="AD74">
        <f>IF($A74="","",IFERROR(INDEX(CHOOSE({1,2,3,4,5,6},IFERROR(INDEX(Papers!$K$2:$K$12,MATCH($C74,Papers!$A$2:$A$12,0)),""),IFERROR(INDEX(Papers!$L$2:$L$12,MATCH($C74,Papers!$A$2:$A$12,0)),""),IFERROR(INDEX(Papers!$M$2:$M$12,MATCH($C74,Papers!$A$2:$A$12,0)),""),IFERROR(INDEX(Papers!$N$2:$N$12,MATCH($C74,Papers!$A$2:$A$12,0)),""),IFERROR(INDEX(Papers!$O$2:$O$12,MATCH($C74,Papers!$A$2:$A$12,0)),""),IFERROR(INDEX(Papers!$P$2:$P$12,MATCH($C74,Papers!$A$2:$A$12,0)),"")),MATCH(MIN(G74,K74,O74,S74,W74,AA74),CHOOSE({1,2,3,4,5,6},G74,K74,O74,S74,W74,AA74),0)),""))</f>
        <v/>
      </c>
      <c r="AE74">
        <f>IF(AC74="","",IF(AC74&lt;50,"Re-teach",IF(AC74&lt;75,"Practice more","Relatively secure")))</f>
        <v/>
      </c>
    </row>
    <row r="75">
      <c r="A75">
        <f>IF(Attempts!A75="","",Attempts!A75)</f>
        <v/>
      </c>
      <c r="B75">
        <f>IF(Attempts!A75="","",Attempts!B75)</f>
        <v/>
      </c>
      <c r="C75">
        <f>IF(Attempts!A75="","",Attempts!D75)</f>
        <v/>
      </c>
      <c r="D75">
        <f>IF($A75="","",IFERROR(INDEX(Papers!$E$2:$E$12,MATCH($C75,Papers!$A$2:$A$12,0)),""))</f>
        <v/>
      </c>
      <c r="E75">
        <f>IF($A75="","",IFERROR(SUMPRODUCT((INDEX(SubMap!$B$2:$AE$12,MATCH($C75,SubMap!$A$2:$A$12,0),0)=1)*Attempts!$AR75:$BU75),0))</f>
        <v/>
      </c>
      <c r="F75">
        <f>IF($A75="","",IFERROR(COUNTIF(INDEX(SubMap!$B$2:$AE$12,MATCH($C75,SubMap!$A$2:$A$12,0),0),1),0))</f>
        <v/>
      </c>
      <c r="G75">
        <f>IF(OR($A75="",F75=0),"",ROUND(E75/F75*100,1))</f>
        <v/>
      </c>
      <c r="H75">
        <f>IF($A75="","",IFERROR(INDEX(Papers!$F$2:$F$12,MATCH($C75,Papers!$A$2:$A$12,0)),""))</f>
        <v/>
      </c>
      <c r="I75">
        <f>IF($A75="","",IFERROR(SUMPRODUCT((INDEX(SubMap!$B$2:$AE$12,MATCH($C75,SubMap!$A$2:$A$12,0),0)=2)*Attempts!$AR75:$BU75),0))</f>
        <v/>
      </c>
      <c r="J75">
        <f>IF($A75="","",IFERROR(COUNTIF(INDEX(SubMap!$B$2:$AE$12,MATCH($C75,SubMap!$A$2:$A$12,0),0),2),0))</f>
        <v/>
      </c>
      <c r="K75">
        <f>IF(OR($A75="",J75=0),"",ROUND(I75/J75*100,1))</f>
        <v/>
      </c>
      <c r="L75">
        <f>IF($A75="","",IFERROR(INDEX(Papers!$G$2:$G$12,MATCH($C75,Papers!$A$2:$A$12,0)),""))</f>
        <v/>
      </c>
      <c r="M75">
        <f>IF($A75="","",IFERROR(SUMPRODUCT((INDEX(SubMap!$B$2:$AE$12,MATCH($C75,SubMap!$A$2:$A$12,0),0)=3)*Attempts!$AR75:$BU75),0))</f>
        <v/>
      </c>
      <c r="N75">
        <f>IF($A75="","",IFERROR(COUNTIF(INDEX(SubMap!$B$2:$AE$12,MATCH($C75,SubMap!$A$2:$A$12,0),0),3),0))</f>
        <v/>
      </c>
      <c r="O75">
        <f>IF(OR($A75="",N75=0),"",ROUND(M75/N75*100,1))</f>
        <v/>
      </c>
      <c r="P75">
        <f>IF($A75="","",IFERROR(INDEX(Papers!$H$2:$H$12,MATCH($C75,Papers!$A$2:$A$12,0)),""))</f>
        <v/>
      </c>
      <c r="Q75">
        <f>IF($A75="","",IFERROR(SUMPRODUCT((INDEX(SubMap!$B$2:$AE$12,MATCH($C75,SubMap!$A$2:$A$12,0),0)=4)*Attempts!$AR75:$BU75),0))</f>
        <v/>
      </c>
      <c r="R75">
        <f>IF($A75="","",IFERROR(COUNTIF(INDEX(SubMap!$B$2:$AE$12,MATCH($C75,SubMap!$A$2:$A$12,0),0),4),0))</f>
        <v/>
      </c>
      <c r="S75">
        <f>IF(OR($A75="",R75=0),"",ROUND(Q75/R75*100,1))</f>
        <v/>
      </c>
      <c r="T75">
        <f>IF($A75="","",IFERROR(INDEX(Papers!$I$2:$I$12,MATCH($C75,Papers!$A$2:$A$12,0)),""))</f>
        <v/>
      </c>
      <c r="U75">
        <f>IF($A75="","",IFERROR(SUMPRODUCT((INDEX(SubMap!$B$2:$AE$12,MATCH($C75,SubMap!$A$2:$A$12,0),0)=5)*Attempts!$AR75:$BU75),0))</f>
        <v/>
      </c>
      <c r="V75">
        <f>IF($A75="","",IFERROR(COUNTIF(INDEX(SubMap!$B$2:$AE$12,MATCH($C75,SubMap!$A$2:$A$12,0),0),5),0))</f>
        <v/>
      </c>
      <c r="W75">
        <f>IF(OR($A75="",V75=0),"",ROUND(U75/V75*100,1))</f>
        <v/>
      </c>
      <c r="X75">
        <f>IF($A75="","",IFERROR(INDEX(Papers!$J$2:$J$12,MATCH($C75,Papers!$A$2:$A$12,0)),""))</f>
        <v/>
      </c>
      <c r="Y75">
        <f>IF($A75="","",IFERROR(SUMPRODUCT((INDEX(SubMap!$B$2:$AE$12,MATCH($C75,SubMap!$A$2:$A$12,0),0)=6)*Attempts!$AR75:$BU75),0))</f>
        <v/>
      </c>
      <c r="Z75">
        <f>IF($A75="","",IFERROR(COUNTIF(INDEX(SubMap!$B$2:$AE$12,MATCH($C75,SubMap!$A$2:$A$12,0),0),6),0))</f>
        <v/>
      </c>
      <c r="AA75">
        <f>IF(OR($A75="",Z75=0),"",ROUND(Y75/Z75*100,1))</f>
        <v/>
      </c>
      <c r="AB75">
        <f>IF($A75="","",IFERROR(INDEX(CHOOSE({1,2,3,4,5,6},D75,H75,L75,P75,T75,X75),MATCH(MIN(G75,K75,O75,S75,W75,AA75),CHOOSE({1,2,3,4,5,6},G75,K75,O75,S75,W75,AA75),0)),""))</f>
        <v/>
      </c>
      <c r="AC75">
        <f>IF($A75="","",IF(COUNT(G75,K75,O75,S75,W75,AA75)=0,"",MIN(G75,K75,O75,S75,W75,AA75)))</f>
        <v/>
      </c>
      <c r="AD75">
        <f>IF($A75="","",IFERROR(INDEX(CHOOSE({1,2,3,4,5,6},IFERROR(INDEX(Papers!$K$2:$K$12,MATCH($C75,Papers!$A$2:$A$12,0)),""),IFERROR(INDEX(Papers!$L$2:$L$12,MATCH($C75,Papers!$A$2:$A$12,0)),""),IFERROR(INDEX(Papers!$M$2:$M$12,MATCH($C75,Papers!$A$2:$A$12,0)),""),IFERROR(INDEX(Papers!$N$2:$N$12,MATCH($C75,Papers!$A$2:$A$12,0)),""),IFERROR(INDEX(Papers!$O$2:$O$12,MATCH($C75,Papers!$A$2:$A$12,0)),""),IFERROR(INDEX(Papers!$P$2:$P$12,MATCH($C75,Papers!$A$2:$A$12,0)),"")),MATCH(MIN(G75,K75,O75,S75,W75,AA75),CHOOSE({1,2,3,4,5,6},G75,K75,O75,S75,W75,AA75),0)),""))</f>
        <v/>
      </c>
      <c r="AE75">
        <f>IF(AC75="","",IF(AC75&lt;50,"Re-teach",IF(AC75&lt;75,"Practice more","Relatively secure")))</f>
        <v/>
      </c>
    </row>
    <row r="76">
      <c r="A76">
        <f>IF(Attempts!A76="","",Attempts!A76)</f>
        <v/>
      </c>
      <c r="B76">
        <f>IF(Attempts!A76="","",Attempts!B76)</f>
        <v/>
      </c>
      <c r="C76">
        <f>IF(Attempts!A76="","",Attempts!D76)</f>
        <v/>
      </c>
      <c r="D76">
        <f>IF($A76="","",IFERROR(INDEX(Papers!$E$2:$E$12,MATCH($C76,Papers!$A$2:$A$12,0)),""))</f>
        <v/>
      </c>
      <c r="E76">
        <f>IF($A76="","",IFERROR(SUMPRODUCT((INDEX(SubMap!$B$2:$AE$12,MATCH($C76,SubMap!$A$2:$A$12,0),0)=1)*Attempts!$AR76:$BU76),0))</f>
        <v/>
      </c>
      <c r="F76">
        <f>IF($A76="","",IFERROR(COUNTIF(INDEX(SubMap!$B$2:$AE$12,MATCH($C76,SubMap!$A$2:$A$12,0),0),1),0))</f>
        <v/>
      </c>
      <c r="G76">
        <f>IF(OR($A76="",F76=0),"",ROUND(E76/F76*100,1))</f>
        <v/>
      </c>
      <c r="H76">
        <f>IF($A76="","",IFERROR(INDEX(Papers!$F$2:$F$12,MATCH($C76,Papers!$A$2:$A$12,0)),""))</f>
        <v/>
      </c>
      <c r="I76">
        <f>IF($A76="","",IFERROR(SUMPRODUCT((INDEX(SubMap!$B$2:$AE$12,MATCH($C76,SubMap!$A$2:$A$12,0),0)=2)*Attempts!$AR76:$BU76),0))</f>
        <v/>
      </c>
      <c r="J76">
        <f>IF($A76="","",IFERROR(COUNTIF(INDEX(SubMap!$B$2:$AE$12,MATCH($C76,SubMap!$A$2:$A$12,0),0),2),0))</f>
        <v/>
      </c>
      <c r="K76">
        <f>IF(OR($A76="",J76=0),"",ROUND(I76/J76*100,1))</f>
        <v/>
      </c>
      <c r="L76">
        <f>IF($A76="","",IFERROR(INDEX(Papers!$G$2:$G$12,MATCH($C76,Papers!$A$2:$A$12,0)),""))</f>
        <v/>
      </c>
      <c r="M76">
        <f>IF($A76="","",IFERROR(SUMPRODUCT((INDEX(SubMap!$B$2:$AE$12,MATCH($C76,SubMap!$A$2:$A$12,0),0)=3)*Attempts!$AR76:$BU76),0))</f>
        <v/>
      </c>
      <c r="N76">
        <f>IF($A76="","",IFERROR(COUNTIF(INDEX(SubMap!$B$2:$AE$12,MATCH($C76,SubMap!$A$2:$A$12,0),0),3),0))</f>
        <v/>
      </c>
      <c r="O76">
        <f>IF(OR($A76="",N76=0),"",ROUND(M76/N76*100,1))</f>
        <v/>
      </c>
      <c r="P76">
        <f>IF($A76="","",IFERROR(INDEX(Papers!$H$2:$H$12,MATCH($C76,Papers!$A$2:$A$12,0)),""))</f>
        <v/>
      </c>
      <c r="Q76">
        <f>IF($A76="","",IFERROR(SUMPRODUCT((INDEX(SubMap!$B$2:$AE$12,MATCH($C76,SubMap!$A$2:$A$12,0),0)=4)*Attempts!$AR76:$BU76),0))</f>
        <v/>
      </c>
      <c r="R76">
        <f>IF($A76="","",IFERROR(COUNTIF(INDEX(SubMap!$B$2:$AE$12,MATCH($C76,SubMap!$A$2:$A$12,0),0),4),0))</f>
        <v/>
      </c>
      <c r="S76">
        <f>IF(OR($A76="",R76=0),"",ROUND(Q76/R76*100,1))</f>
        <v/>
      </c>
      <c r="T76">
        <f>IF($A76="","",IFERROR(INDEX(Papers!$I$2:$I$12,MATCH($C76,Papers!$A$2:$A$12,0)),""))</f>
        <v/>
      </c>
      <c r="U76">
        <f>IF($A76="","",IFERROR(SUMPRODUCT((INDEX(SubMap!$B$2:$AE$12,MATCH($C76,SubMap!$A$2:$A$12,0),0)=5)*Attempts!$AR76:$BU76),0))</f>
        <v/>
      </c>
      <c r="V76">
        <f>IF($A76="","",IFERROR(COUNTIF(INDEX(SubMap!$B$2:$AE$12,MATCH($C76,SubMap!$A$2:$A$12,0),0),5),0))</f>
        <v/>
      </c>
      <c r="W76">
        <f>IF(OR($A76="",V76=0),"",ROUND(U76/V76*100,1))</f>
        <v/>
      </c>
      <c r="X76">
        <f>IF($A76="","",IFERROR(INDEX(Papers!$J$2:$J$12,MATCH($C76,Papers!$A$2:$A$12,0)),""))</f>
        <v/>
      </c>
      <c r="Y76">
        <f>IF($A76="","",IFERROR(SUMPRODUCT((INDEX(SubMap!$B$2:$AE$12,MATCH($C76,SubMap!$A$2:$A$12,0),0)=6)*Attempts!$AR76:$BU76),0))</f>
        <v/>
      </c>
      <c r="Z76">
        <f>IF($A76="","",IFERROR(COUNTIF(INDEX(SubMap!$B$2:$AE$12,MATCH($C76,SubMap!$A$2:$A$12,0),0),6),0))</f>
        <v/>
      </c>
      <c r="AA76">
        <f>IF(OR($A76="",Z76=0),"",ROUND(Y76/Z76*100,1))</f>
        <v/>
      </c>
      <c r="AB76">
        <f>IF($A76="","",IFERROR(INDEX(CHOOSE({1,2,3,4,5,6},D76,H76,L76,P76,T76,X76),MATCH(MIN(G76,K76,O76,S76,W76,AA76),CHOOSE({1,2,3,4,5,6},G76,K76,O76,S76,W76,AA76),0)),""))</f>
        <v/>
      </c>
      <c r="AC76">
        <f>IF($A76="","",IF(COUNT(G76,K76,O76,S76,W76,AA76)=0,"",MIN(G76,K76,O76,S76,W76,AA76)))</f>
        <v/>
      </c>
      <c r="AD76">
        <f>IF($A76="","",IFERROR(INDEX(CHOOSE({1,2,3,4,5,6},IFERROR(INDEX(Papers!$K$2:$K$12,MATCH($C76,Papers!$A$2:$A$12,0)),""),IFERROR(INDEX(Papers!$L$2:$L$12,MATCH($C76,Papers!$A$2:$A$12,0)),""),IFERROR(INDEX(Papers!$M$2:$M$12,MATCH($C76,Papers!$A$2:$A$12,0)),""),IFERROR(INDEX(Papers!$N$2:$N$12,MATCH($C76,Papers!$A$2:$A$12,0)),""),IFERROR(INDEX(Papers!$O$2:$O$12,MATCH($C76,Papers!$A$2:$A$12,0)),""),IFERROR(INDEX(Papers!$P$2:$P$12,MATCH($C76,Papers!$A$2:$A$12,0)),"")),MATCH(MIN(G76,K76,O76,S76,W76,AA76),CHOOSE({1,2,3,4,5,6},G76,K76,O76,S76,W76,AA76),0)),""))</f>
        <v/>
      </c>
      <c r="AE76">
        <f>IF(AC76="","",IF(AC76&lt;50,"Re-teach",IF(AC76&lt;75,"Practice more","Relatively secure")))</f>
        <v/>
      </c>
    </row>
    <row r="77">
      <c r="A77">
        <f>IF(Attempts!A77="","",Attempts!A77)</f>
        <v/>
      </c>
      <c r="B77">
        <f>IF(Attempts!A77="","",Attempts!B77)</f>
        <v/>
      </c>
      <c r="C77">
        <f>IF(Attempts!A77="","",Attempts!D77)</f>
        <v/>
      </c>
      <c r="D77">
        <f>IF($A77="","",IFERROR(INDEX(Papers!$E$2:$E$12,MATCH($C77,Papers!$A$2:$A$12,0)),""))</f>
        <v/>
      </c>
      <c r="E77">
        <f>IF($A77="","",IFERROR(SUMPRODUCT((INDEX(SubMap!$B$2:$AE$12,MATCH($C77,SubMap!$A$2:$A$12,0),0)=1)*Attempts!$AR77:$BU77),0))</f>
        <v/>
      </c>
      <c r="F77">
        <f>IF($A77="","",IFERROR(COUNTIF(INDEX(SubMap!$B$2:$AE$12,MATCH($C77,SubMap!$A$2:$A$12,0),0),1),0))</f>
        <v/>
      </c>
      <c r="G77">
        <f>IF(OR($A77="",F77=0),"",ROUND(E77/F77*100,1))</f>
        <v/>
      </c>
      <c r="H77">
        <f>IF($A77="","",IFERROR(INDEX(Papers!$F$2:$F$12,MATCH($C77,Papers!$A$2:$A$12,0)),""))</f>
        <v/>
      </c>
      <c r="I77">
        <f>IF($A77="","",IFERROR(SUMPRODUCT((INDEX(SubMap!$B$2:$AE$12,MATCH($C77,SubMap!$A$2:$A$12,0),0)=2)*Attempts!$AR77:$BU77),0))</f>
        <v/>
      </c>
      <c r="J77">
        <f>IF($A77="","",IFERROR(COUNTIF(INDEX(SubMap!$B$2:$AE$12,MATCH($C77,SubMap!$A$2:$A$12,0),0),2),0))</f>
        <v/>
      </c>
      <c r="K77">
        <f>IF(OR($A77="",J77=0),"",ROUND(I77/J77*100,1))</f>
        <v/>
      </c>
      <c r="L77">
        <f>IF($A77="","",IFERROR(INDEX(Papers!$G$2:$G$12,MATCH($C77,Papers!$A$2:$A$12,0)),""))</f>
        <v/>
      </c>
      <c r="M77">
        <f>IF($A77="","",IFERROR(SUMPRODUCT((INDEX(SubMap!$B$2:$AE$12,MATCH($C77,SubMap!$A$2:$A$12,0),0)=3)*Attempts!$AR77:$BU77),0))</f>
        <v/>
      </c>
      <c r="N77">
        <f>IF($A77="","",IFERROR(COUNTIF(INDEX(SubMap!$B$2:$AE$12,MATCH($C77,SubMap!$A$2:$A$12,0),0),3),0))</f>
        <v/>
      </c>
      <c r="O77">
        <f>IF(OR($A77="",N77=0),"",ROUND(M77/N77*100,1))</f>
        <v/>
      </c>
      <c r="P77">
        <f>IF($A77="","",IFERROR(INDEX(Papers!$H$2:$H$12,MATCH($C77,Papers!$A$2:$A$12,0)),""))</f>
        <v/>
      </c>
      <c r="Q77">
        <f>IF($A77="","",IFERROR(SUMPRODUCT((INDEX(SubMap!$B$2:$AE$12,MATCH($C77,SubMap!$A$2:$A$12,0),0)=4)*Attempts!$AR77:$BU77),0))</f>
        <v/>
      </c>
      <c r="R77">
        <f>IF($A77="","",IFERROR(COUNTIF(INDEX(SubMap!$B$2:$AE$12,MATCH($C77,SubMap!$A$2:$A$12,0),0),4),0))</f>
        <v/>
      </c>
      <c r="S77">
        <f>IF(OR($A77="",R77=0),"",ROUND(Q77/R77*100,1))</f>
        <v/>
      </c>
      <c r="T77">
        <f>IF($A77="","",IFERROR(INDEX(Papers!$I$2:$I$12,MATCH($C77,Papers!$A$2:$A$12,0)),""))</f>
        <v/>
      </c>
      <c r="U77">
        <f>IF($A77="","",IFERROR(SUMPRODUCT((INDEX(SubMap!$B$2:$AE$12,MATCH($C77,SubMap!$A$2:$A$12,0),0)=5)*Attempts!$AR77:$BU77),0))</f>
        <v/>
      </c>
      <c r="V77">
        <f>IF($A77="","",IFERROR(COUNTIF(INDEX(SubMap!$B$2:$AE$12,MATCH($C77,SubMap!$A$2:$A$12,0),0),5),0))</f>
        <v/>
      </c>
      <c r="W77">
        <f>IF(OR($A77="",V77=0),"",ROUND(U77/V77*100,1))</f>
        <v/>
      </c>
      <c r="X77">
        <f>IF($A77="","",IFERROR(INDEX(Papers!$J$2:$J$12,MATCH($C77,Papers!$A$2:$A$12,0)),""))</f>
        <v/>
      </c>
      <c r="Y77">
        <f>IF($A77="","",IFERROR(SUMPRODUCT((INDEX(SubMap!$B$2:$AE$12,MATCH($C77,SubMap!$A$2:$A$12,0),0)=6)*Attempts!$AR77:$BU77),0))</f>
        <v/>
      </c>
      <c r="Z77">
        <f>IF($A77="","",IFERROR(COUNTIF(INDEX(SubMap!$B$2:$AE$12,MATCH($C77,SubMap!$A$2:$A$12,0),0),6),0))</f>
        <v/>
      </c>
      <c r="AA77">
        <f>IF(OR($A77="",Z77=0),"",ROUND(Y77/Z77*100,1))</f>
        <v/>
      </c>
      <c r="AB77">
        <f>IF($A77="","",IFERROR(INDEX(CHOOSE({1,2,3,4,5,6},D77,H77,L77,P77,T77,X77),MATCH(MIN(G77,K77,O77,S77,W77,AA77),CHOOSE({1,2,3,4,5,6},G77,K77,O77,S77,W77,AA77),0)),""))</f>
        <v/>
      </c>
      <c r="AC77">
        <f>IF($A77="","",IF(COUNT(G77,K77,O77,S77,W77,AA77)=0,"",MIN(G77,K77,O77,S77,W77,AA77)))</f>
        <v/>
      </c>
      <c r="AD77">
        <f>IF($A77="","",IFERROR(INDEX(CHOOSE({1,2,3,4,5,6},IFERROR(INDEX(Papers!$K$2:$K$12,MATCH($C77,Papers!$A$2:$A$12,0)),""),IFERROR(INDEX(Papers!$L$2:$L$12,MATCH($C77,Papers!$A$2:$A$12,0)),""),IFERROR(INDEX(Papers!$M$2:$M$12,MATCH($C77,Papers!$A$2:$A$12,0)),""),IFERROR(INDEX(Papers!$N$2:$N$12,MATCH($C77,Papers!$A$2:$A$12,0)),""),IFERROR(INDEX(Papers!$O$2:$O$12,MATCH($C77,Papers!$A$2:$A$12,0)),""),IFERROR(INDEX(Papers!$P$2:$P$12,MATCH($C77,Papers!$A$2:$A$12,0)),"")),MATCH(MIN(G77,K77,O77,S77,W77,AA77),CHOOSE({1,2,3,4,5,6},G77,K77,O77,S77,W77,AA77),0)),""))</f>
        <v/>
      </c>
      <c r="AE77">
        <f>IF(AC77="","",IF(AC77&lt;50,"Re-teach",IF(AC77&lt;75,"Practice more","Relatively secure")))</f>
        <v/>
      </c>
    </row>
    <row r="78">
      <c r="A78">
        <f>IF(Attempts!A78="","",Attempts!A78)</f>
        <v/>
      </c>
      <c r="B78">
        <f>IF(Attempts!A78="","",Attempts!B78)</f>
        <v/>
      </c>
      <c r="C78">
        <f>IF(Attempts!A78="","",Attempts!D78)</f>
        <v/>
      </c>
      <c r="D78">
        <f>IF($A78="","",IFERROR(INDEX(Papers!$E$2:$E$12,MATCH($C78,Papers!$A$2:$A$12,0)),""))</f>
        <v/>
      </c>
      <c r="E78">
        <f>IF($A78="","",IFERROR(SUMPRODUCT((INDEX(SubMap!$B$2:$AE$12,MATCH($C78,SubMap!$A$2:$A$12,0),0)=1)*Attempts!$AR78:$BU78),0))</f>
        <v/>
      </c>
      <c r="F78">
        <f>IF($A78="","",IFERROR(COUNTIF(INDEX(SubMap!$B$2:$AE$12,MATCH($C78,SubMap!$A$2:$A$12,0),0),1),0))</f>
        <v/>
      </c>
      <c r="G78">
        <f>IF(OR($A78="",F78=0),"",ROUND(E78/F78*100,1))</f>
        <v/>
      </c>
      <c r="H78">
        <f>IF($A78="","",IFERROR(INDEX(Papers!$F$2:$F$12,MATCH($C78,Papers!$A$2:$A$12,0)),""))</f>
        <v/>
      </c>
      <c r="I78">
        <f>IF($A78="","",IFERROR(SUMPRODUCT((INDEX(SubMap!$B$2:$AE$12,MATCH($C78,SubMap!$A$2:$A$12,0),0)=2)*Attempts!$AR78:$BU78),0))</f>
        <v/>
      </c>
      <c r="J78">
        <f>IF($A78="","",IFERROR(COUNTIF(INDEX(SubMap!$B$2:$AE$12,MATCH($C78,SubMap!$A$2:$A$12,0),0),2),0))</f>
        <v/>
      </c>
      <c r="K78">
        <f>IF(OR($A78="",J78=0),"",ROUND(I78/J78*100,1))</f>
        <v/>
      </c>
      <c r="L78">
        <f>IF($A78="","",IFERROR(INDEX(Papers!$G$2:$G$12,MATCH($C78,Papers!$A$2:$A$12,0)),""))</f>
        <v/>
      </c>
      <c r="M78">
        <f>IF($A78="","",IFERROR(SUMPRODUCT((INDEX(SubMap!$B$2:$AE$12,MATCH($C78,SubMap!$A$2:$A$12,0),0)=3)*Attempts!$AR78:$BU78),0))</f>
        <v/>
      </c>
      <c r="N78">
        <f>IF($A78="","",IFERROR(COUNTIF(INDEX(SubMap!$B$2:$AE$12,MATCH($C78,SubMap!$A$2:$A$12,0),0),3),0))</f>
        <v/>
      </c>
      <c r="O78">
        <f>IF(OR($A78="",N78=0),"",ROUND(M78/N78*100,1))</f>
        <v/>
      </c>
      <c r="P78">
        <f>IF($A78="","",IFERROR(INDEX(Papers!$H$2:$H$12,MATCH($C78,Papers!$A$2:$A$12,0)),""))</f>
        <v/>
      </c>
      <c r="Q78">
        <f>IF($A78="","",IFERROR(SUMPRODUCT((INDEX(SubMap!$B$2:$AE$12,MATCH($C78,SubMap!$A$2:$A$12,0),0)=4)*Attempts!$AR78:$BU78),0))</f>
        <v/>
      </c>
      <c r="R78">
        <f>IF($A78="","",IFERROR(COUNTIF(INDEX(SubMap!$B$2:$AE$12,MATCH($C78,SubMap!$A$2:$A$12,0),0),4),0))</f>
        <v/>
      </c>
      <c r="S78">
        <f>IF(OR($A78="",R78=0),"",ROUND(Q78/R78*100,1))</f>
        <v/>
      </c>
      <c r="T78">
        <f>IF($A78="","",IFERROR(INDEX(Papers!$I$2:$I$12,MATCH($C78,Papers!$A$2:$A$12,0)),""))</f>
        <v/>
      </c>
      <c r="U78">
        <f>IF($A78="","",IFERROR(SUMPRODUCT((INDEX(SubMap!$B$2:$AE$12,MATCH($C78,SubMap!$A$2:$A$12,0),0)=5)*Attempts!$AR78:$BU78),0))</f>
        <v/>
      </c>
      <c r="V78">
        <f>IF($A78="","",IFERROR(COUNTIF(INDEX(SubMap!$B$2:$AE$12,MATCH($C78,SubMap!$A$2:$A$12,0),0),5),0))</f>
        <v/>
      </c>
      <c r="W78">
        <f>IF(OR($A78="",V78=0),"",ROUND(U78/V78*100,1))</f>
        <v/>
      </c>
      <c r="X78">
        <f>IF($A78="","",IFERROR(INDEX(Papers!$J$2:$J$12,MATCH($C78,Papers!$A$2:$A$12,0)),""))</f>
        <v/>
      </c>
      <c r="Y78">
        <f>IF($A78="","",IFERROR(SUMPRODUCT((INDEX(SubMap!$B$2:$AE$12,MATCH($C78,SubMap!$A$2:$A$12,0),0)=6)*Attempts!$AR78:$BU78),0))</f>
        <v/>
      </c>
      <c r="Z78">
        <f>IF($A78="","",IFERROR(COUNTIF(INDEX(SubMap!$B$2:$AE$12,MATCH($C78,SubMap!$A$2:$A$12,0),0),6),0))</f>
        <v/>
      </c>
      <c r="AA78">
        <f>IF(OR($A78="",Z78=0),"",ROUND(Y78/Z78*100,1))</f>
        <v/>
      </c>
      <c r="AB78">
        <f>IF($A78="","",IFERROR(INDEX(CHOOSE({1,2,3,4,5,6},D78,H78,L78,P78,T78,X78),MATCH(MIN(G78,K78,O78,S78,W78,AA78),CHOOSE({1,2,3,4,5,6},G78,K78,O78,S78,W78,AA78),0)),""))</f>
        <v/>
      </c>
      <c r="AC78">
        <f>IF($A78="","",IF(COUNT(G78,K78,O78,S78,W78,AA78)=0,"",MIN(G78,K78,O78,S78,W78,AA78)))</f>
        <v/>
      </c>
      <c r="AD78">
        <f>IF($A78="","",IFERROR(INDEX(CHOOSE({1,2,3,4,5,6},IFERROR(INDEX(Papers!$K$2:$K$12,MATCH($C78,Papers!$A$2:$A$12,0)),""),IFERROR(INDEX(Papers!$L$2:$L$12,MATCH($C78,Papers!$A$2:$A$12,0)),""),IFERROR(INDEX(Papers!$M$2:$M$12,MATCH($C78,Papers!$A$2:$A$12,0)),""),IFERROR(INDEX(Papers!$N$2:$N$12,MATCH($C78,Papers!$A$2:$A$12,0)),""),IFERROR(INDEX(Papers!$O$2:$O$12,MATCH($C78,Papers!$A$2:$A$12,0)),""),IFERROR(INDEX(Papers!$P$2:$P$12,MATCH($C78,Papers!$A$2:$A$12,0)),"")),MATCH(MIN(G78,K78,O78,S78,W78,AA78),CHOOSE({1,2,3,4,5,6},G78,K78,O78,S78,W78,AA78),0)),""))</f>
        <v/>
      </c>
      <c r="AE78">
        <f>IF(AC78="","",IF(AC78&lt;50,"Re-teach",IF(AC78&lt;75,"Practice more","Relatively secure")))</f>
        <v/>
      </c>
    </row>
    <row r="79">
      <c r="A79">
        <f>IF(Attempts!A79="","",Attempts!A79)</f>
        <v/>
      </c>
      <c r="B79">
        <f>IF(Attempts!A79="","",Attempts!B79)</f>
        <v/>
      </c>
      <c r="C79">
        <f>IF(Attempts!A79="","",Attempts!D79)</f>
        <v/>
      </c>
      <c r="D79">
        <f>IF($A79="","",IFERROR(INDEX(Papers!$E$2:$E$12,MATCH($C79,Papers!$A$2:$A$12,0)),""))</f>
        <v/>
      </c>
      <c r="E79">
        <f>IF($A79="","",IFERROR(SUMPRODUCT((INDEX(SubMap!$B$2:$AE$12,MATCH($C79,SubMap!$A$2:$A$12,0),0)=1)*Attempts!$AR79:$BU79),0))</f>
        <v/>
      </c>
      <c r="F79">
        <f>IF($A79="","",IFERROR(COUNTIF(INDEX(SubMap!$B$2:$AE$12,MATCH($C79,SubMap!$A$2:$A$12,0),0),1),0))</f>
        <v/>
      </c>
      <c r="G79">
        <f>IF(OR($A79="",F79=0),"",ROUND(E79/F79*100,1))</f>
        <v/>
      </c>
      <c r="H79">
        <f>IF($A79="","",IFERROR(INDEX(Papers!$F$2:$F$12,MATCH($C79,Papers!$A$2:$A$12,0)),""))</f>
        <v/>
      </c>
      <c r="I79">
        <f>IF($A79="","",IFERROR(SUMPRODUCT((INDEX(SubMap!$B$2:$AE$12,MATCH($C79,SubMap!$A$2:$A$12,0),0)=2)*Attempts!$AR79:$BU79),0))</f>
        <v/>
      </c>
      <c r="J79">
        <f>IF($A79="","",IFERROR(COUNTIF(INDEX(SubMap!$B$2:$AE$12,MATCH($C79,SubMap!$A$2:$A$12,0),0),2),0))</f>
        <v/>
      </c>
      <c r="K79">
        <f>IF(OR($A79="",J79=0),"",ROUND(I79/J79*100,1))</f>
        <v/>
      </c>
      <c r="L79">
        <f>IF($A79="","",IFERROR(INDEX(Papers!$G$2:$G$12,MATCH($C79,Papers!$A$2:$A$12,0)),""))</f>
        <v/>
      </c>
      <c r="M79">
        <f>IF($A79="","",IFERROR(SUMPRODUCT((INDEX(SubMap!$B$2:$AE$12,MATCH($C79,SubMap!$A$2:$A$12,0),0)=3)*Attempts!$AR79:$BU79),0))</f>
        <v/>
      </c>
      <c r="N79">
        <f>IF($A79="","",IFERROR(COUNTIF(INDEX(SubMap!$B$2:$AE$12,MATCH($C79,SubMap!$A$2:$A$12,0),0),3),0))</f>
        <v/>
      </c>
      <c r="O79">
        <f>IF(OR($A79="",N79=0),"",ROUND(M79/N79*100,1))</f>
        <v/>
      </c>
      <c r="P79">
        <f>IF($A79="","",IFERROR(INDEX(Papers!$H$2:$H$12,MATCH($C79,Papers!$A$2:$A$12,0)),""))</f>
        <v/>
      </c>
      <c r="Q79">
        <f>IF($A79="","",IFERROR(SUMPRODUCT((INDEX(SubMap!$B$2:$AE$12,MATCH($C79,SubMap!$A$2:$A$12,0),0)=4)*Attempts!$AR79:$BU79),0))</f>
        <v/>
      </c>
      <c r="R79">
        <f>IF($A79="","",IFERROR(COUNTIF(INDEX(SubMap!$B$2:$AE$12,MATCH($C79,SubMap!$A$2:$A$12,0),0),4),0))</f>
        <v/>
      </c>
      <c r="S79">
        <f>IF(OR($A79="",R79=0),"",ROUND(Q79/R79*100,1))</f>
        <v/>
      </c>
      <c r="T79">
        <f>IF($A79="","",IFERROR(INDEX(Papers!$I$2:$I$12,MATCH($C79,Papers!$A$2:$A$12,0)),""))</f>
        <v/>
      </c>
      <c r="U79">
        <f>IF($A79="","",IFERROR(SUMPRODUCT((INDEX(SubMap!$B$2:$AE$12,MATCH($C79,SubMap!$A$2:$A$12,0),0)=5)*Attempts!$AR79:$BU79),0))</f>
        <v/>
      </c>
      <c r="V79">
        <f>IF($A79="","",IFERROR(COUNTIF(INDEX(SubMap!$B$2:$AE$12,MATCH($C79,SubMap!$A$2:$A$12,0),0),5),0))</f>
        <v/>
      </c>
      <c r="W79">
        <f>IF(OR($A79="",V79=0),"",ROUND(U79/V79*100,1))</f>
        <v/>
      </c>
      <c r="X79">
        <f>IF($A79="","",IFERROR(INDEX(Papers!$J$2:$J$12,MATCH($C79,Papers!$A$2:$A$12,0)),""))</f>
        <v/>
      </c>
      <c r="Y79">
        <f>IF($A79="","",IFERROR(SUMPRODUCT((INDEX(SubMap!$B$2:$AE$12,MATCH($C79,SubMap!$A$2:$A$12,0),0)=6)*Attempts!$AR79:$BU79),0))</f>
        <v/>
      </c>
      <c r="Z79">
        <f>IF($A79="","",IFERROR(COUNTIF(INDEX(SubMap!$B$2:$AE$12,MATCH($C79,SubMap!$A$2:$A$12,0),0),6),0))</f>
        <v/>
      </c>
      <c r="AA79">
        <f>IF(OR($A79="",Z79=0),"",ROUND(Y79/Z79*100,1))</f>
        <v/>
      </c>
      <c r="AB79">
        <f>IF($A79="","",IFERROR(INDEX(CHOOSE({1,2,3,4,5,6},D79,H79,L79,P79,T79,X79),MATCH(MIN(G79,K79,O79,S79,W79,AA79),CHOOSE({1,2,3,4,5,6},G79,K79,O79,S79,W79,AA79),0)),""))</f>
        <v/>
      </c>
      <c r="AC79">
        <f>IF($A79="","",IF(COUNT(G79,K79,O79,S79,W79,AA79)=0,"",MIN(G79,K79,O79,S79,W79,AA79)))</f>
        <v/>
      </c>
      <c r="AD79">
        <f>IF($A79="","",IFERROR(INDEX(CHOOSE({1,2,3,4,5,6},IFERROR(INDEX(Papers!$K$2:$K$12,MATCH($C79,Papers!$A$2:$A$12,0)),""),IFERROR(INDEX(Papers!$L$2:$L$12,MATCH($C79,Papers!$A$2:$A$12,0)),""),IFERROR(INDEX(Papers!$M$2:$M$12,MATCH($C79,Papers!$A$2:$A$12,0)),""),IFERROR(INDEX(Papers!$N$2:$N$12,MATCH($C79,Papers!$A$2:$A$12,0)),""),IFERROR(INDEX(Papers!$O$2:$O$12,MATCH($C79,Papers!$A$2:$A$12,0)),""),IFERROR(INDEX(Papers!$P$2:$P$12,MATCH($C79,Papers!$A$2:$A$12,0)),"")),MATCH(MIN(G79,K79,O79,S79,W79,AA79),CHOOSE({1,2,3,4,5,6},G79,K79,O79,S79,W79,AA79),0)),""))</f>
        <v/>
      </c>
      <c r="AE79">
        <f>IF(AC79="","",IF(AC79&lt;50,"Re-teach",IF(AC79&lt;75,"Practice more","Relatively secure")))</f>
        <v/>
      </c>
    </row>
    <row r="80">
      <c r="A80">
        <f>IF(Attempts!A80="","",Attempts!A80)</f>
        <v/>
      </c>
      <c r="B80">
        <f>IF(Attempts!A80="","",Attempts!B80)</f>
        <v/>
      </c>
      <c r="C80">
        <f>IF(Attempts!A80="","",Attempts!D80)</f>
        <v/>
      </c>
      <c r="D80">
        <f>IF($A80="","",IFERROR(INDEX(Papers!$E$2:$E$12,MATCH($C80,Papers!$A$2:$A$12,0)),""))</f>
        <v/>
      </c>
      <c r="E80">
        <f>IF($A80="","",IFERROR(SUMPRODUCT((INDEX(SubMap!$B$2:$AE$12,MATCH($C80,SubMap!$A$2:$A$12,0),0)=1)*Attempts!$AR80:$BU80),0))</f>
        <v/>
      </c>
      <c r="F80">
        <f>IF($A80="","",IFERROR(COUNTIF(INDEX(SubMap!$B$2:$AE$12,MATCH($C80,SubMap!$A$2:$A$12,0),0),1),0))</f>
        <v/>
      </c>
      <c r="G80">
        <f>IF(OR($A80="",F80=0),"",ROUND(E80/F80*100,1))</f>
        <v/>
      </c>
      <c r="H80">
        <f>IF($A80="","",IFERROR(INDEX(Papers!$F$2:$F$12,MATCH($C80,Papers!$A$2:$A$12,0)),""))</f>
        <v/>
      </c>
      <c r="I80">
        <f>IF($A80="","",IFERROR(SUMPRODUCT((INDEX(SubMap!$B$2:$AE$12,MATCH($C80,SubMap!$A$2:$A$12,0),0)=2)*Attempts!$AR80:$BU80),0))</f>
        <v/>
      </c>
      <c r="J80">
        <f>IF($A80="","",IFERROR(COUNTIF(INDEX(SubMap!$B$2:$AE$12,MATCH($C80,SubMap!$A$2:$A$12,0),0),2),0))</f>
        <v/>
      </c>
      <c r="K80">
        <f>IF(OR($A80="",J80=0),"",ROUND(I80/J80*100,1))</f>
        <v/>
      </c>
      <c r="L80">
        <f>IF($A80="","",IFERROR(INDEX(Papers!$G$2:$G$12,MATCH($C80,Papers!$A$2:$A$12,0)),""))</f>
        <v/>
      </c>
      <c r="M80">
        <f>IF($A80="","",IFERROR(SUMPRODUCT((INDEX(SubMap!$B$2:$AE$12,MATCH($C80,SubMap!$A$2:$A$12,0),0)=3)*Attempts!$AR80:$BU80),0))</f>
        <v/>
      </c>
      <c r="N80">
        <f>IF($A80="","",IFERROR(COUNTIF(INDEX(SubMap!$B$2:$AE$12,MATCH($C80,SubMap!$A$2:$A$12,0),0),3),0))</f>
        <v/>
      </c>
      <c r="O80">
        <f>IF(OR($A80="",N80=0),"",ROUND(M80/N80*100,1))</f>
        <v/>
      </c>
      <c r="P80">
        <f>IF($A80="","",IFERROR(INDEX(Papers!$H$2:$H$12,MATCH($C80,Papers!$A$2:$A$12,0)),""))</f>
        <v/>
      </c>
      <c r="Q80">
        <f>IF($A80="","",IFERROR(SUMPRODUCT((INDEX(SubMap!$B$2:$AE$12,MATCH($C80,SubMap!$A$2:$A$12,0),0)=4)*Attempts!$AR80:$BU80),0))</f>
        <v/>
      </c>
      <c r="R80">
        <f>IF($A80="","",IFERROR(COUNTIF(INDEX(SubMap!$B$2:$AE$12,MATCH($C80,SubMap!$A$2:$A$12,0),0),4),0))</f>
        <v/>
      </c>
      <c r="S80">
        <f>IF(OR($A80="",R80=0),"",ROUND(Q80/R80*100,1))</f>
        <v/>
      </c>
      <c r="T80">
        <f>IF($A80="","",IFERROR(INDEX(Papers!$I$2:$I$12,MATCH($C80,Papers!$A$2:$A$12,0)),""))</f>
        <v/>
      </c>
      <c r="U80">
        <f>IF($A80="","",IFERROR(SUMPRODUCT((INDEX(SubMap!$B$2:$AE$12,MATCH($C80,SubMap!$A$2:$A$12,0),0)=5)*Attempts!$AR80:$BU80),0))</f>
        <v/>
      </c>
      <c r="V80">
        <f>IF($A80="","",IFERROR(COUNTIF(INDEX(SubMap!$B$2:$AE$12,MATCH($C80,SubMap!$A$2:$A$12,0),0),5),0))</f>
        <v/>
      </c>
      <c r="W80">
        <f>IF(OR($A80="",V80=0),"",ROUND(U80/V80*100,1))</f>
        <v/>
      </c>
      <c r="X80">
        <f>IF($A80="","",IFERROR(INDEX(Papers!$J$2:$J$12,MATCH($C80,Papers!$A$2:$A$12,0)),""))</f>
        <v/>
      </c>
      <c r="Y80">
        <f>IF($A80="","",IFERROR(SUMPRODUCT((INDEX(SubMap!$B$2:$AE$12,MATCH($C80,SubMap!$A$2:$A$12,0),0)=6)*Attempts!$AR80:$BU80),0))</f>
        <v/>
      </c>
      <c r="Z80">
        <f>IF($A80="","",IFERROR(COUNTIF(INDEX(SubMap!$B$2:$AE$12,MATCH($C80,SubMap!$A$2:$A$12,0),0),6),0))</f>
        <v/>
      </c>
      <c r="AA80">
        <f>IF(OR($A80="",Z80=0),"",ROUND(Y80/Z80*100,1))</f>
        <v/>
      </c>
      <c r="AB80">
        <f>IF($A80="","",IFERROR(INDEX(CHOOSE({1,2,3,4,5,6},D80,H80,L80,P80,T80,X80),MATCH(MIN(G80,K80,O80,S80,W80,AA80),CHOOSE({1,2,3,4,5,6},G80,K80,O80,S80,W80,AA80),0)),""))</f>
        <v/>
      </c>
      <c r="AC80">
        <f>IF($A80="","",IF(COUNT(G80,K80,O80,S80,W80,AA80)=0,"",MIN(G80,K80,O80,S80,W80,AA80)))</f>
        <v/>
      </c>
      <c r="AD80">
        <f>IF($A80="","",IFERROR(INDEX(CHOOSE({1,2,3,4,5,6},IFERROR(INDEX(Papers!$K$2:$K$12,MATCH($C80,Papers!$A$2:$A$12,0)),""),IFERROR(INDEX(Papers!$L$2:$L$12,MATCH($C80,Papers!$A$2:$A$12,0)),""),IFERROR(INDEX(Papers!$M$2:$M$12,MATCH($C80,Papers!$A$2:$A$12,0)),""),IFERROR(INDEX(Papers!$N$2:$N$12,MATCH($C80,Papers!$A$2:$A$12,0)),""),IFERROR(INDEX(Papers!$O$2:$O$12,MATCH($C80,Papers!$A$2:$A$12,0)),""),IFERROR(INDEX(Papers!$P$2:$P$12,MATCH($C80,Papers!$A$2:$A$12,0)),"")),MATCH(MIN(G80,K80,O80,S80,W80,AA80),CHOOSE({1,2,3,4,5,6},G80,K80,O80,S80,W80,AA80),0)),""))</f>
        <v/>
      </c>
      <c r="AE80">
        <f>IF(AC80="","",IF(AC80&lt;50,"Re-teach",IF(AC80&lt;75,"Practice more","Relatively secure")))</f>
        <v/>
      </c>
    </row>
    <row r="81">
      <c r="A81">
        <f>IF(Attempts!A81="","",Attempts!A81)</f>
        <v/>
      </c>
      <c r="B81">
        <f>IF(Attempts!A81="","",Attempts!B81)</f>
        <v/>
      </c>
      <c r="C81">
        <f>IF(Attempts!A81="","",Attempts!D81)</f>
        <v/>
      </c>
      <c r="D81">
        <f>IF($A81="","",IFERROR(INDEX(Papers!$E$2:$E$12,MATCH($C81,Papers!$A$2:$A$12,0)),""))</f>
        <v/>
      </c>
      <c r="E81">
        <f>IF($A81="","",IFERROR(SUMPRODUCT((INDEX(SubMap!$B$2:$AE$12,MATCH($C81,SubMap!$A$2:$A$12,0),0)=1)*Attempts!$AR81:$BU81),0))</f>
        <v/>
      </c>
      <c r="F81">
        <f>IF($A81="","",IFERROR(COUNTIF(INDEX(SubMap!$B$2:$AE$12,MATCH($C81,SubMap!$A$2:$A$12,0),0),1),0))</f>
        <v/>
      </c>
      <c r="G81">
        <f>IF(OR($A81="",F81=0),"",ROUND(E81/F81*100,1))</f>
        <v/>
      </c>
      <c r="H81">
        <f>IF($A81="","",IFERROR(INDEX(Papers!$F$2:$F$12,MATCH($C81,Papers!$A$2:$A$12,0)),""))</f>
        <v/>
      </c>
      <c r="I81">
        <f>IF($A81="","",IFERROR(SUMPRODUCT((INDEX(SubMap!$B$2:$AE$12,MATCH($C81,SubMap!$A$2:$A$12,0),0)=2)*Attempts!$AR81:$BU81),0))</f>
        <v/>
      </c>
      <c r="J81">
        <f>IF($A81="","",IFERROR(COUNTIF(INDEX(SubMap!$B$2:$AE$12,MATCH($C81,SubMap!$A$2:$A$12,0),0),2),0))</f>
        <v/>
      </c>
      <c r="K81">
        <f>IF(OR($A81="",J81=0),"",ROUND(I81/J81*100,1))</f>
        <v/>
      </c>
      <c r="L81">
        <f>IF($A81="","",IFERROR(INDEX(Papers!$G$2:$G$12,MATCH($C81,Papers!$A$2:$A$12,0)),""))</f>
        <v/>
      </c>
      <c r="M81">
        <f>IF($A81="","",IFERROR(SUMPRODUCT((INDEX(SubMap!$B$2:$AE$12,MATCH($C81,SubMap!$A$2:$A$12,0),0)=3)*Attempts!$AR81:$BU81),0))</f>
        <v/>
      </c>
      <c r="N81">
        <f>IF($A81="","",IFERROR(COUNTIF(INDEX(SubMap!$B$2:$AE$12,MATCH($C81,SubMap!$A$2:$A$12,0),0),3),0))</f>
        <v/>
      </c>
      <c r="O81">
        <f>IF(OR($A81="",N81=0),"",ROUND(M81/N81*100,1))</f>
        <v/>
      </c>
      <c r="P81">
        <f>IF($A81="","",IFERROR(INDEX(Papers!$H$2:$H$12,MATCH($C81,Papers!$A$2:$A$12,0)),""))</f>
        <v/>
      </c>
      <c r="Q81">
        <f>IF($A81="","",IFERROR(SUMPRODUCT((INDEX(SubMap!$B$2:$AE$12,MATCH($C81,SubMap!$A$2:$A$12,0),0)=4)*Attempts!$AR81:$BU81),0))</f>
        <v/>
      </c>
      <c r="R81">
        <f>IF($A81="","",IFERROR(COUNTIF(INDEX(SubMap!$B$2:$AE$12,MATCH($C81,SubMap!$A$2:$A$12,0),0),4),0))</f>
        <v/>
      </c>
      <c r="S81">
        <f>IF(OR($A81="",R81=0),"",ROUND(Q81/R81*100,1))</f>
        <v/>
      </c>
      <c r="T81">
        <f>IF($A81="","",IFERROR(INDEX(Papers!$I$2:$I$12,MATCH($C81,Papers!$A$2:$A$12,0)),""))</f>
        <v/>
      </c>
      <c r="U81">
        <f>IF($A81="","",IFERROR(SUMPRODUCT((INDEX(SubMap!$B$2:$AE$12,MATCH($C81,SubMap!$A$2:$A$12,0),0)=5)*Attempts!$AR81:$BU81),0))</f>
        <v/>
      </c>
      <c r="V81">
        <f>IF($A81="","",IFERROR(COUNTIF(INDEX(SubMap!$B$2:$AE$12,MATCH($C81,SubMap!$A$2:$A$12,0),0),5),0))</f>
        <v/>
      </c>
      <c r="W81">
        <f>IF(OR($A81="",V81=0),"",ROUND(U81/V81*100,1))</f>
        <v/>
      </c>
      <c r="X81">
        <f>IF($A81="","",IFERROR(INDEX(Papers!$J$2:$J$12,MATCH($C81,Papers!$A$2:$A$12,0)),""))</f>
        <v/>
      </c>
      <c r="Y81">
        <f>IF($A81="","",IFERROR(SUMPRODUCT((INDEX(SubMap!$B$2:$AE$12,MATCH($C81,SubMap!$A$2:$A$12,0),0)=6)*Attempts!$AR81:$BU81),0))</f>
        <v/>
      </c>
      <c r="Z81">
        <f>IF($A81="","",IFERROR(COUNTIF(INDEX(SubMap!$B$2:$AE$12,MATCH($C81,SubMap!$A$2:$A$12,0),0),6),0))</f>
        <v/>
      </c>
      <c r="AA81">
        <f>IF(OR($A81="",Z81=0),"",ROUND(Y81/Z81*100,1))</f>
        <v/>
      </c>
      <c r="AB81">
        <f>IF($A81="","",IFERROR(INDEX(CHOOSE({1,2,3,4,5,6},D81,H81,L81,P81,T81,X81),MATCH(MIN(G81,K81,O81,S81,W81,AA81),CHOOSE({1,2,3,4,5,6},G81,K81,O81,S81,W81,AA81),0)),""))</f>
        <v/>
      </c>
      <c r="AC81">
        <f>IF($A81="","",IF(COUNT(G81,K81,O81,S81,W81,AA81)=0,"",MIN(G81,K81,O81,S81,W81,AA81)))</f>
        <v/>
      </c>
      <c r="AD81">
        <f>IF($A81="","",IFERROR(INDEX(CHOOSE({1,2,3,4,5,6},IFERROR(INDEX(Papers!$K$2:$K$12,MATCH($C81,Papers!$A$2:$A$12,0)),""),IFERROR(INDEX(Papers!$L$2:$L$12,MATCH($C81,Papers!$A$2:$A$12,0)),""),IFERROR(INDEX(Papers!$M$2:$M$12,MATCH($C81,Papers!$A$2:$A$12,0)),""),IFERROR(INDEX(Papers!$N$2:$N$12,MATCH($C81,Papers!$A$2:$A$12,0)),""),IFERROR(INDEX(Papers!$O$2:$O$12,MATCH($C81,Papers!$A$2:$A$12,0)),""),IFERROR(INDEX(Papers!$P$2:$P$12,MATCH($C81,Papers!$A$2:$A$12,0)),"")),MATCH(MIN(G81,K81,O81,S81,W81,AA81),CHOOSE({1,2,3,4,5,6},G81,K81,O81,S81,W81,AA81),0)),""))</f>
        <v/>
      </c>
      <c r="AE81">
        <f>IF(AC81="","",IF(AC81&lt;50,"Re-teach",IF(AC81&lt;75,"Practice more","Relatively secure")))</f>
        <v/>
      </c>
    </row>
    <row r="82">
      <c r="A82">
        <f>IF(Attempts!A82="","",Attempts!A82)</f>
        <v/>
      </c>
      <c r="B82">
        <f>IF(Attempts!A82="","",Attempts!B82)</f>
        <v/>
      </c>
      <c r="C82">
        <f>IF(Attempts!A82="","",Attempts!D82)</f>
        <v/>
      </c>
      <c r="D82">
        <f>IF($A82="","",IFERROR(INDEX(Papers!$E$2:$E$12,MATCH($C82,Papers!$A$2:$A$12,0)),""))</f>
        <v/>
      </c>
      <c r="E82">
        <f>IF($A82="","",IFERROR(SUMPRODUCT((INDEX(SubMap!$B$2:$AE$12,MATCH($C82,SubMap!$A$2:$A$12,0),0)=1)*Attempts!$AR82:$BU82),0))</f>
        <v/>
      </c>
      <c r="F82">
        <f>IF($A82="","",IFERROR(COUNTIF(INDEX(SubMap!$B$2:$AE$12,MATCH($C82,SubMap!$A$2:$A$12,0),0),1),0))</f>
        <v/>
      </c>
      <c r="G82">
        <f>IF(OR($A82="",F82=0),"",ROUND(E82/F82*100,1))</f>
        <v/>
      </c>
      <c r="H82">
        <f>IF($A82="","",IFERROR(INDEX(Papers!$F$2:$F$12,MATCH($C82,Papers!$A$2:$A$12,0)),""))</f>
        <v/>
      </c>
      <c r="I82">
        <f>IF($A82="","",IFERROR(SUMPRODUCT((INDEX(SubMap!$B$2:$AE$12,MATCH($C82,SubMap!$A$2:$A$12,0),0)=2)*Attempts!$AR82:$BU82),0))</f>
        <v/>
      </c>
      <c r="J82">
        <f>IF($A82="","",IFERROR(COUNTIF(INDEX(SubMap!$B$2:$AE$12,MATCH($C82,SubMap!$A$2:$A$12,0),0),2),0))</f>
        <v/>
      </c>
      <c r="K82">
        <f>IF(OR($A82="",J82=0),"",ROUND(I82/J82*100,1))</f>
        <v/>
      </c>
      <c r="L82">
        <f>IF($A82="","",IFERROR(INDEX(Papers!$G$2:$G$12,MATCH($C82,Papers!$A$2:$A$12,0)),""))</f>
        <v/>
      </c>
      <c r="M82">
        <f>IF($A82="","",IFERROR(SUMPRODUCT((INDEX(SubMap!$B$2:$AE$12,MATCH($C82,SubMap!$A$2:$A$12,0),0)=3)*Attempts!$AR82:$BU82),0))</f>
        <v/>
      </c>
      <c r="N82">
        <f>IF($A82="","",IFERROR(COUNTIF(INDEX(SubMap!$B$2:$AE$12,MATCH($C82,SubMap!$A$2:$A$12,0),0),3),0))</f>
        <v/>
      </c>
      <c r="O82">
        <f>IF(OR($A82="",N82=0),"",ROUND(M82/N82*100,1))</f>
        <v/>
      </c>
      <c r="P82">
        <f>IF($A82="","",IFERROR(INDEX(Papers!$H$2:$H$12,MATCH($C82,Papers!$A$2:$A$12,0)),""))</f>
        <v/>
      </c>
      <c r="Q82">
        <f>IF($A82="","",IFERROR(SUMPRODUCT((INDEX(SubMap!$B$2:$AE$12,MATCH($C82,SubMap!$A$2:$A$12,0),0)=4)*Attempts!$AR82:$BU82),0))</f>
        <v/>
      </c>
      <c r="R82">
        <f>IF($A82="","",IFERROR(COUNTIF(INDEX(SubMap!$B$2:$AE$12,MATCH($C82,SubMap!$A$2:$A$12,0),0),4),0))</f>
        <v/>
      </c>
      <c r="S82">
        <f>IF(OR($A82="",R82=0),"",ROUND(Q82/R82*100,1))</f>
        <v/>
      </c>
      <c r="T82">
        <f>IF($A82="","",IFERROR(INDEX(Papers!$I$2:$I$12,MATCH($C82,Papers!$A$2:$A$12,0)),""))</f>
        <v/>
      </c>
      <c r="U82">
        <f>IF($A82="","",IFERROR(SUMPRODUCT((INDEX(SubMap!$B$2:$AE$12,MATCH($C82,SubMap!$A$2:$A$12,0),0)=5)*Attempts!$AR82:$BU82),0))</f>
        <v/>
      </c>
      <c r="V82">
        <f>IF($A82="","",IFERROR(COUNTIF(INDEX(SubMap!$B$2:$AE$12,MATCH($C82,SubMap!$A$2:$A$12,0),0),5),0))</f>
        <v/>
      </c>
      <c r="W82">
        <f>IF(OR($A82="",V82=0),"",ROUND(U82/V82*100,1))</f>
        <v/>
      </c>
      <c r="X82">
        <f>IF($A82="","",IFERROR(INDEX(Papers!$J$2:$J$12,MATCH($C82,Papers!$A$2:$A$12,0)),""))</f>
        <v/>
      </c>
      <c r="Y82">
        <f>IF($A82="","",IFERROR(SUMPRODUCT((INDEX(SubMap!$B$2:$AE$12,MATCH($C82,SubMap!$A$2:$A$12,0),0)=6)*Attempts!$AR82:$BU82),0))</f>
        <v/>
      </c>
      <c r="Z82">
        <f>IF($A82="","",IFERROR(COUNTIF(INDEX(SubMap!$B$2:$AE$12,MATCH($C82,SubMap!$A$2:$A$12,0),0),6),0))</f>
        <v/>
      </c>
      <c r="AA82">
        <f>IF(OR($A82="",Z82=0),"",ROUND(Y82/Z82*100,1))</f>
        <v/>
      </c>
      <c r="AB82">
        <f>IF($A82="","",IFERROR(INDEX(CHOOSE({1,2,3,4,5,6},D82,H82,L82,P82,T82,X82),MATCH(MIN(G82,K82,O82,S82,W82,AA82),CHOOSE({1,2,3,4,5,6},G82,K82,O82,S82,W82,AA82),0)),""))</f>
        <v/>
      </c>
      <c r="AC82">
        <f>IF($A82="","",IF(COUNT(G82,K82,O82,S82,W82,AA82)=0,"",MIN(G82,K82,O82,S82,W82,AA82)))</f>
        <v/>
      </c>
      <c r="AD82">
        <f>IF($A82="","",IFERROR(INDEX(CHOOSE({1,2,3,4,5,6},IFERROR(INDEX(Papers!$K$2:$K$12,MATCH($C82,Papers!$A$2:$A$12,0)),""),IFERROR(INDEX(Papers!$L$2:$L$12,MATCH($C82,Papers!$A$2:$A$12,0)),""),IFERROR(INDEX(Papers!$M$2:$M$12,MATCH($C82,Papers!$A$2:$A$12,0)),""),IFERROR(INDEX(Papers!$N$2:$N$12,MATCH($C82,Papers!$A$2:$A$12,0)),""),IFERROR(INDEX(Papers!$O$2:$O$12,MATCH($C82,Papers!$A$2:$A$12,0)),""),IFERROR(INDEX(Papers!$P$2:$P$12,MATCH($C82,Papers!$A$2:$A$12,0)),"")),MATCH(MIN(G82,K82,O82,S82,W82,AA82),CHOOSE({1,2,3,4,5,6},G82,K82,O82,S82,W82,AA82),0)),""))</f>
        <v/>
      </c>
      <c r="AE82">
        <f>IF(AC82="","",IF(AC82&lt;50,"Re-teach",IF(AC82&lt;75,"Practice more","Relatively secure")))</f>
        <v/>
      </c>
    </row>
    <row r="83">
      <c r="A83">
        <f>IF(Attempts!A83="","",Attempts!A83)</f>
        <v/>
      </c>
      <c r="B83">
        <f>IF(Attempts!A83="","",Attempts!B83)</f>
        <v/>
      </c>
      <c r="C83">
        <f>IF(Attempts!A83="","",Attempts!D83)</f>
        <v/>
      </c>
      <c r="D83">
        <f>IF($A83="","",IFERROR(INDEX(Papers!$E$2:$E$12,MATCH($C83,Papers!$A$2:$A$12,0)),""))</f>
        <v/>
      </c>
      <c r="E83">
        <f>IF($A83="","",IFERROR(SUMPRODUCT((INDEX(SubMap!$B$2:$AE$12,MATCH($C83,SubMap!$A$2:$A$12,0),0)=1)*Attempts!$AR83:$BU83),0))</f>
        <v/>
      </c>
      <c r="F83">
        <f>IF($A83="","",IFERROR(COUNTIF(INDEX(SubMap!$B$2:$AE$12,MATCH($C83,SubMap!$A$2:$A$12,0),0),1),0))</f>
        <v/>
      </c>
      <c r="G83">
        <f>IF(OR($A83="",F83=0),"",ROUND(E83/F83*100,1))</f>
        <v/>
      </c>
      <c r="H83">
        <f>IF($A83="","",IFERROR(INDEX(Papers!$F$2:$F$12,MATCH($C83,Papers!$A$2:$A$12,0)),""))</f>
        <v/>
      </c>
      <c r="I83">
        <f>IF($A83="","",IFERROR(SUMPRODUCT((INDEX(SubMap!$B$2:$AE$12,MATCH($C83,SubMap!$A$2:$A$12,0),0)=2)*Attempts!$AR83:$BU83),0))</f>
        <v/>
      </c>
      <c r="J83">
        <f>IF($A83="","",IFERROR(COUNTIF(INDEX(SubMap!$B$2:$AE$12,MATCH($C83,SubMap!$A$2:$A$12,0),0),2),0))</f>
        <v/>
      </c>
      <c r="K83">
        <f>IF(OR($A83="",J83=0),"",ROUND(I83/J83*100,1))</f>
        <v/>
      </c>
      <c r="L83">
        <f>IF($A83="","",IFERROR(INDEX(Papers!$G$2:$G$12,MATCH($C83,Papers!$A$2:$A$12,0)),""))</f>
        <v/>
      </c>
      <c r="M83">
        <f>IF($A83="","",IFERROR(SUMPRODUCT((INDEX(SubMap!$B$2:$AE$12,MATCH($C83,SubMap!$A$2:$A$12,0),0)=3)*Attempts!$AR83:$BU83),0))</f>
        <v/>
      </c>
      <c r="N83">
        <f>IF($A83="","",IFERROR(COUNTIF(INDEX(SubMap!$B$2:$AE$12,MATCH($C83,SubMap!$A$2:$A$12,0),0),3),0))</f>
        <v/>
      </c>
      <c r="O83">
        <f>IF(OR($A83="",N83=0),"",ROUND(M83/N83*100,1))</f>
        <v/>
      </c>
      <c r="P83">
        <f>IF($A83="","",IFERROR(INDEX(Papers!$H$2:$H$12,MATCH($C83,Papers!$A$2:$A$12,0)),""))</f>
        <v/>
      </c>
      <c r="Q83">
        <f>IF($A83="","",IFERROR(SUMPRODUCT((INDEX(SubMap!$B$2:$AE$12,MATCH($C83,SubMap!$A$2:$A$12,0),0)=4)*Attempts!$AR83:$BU83),0))</f>
        <v/>
      </c>
      <c r="R83">
        <f>IF($A83="","",IFERROR(COUNTIF(INDEX(SubMap!$B$2:$AE$12,MATCH($C83,SubMap!$A$2:$A$12,0),0),4),0))</f>
        <v/>
      </c>
      <c r="S83">
        <f>IF(OR($A83="",R83=0),"",ROUND(Q83/R83*100,1))</f>
        <v/>
      </c>
      <c r="T83">
        <f>IF($A83="","",IFERROR(INDEX(Papers!$I$2:$I$12,MATCH($C83,Papers!$A$2:$A$12,0)),""))</f>
        <v/>
      </c>
      <c r="U83">
        <f>IF($A83="","",IFERROR(SUMPRODUCT((INDEX(SubMap!$B$2:$AE$12,MATCH($C83,SubMap!$A$2:$A$12,0),0)=5)*Attempts!$AR83:$BU83),0))</f>
        <v/>
      </c>
      <c r="V83">
        <f>IF($A83="","",IFERROR(COUNTIF(INDEX(SubMap!$B$2:$AE$12,MATCH($C83,SubMap!$A$2:$A$12,0),0),5),0))</f>
        <v/>
      </c>
      <c r="W83">
        <f>IF(OR($A83="",V83=0),"",ROUND(U83/V83*100,1))</f>
        <v/>
      </c>
      <c r="X83">
        <f>IF($A83="","",IFERROR(INDEX(Papers!$J$2:$J$12,MATCH($C83,Papers!$A$2:$A$12,0)),""))</f>
        <v/>
      </c>
      <c r="Y83">
        <f>IF($A83="","",IFERROR(SUMPRODUCT((INDEX(SubMap!$B$2:$AE$12,MATCH($C83,SubMap!$A$2:$A$12,0),0)=6)*Attempts!$AR83:$BU83),0))</f>
        <v/>
      </c>
      <c r="Z83">
        <f>IF($A83="","",IFERROR(COUNTIF(INDEX(SubMap!$B$2:$AE$12,MATCH($C83,SubMap!$A$2:$A$12,0),0),6),0))</f>
        <v/>
      </c>
      <c r="AA83">
        <f>IF(OR($A83="",Z83=0),"",ROUND(Y83/Z83*100,1))</f>
        <v/>
      </c>
      <c r="AB83">
        <f>IF($A83="","",IFERROR(INDEX(CHOOSE({1,2,3,4,5,6},D83,H83,L83,P83,T83,X83),MATCH(MIN(G83,K83,O83,S83,W83,AA83),CHOOSE({1,2,3,4,5,6},G83,K83,O83,S83,W83,AA83),0)),""))</f>
        <v/>
      </c>
      <c r="AC83">
        <f>IF($A83="","",IF(COUNT(G83,K83,O83,S83,W83,AA83)=0,"",MIN(G83,K83,O83,S83,W83,AA83)))</f>
        <v/>
      </c>
      <c r="AD83">
        <f>IF($A83="","",IFERROR(INDEX(CHOOSE({1,2,3,4,5,6},IFERROR(INDEX(Papers!$K$2:$K$12,MATCH($C83,Papers!$A$2:$A$12,0)),""),IFERROR(INDEX(Papers!$L$2:$L$12,MATCH($C83,Papers!$A$2:$A$12,0)),""),IFERROR(INDEX(Papers!$M$2:$M$12,MATCH($C83,Papers!$A$2:$A$12,0)),""),IFERROR(INDEX(Papers!$N$2:$N$12,MATCH($C83,Papers!$A$2:$A$12,0)),""),IFERROR(INDEX(Papers!$O$2:$O$12,MATCH($C83,Papers!$A$2:$A$12,0)),""),IFERROR(INDEX(Papers!$P$2:$P$12,MATCH($C83,Papers!$A$2:$A$12,0)),"")),MATCH(MIN(G83,K83,O83,S83,W83,AA83),CHOOSE({1,2,3,4,5,6},G83,K83,O83,S83,W83,AA83),0)),""))</f>
        <v/>
      </c>
      <c r="AE83">
        <f>IF(AC83="","",IF(AC83&lt;50,"Re-teach",IF(AC83&lt;75,"Practice more","Relatively secure")))</f>
        <v/>
      </c>
    </row>
    <row r="84">
      <c r="A84">
        <f>IF(Attempts!A84="","",Attempts!A84)</f>
        <v/>
      </c>
      <c r="B84">
        <f>IF(Attempts!A84="","",Attempts!B84)</f>
        <v/>
      </c>
      <c r="C84">
        <f>IF(Attempts!A84="","",Attempts!D84)</f>
        <v/>
      </c>
      <c r="D84">
        <f>IF($A84="","",IFERROR(INDEX(Papers!$E$2:$E$12,MATCH($C84,Papers!$A$2:$A$12,0)),""))</f>
        <v/>
      </c>
      <c r="E84">
        <f>IF($A84="","",IFERROR(SUMPRODUCT((INDEX(SubMap!$B$2:$AE$12,MATCH($C84,SubMap!$A$2:$A$12,0),0)=1)*Attempts!$AR84:$BU84),0))</f>
        <v/>
      </c>
      <c r="F84">
        <f>IF($A84="","",IFERROR(COUNTIF(INDEX(SubMap!$B$2:$AE$12,MATCH($C84,SubMap!$A$2:$A$12,0),0),1),0))</f>
        <v/>
      </c>
      <c r="G84">
        <f>IF(OR($A84="",F84=0),"",ROUND(E84/F84*100,1))</f>
        <v/>
      </c>
      <c r="H84">
        <f>IF($A84="","",IFERROR(INDEX(Papers!$F$2:$F$12,MATCH($C84,Papers!$A$2:$A$12,0)),""))</f>
        <v/>
      </c>
      <c r="I84">
        <f>IF($A84="","",IFERROR(SUMPRODUCT((INDEX(SubMap!$B$2:$AE$12,MATCH($C84,SubMap!$A$2:$A$12,0),0)=2)*Attempts!$AR84:$BU84),0))</f>
        <v/>
      </c>
      <c r="J84">
        <f>IF($A84="","",IFERROR(COUNTIF(INDEX(SubMap!$B$2:$AE$12,MATCH($C84,SubMap!$A$2:$A$12,0),0),2),0))</f>
        <v/>
      </c>
      <c r="K84">
        <f>IF(OR($A84="",J84=0),"",ROUND(I84/J84*100,1))</f>
        <v/>
      </c>
      <c r="L84">
        <f>IF($A84="","",IFERROR(INDEX(Papers!$G$2:$G$12,MATCH($C84,Papers!$A$2:$A$12,0)),""))</f>
        <v/>
      </c>
      <c r="M84">
        <f>IF($A84="","",IFERROR(SUMPRODUCT((INDEX(SubMap!$B$2:$AE$12,MATCH($C84,SubMap!$A$2:$A$12,0),0)=3)*Attempts!$AR84:$BU84),0))</f>
        <v/>
      </c>
      <c r="N84">
        <f>IF($A84="","",IFERROR(COUNTIF(INDEX(SubMap!$B$2:$AE$12,MATCH($C84,SubMap!$A$2:$A$12,0),0),3),0))</f>
        <v/>
      </c>
      <c r="O84">
        <f>IF(OR($A84="",N84=0),"",ROUND(M84/N84*100,1))</f>
        <v/>
      </c>
      <c r="P84">
        <f>IF($A84="","",IFERROR(INDEX(Papers!$H$2:$H$12,MATCH($C84,Papers!$A$2:$A$12,0)),""))</f>
        <v/>
      </c>
      <c r="Q84">
        <f>IF($A84="","",IFERROR(SUMPRODUCT((INDEX(SubMap!$B$2:$AE$12,MATCH($C84,SubMap!$A$2:$A$12,0),0)=4)*Attempts!$AR84:$BU84),0))</f>
        <v/>
      </c>
      <c r="R84">
        <f>IF($A84="","",IFERROR(COUNTIF(INDEX(SubMap!$B$2:$AE$12,MATCH($C84,SubMap!$A$2:$A$12,0),0),4),0))</f>
        <v/>
      </c>
      <c r="S84">
        <f>IF(OR($A84="",R84=0),"",ROUND(Q84/R84*100,1))</f>
        <v/>
      </c>
      <c r="T84">
        <f>IF($A84="","",IFERROR(INDEX(Papers!$I$2:$I$12,MATCH($C84,Papers!$A$2:$A$12,0)),""))</f>
        <v/>
      </c>
      <c r="U84">
        <f>IF($A84="","",IFERROR(SUMPRODUCT((INDEX(SubMap!$B$2:$AE$12,MATCH($C84,SubMap!$A$2:$A$12,0),0)=5)*Attempts!$AR84:$BU84),0))</f>
        <v/>
      </c>
      <c r="V84">
        <f>IF($A84="","",IFERROR(COUNTIF(INDEX(SubMap!$B$2:$AE$12,MATCH($C84,SubMap!$A$2:$A$12,0),0),5),0))</f>
        <v/>
      </c>
      <c r="W84">
        <f>IF(OR($A84="",V84=0),"",ROUND(U84/V84*100,1))</f>
        <v/>
      </c>
      <c r="X84">
        <f>IF($A84="","",IFERROR(INDEX(Papers!$J$2:$J$12,MATCH($C84,Papers!$A$2:$A$12,0)),""))</f>
        <v/>
      </c>
      <c r="Y84">
        <f>IF($A84="","",IFERROR(SUMPRODUCT((INDEX(SubMap!$B$2:$AE$12,MATCH($C84,SubMap!$A$2:$A$12,0),0)=6)*Attempts!$AR84:$BU84),0))</f>
        <v/>
      </c>
      <c r="Z84">
        <f>IF($A84="","",IFERROR(COUNTIF(INDEX(SubMap!$B$2:$AE$12,MATCH($C84,SubMap!$A$2:$A$12,0),0),6),0))</f>
        <v/>
      </c>
      <c r="AA84">
        <f>IF(OR($A84="",Z84=0),"",ROUND(Y84/Z84*100,1))</f>
        <v/>
      </c>
      <c r="AB84">
        <f>IF($A84="","",IFERROR(INDEX(CHOOSE({1,2,3,4,5,6},D84,H84,L84,P84,T84,X84),MATCH(MIN(G84,K84,O84,S84,W84,AA84),CHOOSE({1,2,3,4,5,6},G84,K84,O84,S84,W84,AA84),0)),""))</f>
        <v/>
      </c>
      <c r="AC84">
        <f>IF($A84="","",IF(COUNT(G84,K84,O84,S84,W84,AA84)=0,"",MIN(G84,K84,O84,S84,W84,AA84)))</f>
        <v/>
      </c>
      <c r="AD84">
        <f>IF($A84="","",IFERROR(INDEX(CHOOSE({1,2,3,4,5,6},IFERROR(INDEX(Papers!$K$2:$K$12,MATCH($C84,Papers!$A$2:$A$12,0)),""),IFERROR(INDEX(Papers!$L$2:$L$12,MATCH($C84,Papers!$A$2:$A$12,0)),""),IFERROR(INDEX(Papers!$M$2:$M$12,MATCH($C84,Papers!$A$2:$A$12,0)),""),IFERROR(INDEX(Papers!$N$2:$N$12,MATCH($C84,Papers!$A$2:$A$12,0)),""),IFERROR(INDEX(Papers!$O$2:$O$12,MATCH($C84,Papers!$A$2:$A$12,0)),""),IFERROR(INDEX(Papers!$P$2:$P$12,MATCH($C84,Papers!$A$2:$A$12,0)),"")),MATCH(MIN(G84,K84,O84,S84,W84,AA84),CHOOSE({1,2,3,4,5,6},G84,K84,O84,S84,W84,AA84),0)),""))</f>
        <v/>
      </c>
      <c r="AE84">
        <f>IF(AC84="","",IF(AC84&lt;50,"Re-teach",IF(AC84&lt;75,"Practice more","Relatively secure")))</f>
        <v/>
      </c>
    </row>
    <row r="85">
      <c r="A85">
        <f>IF(Attempts!A85="","",Attempts!A85)</f>
        <v/>
      </c>
      <c r="B85">
        <f>IF(Attempts!A85="","",Attempts!B85)</f>
        <v/>
      </c>
      <c r="C85">
        <f>IF(Attempts!A85="","",Attempts!D85)</f>
        <v/>
      </c>
      <c r="D85">
        <f>IF($A85="","",IFERROR(INDEX(Papers!$E$2:$E$12,MATCH($C85,Papers!$A$2:$A$12,0)),""))</f>
        <v/>
      </c>
      <c r="E85">
        <f>IF($A85="","",IFERROR(SUMPRODUCT((INDEX(SubMap!$B$2:$AE$12,MATCH($C85,SubMap!$A$2:$A$12,0),0)=1)*Attempts!$AR85:$BU85),0))</f>
        <v/>
      </c>
      <c r="F85">
        <f>IF($A85="","",IFERROR(COUNTIF(INDEX(SubMap!$B$2:$AE$12,MATCH($C85,SubMap!$A$2:$A$12,0),0),1),0))</f>
        <v/>
      </c>
      <c r="G85">
        <f>IF(OR($A85="",F85=0),"",ROUND(E85/F85*100,1))</f>
        <v/>
      </c>
      <c r="H85">
        <f>IF($A85="","",IFERROR(INDEX(Papers!$F$2:$F$12,MATCH($C85,Papers!$A$2:$A$12,0)),""))</f>
        <v/>
      </c>
      <c r="I85">
        <f>IF($A85="","",IFERROR(SUMPRODUCT((INDEX(SubMap!$B$2:$AE$12,MATCH($C85,SubMap!$A$2:$A$12,0),0)=2)*Attempts!$AR85:$BU85),0))</f>
        <v/>
      </c>
      <c r="J85">
        <f>IF($A85="","",IFERROR(COUNTIF(INDEX(SubMap!$B$2:$AE$12,MATCH($C85,SubMap!$A$2:$A$12,0),0),2),0))</f>
        <v/>
      </c>
      <c r="K85">
        <f>IF(OR($A85="",J85=0),"",ROUND(I85/J85*100,1))</f>
        <v/>
      </c>
      <c r="L85">
        <f>IF($A85="","",IFERROR(INDEX(Papers!$G$2:$G$12,MATCH($C85,Papers!$A$2:$A$12,0)),""))</f>
        <v/>
      </c>
      <c r="M85">
        <f>IF($A85="","",IFERROR(SUMPRODUCT((INDEX(SubMap!$B$2:$AE$12,MATCH($C85,SubMap!$A$2:$A$12,0),0)=3)*Attempts!$AR85:$BU85),0))</f>
        <v/>
      </c>
      <c r="N85">
        <f>IF($A85="","",IFERROR(COUNTIF(INDEX(SubMap!$B$2:$AE$12,MATCH($C85,SubMap!$A$2:$A$12,0),0),3),0))</f>
        <v/>
      </c>
      <c r="O85">
        <f>IF(OR($A85="",N85=0),"",ROUND(M85/N85*100,1))</f>
        <v/>
      </c>
      <c r="P85">
        <f>IF($A85="","",IFERROR(INDEX(Papers!$H$2:$H$12,MATCH($C85,Papers!$A$2:$A$12,0)),""))</f>
        <v/>
      </c>
      <c r="Q85">
        <f>IF($A85="","",IFERROR(SUMPRODUCT((INDEX(SubMap!$B$2:$AE$12,MATCH($C85,SubMap!$A$2:$A$12,0),0)=4)*Attempts!$AR85:$BU85),0))</f>
        <v/>
      </c>
      <c r="R85">
        <f>IF($A85="","",IFERROR(COUNTIF(INDEX(SubMap!$B$2:$AE$12,MATCH($C85,SubMap!$A$2:$A$12,0),0),4),0))</f>
        <v/>
      </c>
      <c r="S85">
        <f>IF(OR($A85="",R85=0),"",ROUND(Q85/R85*100,1))</f>
        <v/>
      </c>
      <c r="T85">
        <f>IF($A85="","",IFERROR(INDEX(Papers!$I$2:$I$12,MATCH($C85,Papers!$A$2:$A$12,0)),""))</f>
        <v/>
      </c>
      <c r="U85">
        <f>IF($A85="","",IFERROR(SUMPRODUCT((INDEX(SubMap!$B$2:$AE$12,MATCH($C85,SubMap!$A$2:$A$12,0),0)=5)*Attempts!$AR85:$BU85),0))</f>
        <v/>
      </c>
      <c r="V85">
        <f>IF($A85="","",IFERROR(COUNTIF(INDEX(SubMap!$B$2:$AE$12,MATCH($C85,SubMap!$A$2:$A$12,0),0),5),0))</f>
        <v/>
      </c>
      <c r="W85">
        <f>IF(OR($A85="",V85=0),"",ROUND(U85/V85*100,1))</f>
        <v/>
      </c>
      <c r="X85">
        <f>IF($A85="","",IFERROR(INDEX(Papers!$J$2:$J$12,MATCH($C85,Papers!$A$2:$A$12,0)),""))</f>
        <v/>
      </c>
      <c r="Y85">
        <f>IF($A85="","",IFERROR(SUMPRODUCT((INDEX(SubMap!$B$2:$AE$12,MATCH($C85,SubMap!$A$2:$A$12,0),0)=6)*Attempts!$AR85:$BU85),0))</f>
        <v/>
      </c>
      <c r="Z85">
        <f>IF($A85="","",IFERROR(COUNTIF(INDEX(SubMap!$B$2:$AE$12,MATCH($C85,SubMap!$A$2:$A$12,0),0),6),0))</f>
        <v/>
      </c>
      <c r="AA85">
        <f>IF(OR($A85="",Z85=0),"",ROUND(Y85/Z85*100,1))</f>
        <v/>
      </c>
      <c r="AB85">
        <f>IF($A85="","",IFERROR(INDEX(CHOOSE({1,2,3,4,5,6},D85,H85,L85,P85,T85,X85),MATCH(MIN(G85,K85,O85,S85,W85,AA85),CHOOSE({1,2,3,4,5,6},G85,K85,O85,S85,W85,AA85),0)),""))</f>
        <v/>
      </c>
      <c r="AC85">
        <f>IF($A85="","",IF(COUNT(G85,K85,O85,S85,W85,AA85)=0,"",MIN(G85,K85,O85,S85,W85,AA85)))</f>
        <v/>
      </c>
      <c r="AD85">
        <f>IF($A85="","",IFERROR(INDEX(CHOOSE({1,2,3,4,5,6},IFERROR(INDEX(Papers!$K$2:$K$12,MATCH($C85,Papers!$A$2:$A$12,0)),""),IFERROR(INDEX(Papers!$L$2:$L$12,MATCH($C85,Papers!$A$2:$A$12,0)),""),IFERROR(INDEX(Papers!$M$2:$M$12,MATCH($C85,Papers!$A$2:$A$12,0)),""),IFERROR(INDEX(Papers!$N$2:$N$12,MATCH($C85,Papers!$A$2:$A$12,0)),""),IFERROR(INDEX(Papers!$O$2:$O$12,MATCH($C85,Papers!$A$2:$A$12,0)),""),IFERROR(INDEX(Papers!$P$2:$P$12,MATCH($C85,Papers!$A$2:$A$12,0)),"")),MATCH(MIN(G85,K85,O85,S85,W85,AA85),CHOOSE({1,2,3,4,5,6},G85,K85,O85,S85,W85,AA85),0)),""))</f>
        <v/>
      </c>
      <c r="AE85">
        <f>IF(AC85="","",IF(AC85&lt;50,"Re-teach",IF(AC85&lt;75,"Practice more","Relatively secure")))</f>
        <v/>
      </c>
    </row>
    <row r="86">
      <c r="A86">
        <f>IF(Attempts!A86="","",Attempts!A86)</f>
        <v/>
      </c>
      <c r="B86">
        <f>IF(Attempts!A86="","",Attempts!B86)</f>
        <v/>
      </c>
      <c r="C86">
        <f>IF(Attempts!A86="","",Attempts!D86)</f>
        <v/>
      </c>
      <c r="D86">
        <f>IF($A86="","",IFERROR(INDEX(Papers!$E$2:$E$12,MATCH($C86,Papers!$A$2:$A$12,0)),""))</f>
        <v/>
      </c>
      <c r="E86">
        <f>IF($A86="","",IFERROR(SUMPRODUCT((INDEX(SubMap!$B$2:$AE$12,MATCH($C86,SubMap!$A$2:$A$12,0),0)=1)*Attempts!$AR86:$BU86),0))</f>
        <v/>
      </c>
      <c r="F86">
        <f>IF($A86="","",IFERROR(COUNTIF(INDEX(SubMap!$B$2:$AE$12,MATCH($C86,SubMap!$A$2:$A$12,0),0),1),0))</f>
        <v/>
      </c>
      <c r="G86">
        <f>IF(OR($A86="",F86=0),"",ROUND(E86/F86*100,1))</f>
        <v/>
      </c>
      <c r="H86">
        <f>IF($A86="","",IFERROR(INDEX(Papers!$F$2:$F$12,MATCH($C86,Papers!$A$2:$A$12,0)),""))</f>
        <v/>
      </c>
      <c r="I86">
        <f>IF($A86="","",IFERROR(SUMPRODUCT((INDEX(SubMap!$B$2:$AE$12,MATCH($C86,SubMap!$A$2:$A$12,0),0)=2)*Attempts!$AR86:$BU86),0))</f>
        <v/>
      </c>
      <c r="J86">
        <f>IF($A86="","",IFERROR(COUNTIF(INDEX(SubMap!$B$2:$AE$12,MATCH($C86,SubMap!$A$2:$A$12,0),0),2),0))</f>
        <v/>
      </c>
      <c r="K86">
        <f>IF(OR($A86="",J86=0),"",ROUND(I86/J86*100,1))</f>
        <v/>
      </c>
      <c r="L86">
        <f>IF($A86="","",IFERROR(INDEX(Papers!$G$2:$G$12,MATCH($C86,Papers!$A$2:$A$12,0)),""))</f>
        <v/>
      </c>
      <c r="M86">
        <f>IF($A86="","",IFERROR(SUMPRODUCT((INDEX(SubMap!$B$2:$AE$12,MATCH($C86,SubMap!$A$2:$A$12,0),0)=3)*Attempts!$AR86:$BU86),0))</f>
        <v/>
      </c>
      <c r="N86">
        <f>IF($A86="","",IFERROR(COUNTIF(INDEX(SubMap!$B$2:$AE$12,MATCH($C86,SubMap!$A$2:$A$12,0),0),3),0))</f>
        <v/>
      </c>
      <c r="O86">
        <f>IF(OR($A86="",N86=0),"",ROUND(M86/N86*100,1))</f>
        <v/>
      </c>
      <c r="P86">
        <f>IF($A86="","",IFERROR(INDEX(Papers!$H$2:$H$12,MATCH($C86,Papers!$A$2:$A$12,0)),""))</f>
        <v/>
      </c>
      <c r="Q86">
        <f>IF($A86="","",IFERROR(SUMPRODUCT((INDEX(SubMap!$B$2:$AE$12,MATCH($C86,SubMap!$A$2:$A$12,0),0)=4)*Attempts!$AR86:$BU86),0))</f>
        <v/>
      </c>
      <c r="R86">
        <f>IF($A86="","",IFERROR(COUNTIF(INDEX(SubMap!$B$2:$AE$12,MATCH($C86,SubMap!$A$2:$A$12,0),0),4),0))</f>
        <v/>
      </c>
      <c r="S86">
        <f>IF(OR($A86="",R86=0),"",ROUND(Q86/R86*100,1))</f>
        <v/>
      </c>
      <c r="T86">
        <f>IF($A86="","",IFERROR(INDEX(Papers!$I$2:$I$12,MATCH($C86,Papers!$A$2:$A$12,0)),""))</f>
        <v/>
      </c>
      <c r="U86">
        <f>IF($A86="","",IFERROR(SUMPRODUCT((INDEX(SubMap!$B$2:$AE$12,MATCH($C86,SubMap!$A$2:$A$12,0),0)=5)*Attempts!$AR86:$BU86),0))</f>
        <v/>
      </c>
      <c r="V86">
        <f>IF($A86="","",IFERROR(COUNTIF(INDEX(SubMap!$B$2:$AE$12,MATCH($C86,SubMap!$A$2:$A$12,0),0),5),0))</f>
        <v/>
      </c>
      <c r="W86">
        <f>IF(OR($A86="",V86=0),"",ROUND(U86/V86*100,1))</f>
        <v/>
      </c>
      <c r="X86">
        <f>IF($A86="","",IFERROR(INDEX(Papers!$J$2:$J$12,MATCH($C86,Papers!$A$2:$A$12,0)),""))</f>
        <v/>
      </c>
      <c r="Y86">
        <f>IF($A86="","",IFERROR(SUMPRODUCT((INDEX(SubMap!$B$2:$AE$12,MATCH($C86,SubMap!$A$2:$A$12,0),0)=6)*Attempts!$AR86:$BU86),0))</f>
        <v/>
      </c>
      <c r="Z86">
        <f>IF($A86="","",IFERROR(COUNTIF(INDEX(SubMap!$B$2:$AE$12,MATCH($C86,SubMap!$A$2:$A$12,0),0),6),0))</f>
        <v/>
      </c>
      <c r="AA86">
        <f>IF(OR($A86="",Z86=0),"",ROUND(Y86/Z86*100,1))</f>
        <v/>
      </c>
      <c r="AB86">
        <f>IF($A86="","",IFERROR(INDEX(CHOOSE({1,2,3,4,5,6},D86,H86,L86,P86,T86,X86),MATCH(MIN(G86,K86,O86,S86,W86,AA86),CHOOSE({1,2,3,4,5,6},G86,K86,O86,S86,W86,AA86),0)),""))</f>
        <v/>
      </c>
      <c r="AC86">
        <f>IF($A86="","",IF(COUNT(G86,K86,O86,S86,W86,AA86)=0,"",MIN(G86,K86,O86,S86,W86,AA86)))</f>
        <v/>
      </c>
      <c r="AD86">
        <f>IF($A86="","",IFERROR(INDEX(CHOOSE({1,2,3,4,5,6},IFERROR(INDEX(Papers!$K$2:$K$12,MATCH($C86,Papers!$A$2:$A$12,0)),""),IFERROR(INDEX(Papers!$L$2:$L$12,MATCH($C86,Papers!$A$2:$A$12,0)),""),IFERROR(INDEX(Papers!$M$2:$M$12,MATCH($C86,Papers!$A$2:$A$12,0)),""),IFERROR(INDEX(Papers!$N$2:$N$12,MATCH($C86,Papers!$A$2:$A$12,0)),""),IFERROR(INDEX(Papers!$O$2:$O$12,MATCH($C86,Papers!$A$2:$A$12,0)),""),IFERROR(INDEX(Papers!$P$2:$P$12,MATCH($C86,Papers!$A$2:$A$12,0)),"")),MATCH(MIN(G86,K86,O86,S86,W86,AA86),CHOOSE({1,2,3,4,5,6},G86,K86,O86,S86,W86,AA86),0)),""))</f>
        <v/>
      </c>
      <c r="AE86">
        <f>IF(AC86="","",IF(AC86&lt;50,"Re-teach",IF(AC86&lt;75,"Practice more","Relatively secure")))</f>
        <v/>
      </c>
    </row>
    <row r="87">
      <c r="A87">
        <f>IF(Attempts!A87="","",Attempts!A87)</f>
        <v/>
      </c>
      <c r="B87">
        <f>IF(Attempts!A87="","",Attempts!B87)</f>
        <v/>
      </c>
      <c r="C87">
        <f>IF(Attempts!A87="","",Attempts!D87)</f>
        <v/>
      </c>
      <c r="D87">
        <f>IF($A87="","",IFERROR(INDEX(Papers!$E$2:$E$12,MATCH($C87,Papers!$A$2:$A$12,0)),""))</f>
        <v/>
      </c>
      <c r="E87">
        <f>IF($A87="","",IFERROR(SUMPRODUCT((INDEX(SubMap!$B$2:$AE$12,MATCH($C87,SubMap!$A$2:$A$12,0),0)=1)*Attempts!$AR87:$BU87),0))</f>
        <v/>
      </c>
      <c r="F87">
        <f>IF($A87="","",IFERROR(COUNTIF(INDEX(SubMap!$B$2:$AE$12,MATCH($C87,SubMap!$A$2:$A$12,0),0),1),0))</f>
        <v/>
      </c>
      <c r="G87">
        <f>IF(OR($A87="",F87=0),"",ROUND(E87/F87*100,1))</f>
        <v/>
      </c>
      <c r="H87">
        <f>IF($A87="","",IFERROR(INDEX(Papers!$F$2:$F$12,MATCH($C87,Papers!$A$2:$A$12,0)),""))</f>
        <v/>
      </c>
      <c r="I87">
        <f>IF($A87="","",IFERROR(SUMPRODUCT((INDEX(SubMap!$B$2:$AE$12,MATCH($C87,SubMap!$A$2:$A$12,0),0)=2)*Attempts!$AR87:$BU87),0))</f>
        <v/>
      </c>
      <c r="J87">
        <f>IF($A87="","",IFERROR(COUNTIF(INDEX(SubMap!$B$2:$AE$12,MATCH($C87,SubMap!$A$2:$A$12,0),0),2),0))</f>
        <v/>
      </c>
      <c r="K87">
        <f>IF(OR($A87="",J87=0),"",ROUND(I87/J87*100,1))</f>
        <v/>
      </c>
      <c r="L87">
        <f>IF($A87="","",IFERROR(INDEX(Papers!$G$2:$G$12,MATCH($C87,Papers!$A$2:$A$12,0)),""))</f>
        <v/>
      </c>
      <c r="M87">
        <f>IF($A87="","",IFERROR(SUMPRODUCT((INDEX(SubMap!$B$2:$AE$12,MATCH($C87,SubMap!$A$2:$A$12,0),0)=3)*Attempts!$AR87:$BU87),0))</f>
        <v/>
      </c>
      <c r="N87">
        <f>IF($A87="","",IFERROR(COUNTIF(INDEX(SubMap!$B$2:$AE$12,MATCH($C87,SubMap!$A$2:$A$12,0),0),3),0))</f>
        <v/>
      </c>
      <c r="O87">
        <f>IF(OR($A87="",N87=0),"",ROUND(M87/N87*100,1))</f>
        <v/>
      </c>
      <c r="P87">
        <f>IF($A87="","",IFERROR(INDEX(Papers!$H$2:$H$12,MATCH($C87,Papers!$A$2:$A$12,0)),""))</f>
        <v/>
      </c>
      <c r="Q87">
        <f>IF($A87="","",IFERROR(SUMPRODUCT((INDEX(SubMap!$B$2:$AE$12,MATCH($C87,SubMap!$A$2:$A$12,0),0)=4)*Attempts!$AR87:$BU87),0))</f>
        <v/>
      </c>
      <c r="R87">
        <f>IF($A87="","",IFERROR(COUNTIF(INDEX(SubMap!$B$2:$AE$12,MATCH($C87,SubMap!$A$2:$A$12,0),0),4),0))</f>
        <v/>
      </c>
      <c r="S87">
        <f>IF(OR($A87="",R87=0),"",ROUND(Q87/R87*100,1))</f>
        <v/>
      </c>
      <c r="T87">
        <f>IF($A87="","",IFERROR(INDEX(Papers!$I$2:$I$12,MATCH($C87,Papers!$A$2:$A$12,0)),""))</f>
        <v/>
      </c>
      <c r="U87">
        <f>IF($A87="","",IFERROR(SUMPRODUCT((INDEX(SubMap!$B$2:$AE$12,MATCH($C87,SubMap!$A$2:$A$12,0),0)=5)*Attempts!$AR87:$BU87),0))</f>
        <v/>
      </c>
      <c r="V87">
        <f>IF($A87="","",IFERROR(COUNTIF(INDEX(SubMap!$B$2:$AE$12,MATCH($C87,SubMap!$A$2:$A$12,0),0),5),0))</f>
        <v/>
      </c>
      <c r="W87">
        <f>IF(OR($A87="",V87=0),"",ROUND(U87/V87*100,1))</f>
        <v/>
      </c>
      <c r="X87">
        <f>IF($A87="","",IFERROR(INDEX(Papers!$J$2:$J$12,MATCH($C87,Papers!$A$2:$A$12,0)),""))</f>
        <v/>
      </c>
      <c r="Y87">
        <f>IF($A87="","",IFERROR(SUMPRODUCT((INDEX(SubMap!$B$2:$AE$12,MATCH($C87,SubMap!$A$2:$A$12,0),0)=6)*Attempts!$AR87:$BU87),0))</f>
        <v/>
      </c>
      <c r="Z87">
        <f>IF($A87="","",IFERROR(COUNTIF(INDEX(SubMap!$B$2:$AE$12,MATCH($C87,SubMap!$A$2:$A$12,0),0),6),0))</f>
        <v/>
      </c>
      <c r="AA87">
        <f>IF(OR($A87="",Z87=0),"",ROUND(Y87/Z87*100,1))</f>
        <v/>
      </c>
      <c r="AB87">
        <f>IF($A87="","",IFERROR(INDEX(CHOOSE({1,2,3,4,5,6},D87,H87,L87,P87,T87,X87),MATCH(MIN(G87,K87,O87,S87,W87,AA87),CHOOSE({1,2,3,4,5,6},G87,K87,O87,S87,W87,AA87),0)),""))</f>
        <v/>
      </c>
      <c r="AC87">
        <f>IF($A87="","",IF(COUNT(G87,K87,O87,S87,W87,AA87)=0,"",MIN(G87,K87,O87,S87,W87,AA87)))</f>
        <v/>
      </c>
      <c r="AD87">
        <f>IF($A87="","",IFERROR(INDEX(CHOOSE({1,2,3,4,5,6},IFERROR(INDEX(Papers!$K$2:$K$12,MATCH($C87,Papers!$A$2:$A$12,0)),""),IFERROR(INDEX(Papers!$L$2:$L$12,MATCH($C87,Papers!$A$2:$A$12,0)),""),IFERROR(INDEX(Papers!$M$2:$M$12,MATCH($C87,Papers!$A$2:$A$12,0)),""),IFERROR(INDEX(Papers!$N$2:$N$12,MATCH($C87,Papers!$A$2:$A$12,0)),""),IFERROR(INDEX(Papers!$O$2:$O$12,MATCH($C87,Papers!$A$2:$A$12,0)),""),IFERROR(INDEX(Papers!$P$2:$P$12,MATCH($C87,Papers!$A$2:$A$12,0)),"")),MATCH(MIN(G87,K87,O87,S87,W87,AA87),CHOOSE({1,2,3,4,5,6},G87,K87,O87,S87,W87,AA87),0)),""))</f>
        <v/>
      </c>
      <c r="AE87">
        <f>IF(AC87="","",IF(AC87&lt;50,"Re-teach",IF(AC87&lt;75,"Practice more","Relatively secure")))</f>
        <v/>
      </c>
    </row>
    <row r="88">
      <c r="A88">
        <f>IF(Attempts!A88="","",Attempts!A88)</f>
        <v/>
      </c>
      <c r="B88">
        <f>IF(Attempts!A88="","",Attempts!B88)</f>
        <v/>
      </c>
      <c r="C88">
        <f>IF(Attempts!A88="","",Attempts!D88)</f>
        <v/>
      </c>
      <c r="D88">
        <f>IF($A88="","",IFERROR(INDEX(Papers!$E$2:$E$12,MATCH($C88,Papers!$A$2:$A$12,0)),""))</f>
        <v/>
      </c>
      <c r="E88">
        <f>IF($A88="","",IFERROR(SUMPRODUCT((INDEX(SubMap!$B$2:$AE$12,MATCH($C88,SubMap!$A$2:$A$12,0),0)=1)*Attempts!$AR88:$BU88),0))</f>
        <v/>
      </c>
      <c r="F88">
        <f>IF($A88="","",IFERROR(COUNTIF(INDEX(SubMap!$B$2:$AE$12,MATCH($C88,SubMap!$A$2:$A$12,0),0),1),0))</f>
        <v/>
      </c>
      <c r="G88">
        <f>IF(OR($A88="",F88=0),"",ROUND(E88/F88*100,1))</f>
        <v/>
      </c>
      <c r="H88">
        <f>IF($A88="","",IFERROR(INDEX(Papers!$F$2:$F$12,MATCH($C88,Papers!$A$2:$A$12,0)),""))</f>
        <v/>
      </c>
      <c r="I88">
        <f>IF($A88="","",IFERROR(SUMPRODUCT((INDEX(SubMap!$B$2:$AE$12,MATCH($C88,SubMap!$A$2:$A$12,0),0)=2)*Attempts!$AR88:$BU88),0))</f>
        <v/>
      </c>
      <c r="J88">
        <f>IF($A88="","",IFERROR(COUNTIF(INDEX(SubMap!$B$2:$AE$12,MATCH($C88,SubMap!$A$2:$A$12,0),0),2),0))</f>
        <v/>
      </c>
      <c r="K88">
        <f>IF(OR($A88="",J88=0),"",ROUND(I88/J88*100,1))</f>
        <v/>
      </c>
      <c r="L88">
        <f>IF($A88="","",IFERROR(INDEX(Papers!$G$2:$G$12,MATCH($C88,Papers!$A$2:$A$12,0)),""))</f>
        <v/>
      </c>
      <c r="M88">
        <f>IF($A88="","",IFERROR(SUMPRODUCT((INDEX(SubMap!$B$2:$AE$12,MATCH($C88,SubMap!$A$2:$A$12,0),0)=3)*Attempts!$AR88:$BU88),0))</f>
        <v/>
      </c>
      <c r="N88">
        <f>IF($A88="","",IFERROR(COUNTIF(INDEX(SubMap!$B$2:$AE$12,MATCH($C88,SubMap!$A$2:$A$12,0),0),3),0))</f>
        <v/>
      </c>
      <c r="O88">
        <f>IF(OR($A88="",N88=0),"",ROUND(M88/N88*100,1))</f>
        <v/>
      </c>
      <c r="P88">
        <f>IF($A88="","",IFERROR(INDEX(Papers!$H$2:$H$12,MATCH($C88,Papers!$A$2:$A$12,0)),""))</f>
        <v/>
      </c>
      <c r="Q88">
        <f>IF($A88="","",IFERROR(SUMPRODUCT((INDEX(SubMap!$B$2:$AE$12,MATCH($C88,SubMap!$A$2:$A$12,0),0)=4)*Attempts!$AR88:$BU88),0))</f>
        <v/>
      </c>
      <c r="R88">
        <f>IF($A88="","",IFERROR(COUNTIF(INDEX(SubMap!$B$2:$AE$12,MATCH($C88,SubMap!$A$2:$A$12,0),0),4),0))</f>
        <v/>
      </c>
      <c r="S88">
        <f>IF(OR($A88="",R88=0),"",ROUND(Q88/R88*100,1))</f>
        <v/>
      </c>
      <c r="T88">
        <f>IF($A88="","",IFERROR(INDEX(Papers!$I$2:$I$12,MATCH($C88,Papers!$A$2:$A$12,0)),""))</f>
        <v/>
      </c>
      <c r="U88">
        <f>IF($A88="","",IFERROR(SUMPRODUCT((INDEX(SubMap!$B$2:$AE$12,MATCH($C88,SubMap!$A$2:$A$12,0),0)=5)*Attempts!$AR88:$BU88),0))</f>
        <v/>
      </c>
      <c r="V88">
        <f>IF($A88="","",IFERROR(COUNTIF(INDEX(SubMap!$B$2:$AE$12,MATCH($C88,SubMap!$A$2:$A$12,0),0),5),0))</f>
        <v/>
      </c>
      <c r="W88">
        <f>IF(OR($A88="",V88=0),"",ROUND(U88/V88*100,1))</f>
        <v/>
      </c>
      <c r="X88">
        <f>IF($A88="","",IFERROR(INDEX(Papers!$J$2:$J$12,MATCH($C88,Papers!$A$2:$A$12,0)),""))</f>
        <v/>
      </c>
      <c r="Y88">
        <f>IF($A88="","",IFERROR(SUMPRODUCT((INDEX(SubMap!$B$2:$AE$12,MATCH($C88,SubMap!$A$2:$A$12,0),0)=6)*Attempts!$AR88:$BU88),0))</f>
        <v/>
      </c>
      <c r="Z88">
        <f>IF($A88="","",IFERROR(COUNTIF(INDEX(SubMap!$B$2:$AE$12,MATCH($C88,SubMap!$A$2:$A$12,0),0),6),0))</f>
        <v/>
      </c>
      <c r="AA88">
        <f>IF(OR($A88="",Z88=0),"",ROUND(Y88/Z88*100,1))</f>
        <v/>
      </c>
      <c r="AB88">
        <f>IF($A88="","",IFERROR(INDEX(CHOOSE({1,2,3,4,5,6},D88,H88,L88,P88,T88,X88),MATCH(MIN(G88,K88,O88,S88,W88,AA88),CHOOSE({1,2,3,4,5,6},G88,K88,O88,S88,W88,AA88),0)),""))</f>
        <v/>
      </c>
      <c r="AC88">
        <f>IF($A88="","",IF(COUNT(G88,K88,O88,S88,W88,AA88)=0,"",MIN(G88,K88,O88,S88,W88,AA88)))</f>
        <v/>
      </c>
      <c r="AD88">
        <f>IF($A88="","",IFERROR(INDEX(CHOOSE({1,2,3,4,5,6},IFERROR(INDEX(Papers!$K$2:$K$12,MATCH($C88,Papers!$A$2:$A$12,0)),""),IFERROR(INDEX(Papers!$L$2:$L$12,MATCH($C88,Papers!$A$2:$A$12,0)),""),IFERROR(INDEX(Papers!$M$2:$M$12,MATCH($C88,Papers!$A$2:$A$12,0)),""),IFERROR(INDEX(Papers!$N$2:$N$12,MATCH($C88,Papers!$A$2:$A$12,0)),""),IFERROR(INDEX(Papers!$O$2:$O$12,MATCH($C88,Papers!$A$2:$A$12,0)),""),IFERROR(INDEX(Papers!$P$2:$P$12,MATCH($C88,Papers!$A$2:$A$12,0)),"")),MATCH(MIN(G88,K88,O88,S88,W88,AA88),CHOOSE({1,2,3,4,5,6},G88,K88,O88,S88,W88,AA88),0)),""))</f>
        <v/>
      </c>
      <c r="AE88">
        <f>IF(AC88="","",IF(AC88&lt;50,"Re-teach",IF(AC88&lt;75,"Practice more","Relatively secure")))</f>
        <v/>
      </c>
    </row>
    <row r="89">
      <c r="A89">
        <f>IF(Attempts!A89="","",Attempts!A89)</f>
        <v/>
      </c>
      <c r="B89">
        <f>IF(Attempts!A89="","",Attempts!B89)</f>
        <v/>
      </c>
      <c r="C89">
        <f>IF(Attempts!A89="","",Attempts!D89)</f>
        <v/>
      </c>
      <c r="D89">
        <f>IF($A89="","",IFERROR(INDEX(Papers!$E$2:$E$12,MATCH($C89,Papers!$A$2:$A$12,0)),""))</f>
        <v/>
      </c>
      <c r="E89">
        <f>IF($A89="","",IFERROR(SUMPRODUCT((INDEX(SubMap!$B$2:$AE$12,MATCH($C89,SubMap!$A$2:$A$12,0),0)=1)*Attempts!$AR89:$BU89),0))</f>
        <v/>
      </c>
      <c r="F89">
        <f>IF($A89="","",IFERROR(COUNTIF(INDEX(SubMap!$B$2:$AE$12,MATCH($C89,SubMap!$A$2:$A$12,0),0),1),0))</f>
        <v/>
      </c>
      <c r="G89">
        <f>IF(OR($A89="",F89=0),"",ROUND(E89/F89*100,1))</f>
        <v/>
      </c>
      <c r="H89">
        <f>IF($A89="","",IFERROR(INDEX(Papers!$F$2:$F$12,MATCH($C89,Papers!$A$2:$A$12,0)),""))</f>
        <v/>
      </c>
      <c r="I89">
        <f>IF($A89="","",IFERROR(SUMPRODUCT((INDEX(SubMap!$B$2:$AE$12,MATCH($C89,SubMap!$A$2:$A$12,0),0)=2)*Attempts!$AR89:$BU89),0))</f>
        <v/>
      </c>
      <c r="J89">
        <f>IF($A89="","",IFERROR(COUNTIF(INDEX(SubMap!$B$2:$AE$12,MATCH($C89,SubMap!$A$2:$A$12,0),0),2),0))</f>
        <v/>
      </c>
      <c r="K89">
        <f>IF(OR($A89="",J89=0),"",ROUND(I89/J89*100,1))</f>
        <v/>
      </c>
      <c r="L89">
        <f>IF($A89="","",IFERROR(INDEX(Papers!$G$2:$G$12,MATCH($C89,Papers!$A$2:$A$12,0)),""))</f>
        <v/>
      </c>
      <c r="M89">
        <f>IF($A89="","",IFERROR(SUMPRODUCT((INDEX(SubMap!$B$2:$AE$12,MATCH($C89,SubMap!$A$2:$A$12,0),0)=3)*Attempts!$AR89:$BU89),0))</f>
        <v/>
      </c>
      <c r="N89">
        <f>IF($A89="","",IFERROR(COUNTIF(INDEX(SubMap!$B$2:$AE$12,MATCH($C89,SubMap!$A$2:$A$12,0),0),3),0))</f>
        <v/>
      </c>
      <c r="O89">
        <f>IF(OR($A89="",N89=0),"",ROUND(M89/N89*100,1))</f>
        <v/>
      </c>
      <c r="P89">
        <f>IF($A89="","",IFERROR(INDEX(Papers!$H$2:$H$12,MATCH($C89,Papers!$A$2:$A$12,0)),""))</f>
        <v/>
      </c>
      <c r="Q89">
        <f>IF($A89="","",IFERROR(SUMPRODUCT((INDEX(SubMap!$B$2:$AE$12,MATCH($C89,SubMap!$A$2:$A$12,0),0)=4)*Attempts!$AR89:$BU89),0))</f>
        <v/>
      </c>
      <c r="R89">
        <f>IF($A89="","",IFERROR(COUNTIF(INDEX(SubMap!$B$2:$AE$12,MATCH($C89,SubMap!$A$2:$A$12,0),0),4),0))</f>
        <v/>
      </c>
      <c r="S89">
        <f>IF(OR($A89="",R89=0),"",ROUND(Q89/R89*100,1))</f>
        <v/>
      </c>
      <c r="T89">
        <f>IF($A89="","",IFERROR(INDEX(Papers!$I$2:$I$12,MATCH($C89,Papers!$A$2:$A$12,0)),""))</f>
        <v/>
      </c>
      <c r="U89">
        <f>IF($A89="","",IFERROR(SUMPRODUCT((INDEX(SubMap!$B$2:$AE$12,MATCH($C89,SubMap!$A$2:$A$12,0),0)=5)*Attempts!$AR89:$BU89),0))</f>
        <v/>
      </c>
      <c r="V89">
        <f>IF($A89="","",IFERROR(COUNTIF(INDEX(SubMap!$B$2:$AE$12,MATCH($C89,SubMap!$A$2:$A$12,0),0),5),0))</f>
        <v/>
      </c>
      <c r="W89">
        <f>IF(OR($A89="",V89=0),"",ROUND(U89/V89*100,1))</f>
        <v/>
      </c>
      <c r="X89">
        <f>IF($A89="","",IFERROR(INDEX(Papers!$J$2:$J$12,MATCH($C89,Papers!$A$2:$A$12,0)),""))</f>
        <v/>
      </c>
      <c r="Y89">
        <f>IF($A89="","",IFERROR(SUMPRODUCT((INDEX(SubMap!$B$2:$AE$12,MATCH($C89,SubMap!$A$2:$A$12,0),0)=6)*Attempts!$AR89:$BU89),0))</f>
        <v/>
      </c>
      <c r="Z89">
        <f>IF($A89="","",IFERROR(COUNTIF(INDEX(SubMap!$B$2:$AE$12,MATCH($C89,SubMap!$A$2:$A$12,0),0),6),0))</f>
        <v/>
      </c>
      <c r="AA89">
        <f>IF(OR($A89="",Z89=0),"",ROUND(Y89/Z89*100,1))</f>
        <v/>
      </c>
      <c r="AB89">
        <f>IF($A89="","",IFERROR(INDEX(CHOOSE({1,2,3,4,5,6},D89,H89,L89,P89,T89,X89),MATCH(MIN(G89,K89,O89,S89,W89,AA89),CHOOSE({1,2,3,4,5,6},G89,K89,O89,S89,W89,AA89),0)),""))</f>
        <v/>
      </c>
      <c r="AC89">
        <f>IF($A89="","",IF(COUNT(G89,K89,O89,S89,W89,AA89)=0,"",MIN(G89,K89,O89,S89,W89,AA89)))</f>
        <v/>
      </c>
      <c r="AD89">
        <f>IF($A89="","",IFERROR(INDEX(CHOOSE({1,2,3,4,5,6},IFERROR(INDEX(Papers!$K$2:$K$12,MATCH($C89,Papers!$A$2:$A$12,0)),""),IFERROR(INDEX(Papers!$L$2:$L$12,MATCH($C89,Papers!$A$2:$A$12,0)),""),IFERROR(INDEX(Papers!$M$2:$M$12,MATCH($C89,Papers!$A$2:$A$12,0)),""),IFERROR(INDEX(Papers!$N$2:$N$12,MATCH($C89,Papers!$A$2:$A$12,0)),""),IFERROR(INDEX(Papers!$O$2:$O$12,MATCH($C89,Papers!$A$2:$A$12,0)),""),IFERROR(INDEX(Papers!$P$2:$P$12,MATCH($C89,Papers!$A$2:$A$12,0)),"")),MATCH(MIN(G89,K89,O89,S89,W89,AA89),CHOOSE({1,2,3,4,5,6},G89,K89,O89,S89,W89,AA89),0)),""))</f>
        <v/>
      </c>
      <c r="AE89">
        <f>IF(AC89="","",IF(AC89&lt;50,"Re-teach",IF(AC89&lt;75,"Practice more","Relatively secure")))</f>
        <v/>
      </c>
    </row>
    <row r="90">
      <c r="A90">
        <f>IF(Attempts!A90="","",Attempts!A90)</f>
        <v/>
      </c>
      <c r="B90">
        <f>IF(Attempts!A90="","",Attempts!B90)</f>
        <v/>
      </c>
      <c r="C90">
        <f>IF(Attempts!A90="","",Attempts!D90)</f>
        <v/>
      </c>
      <c r="D90">
        <f>IF($A90="","",IFERROR(INDEX(Papers!$E$2:$E$12,MATCH($C90,Papers!$A$2:$A$12,0)),""))</f>
        <v/>
      </c>
      <c r="E90">
        <f>IF($A90="","",IFERROR(SUMPRODUCT((INDEX(SubMap!$B$2:$AE$12,MATCH($C90,SubMap!$A$2:$A$12,0),0)=1)*Attempts!$AR90:$BU90),0))</f>
        <v/>
      </c>
      <c r="F90">
        <f>IF($A90="","",IFERROR(COUNTIF(INDEX(SubMap!$B$2:$AE$12,MATCH($C90,SubMap!$A$2:$A$12,0),0),1),0))</f>
        <v/>
      </c>
      <c r="G90">
        <f>IF(OR($A90="",F90=0),"",ROUND(E90/F90*100,1))</f>
        <v/>
      </c>
      <c r="H90">
        <f>IF($A90="","",IFERROR(INDEX(Papers!$F$2:$F$12,MATCH($C90,Papers!$A$2:$A$12,0)),""))</f>
        <v/>
      </c>
      <c r="I90">
        <f>IF($A90="","",IFERROR(SUMPRODUCT((INDEX(SubMap!$B$2:$AE$12,MATCH($C90,SubMap!$A$2:$A$12,0),0)=2)*Attempts!$AR90:$BU90),0))</f>
        <v/>
      </c>
      <c r="J90">
        <f>IF($A90="","",IFERROR(COUNTIF(INDEX(SubMap!$B$2:$AE$12,MATCH($C90,SubMap!$A$2:$A$12,0),0),2),0))</f>
        <v/>
      </c>
      <c r="K90">
        <f>IF(OR($A90="",J90=0),"",ROUND(I90/J90*100,1))</f>
        <v/>
      </c>
      <c r="L90">
        <f>IF($A90="","",IFERROR(INDEX(Papers!$G$2:$G$12,MATCH($C90,Papers!$A$2:$A$12,0)),""))</f>
        <v/>
      </c>
      <c r="M90">
        <f>IF($A90="","",IFERROR(SUMPRODUCT((INDEX(SubMap!$B$2:$AE$12,MATCH($C90,SubMap!$A$2:$A$12,0),0)=3)*Attempts!$AR90:$BU90),0))</f>
        <v/>
      </c>
      <c r="N90">
        <f>IF($A90="","",IFERROR(COUNTIF(INDEX(SubMap!$B$2:$AE$12,MATCH($C90,SubMap!$A$2:$A$12,0),0),3),0))</f>
        <v/>
      </c>
      <c r="O90">
        <f>IF(OR($A90="",N90=0),"",ROUND(M90/N90*100,1))</f>
        <v/>
      </c>
      <c r="P90">
        <f>IF($A90="","",IFERROR(INDEX(Papers!$H$2:$H$12,MATCH($C90,Papers!$A$2:$A$12,0)),""))</f>
        <v/>
      </c>
      <c r="Q90">
        <f>IF($A90="","",IFERROR(SUMPRODUCT((INDEX(SubMap!$B$2:$AE$12,MATCH($C90,SubMap!$A$2:$A$12,0),0)=4)*Attempts!$AR90:$BU90),0))</f>
        <v/>
      </c>
      <c r="R90">
        <f>IF($A90="","",IFERROR(COUNTIF(INDEX(SubMap!$B$2:$AE$12,MATCH($C90,SubMap!$A$2:$A$12,0),0),4),0))</f>
        <v/>
      </c>
      <c r="S90">
        <f>IF(OR($A90="",R90=0),"",ROUND(Q90/R90*100,1))</f>
        <v/>
      </c>
      <c r="T90">
        <f>IF($A90="","",IFERROR(INDEX(Papers!$I$2:$I$12,MATCH($C90,Papers!$A$2:$A$12,0)),""))</f>
        <v/>
      </c>
      <c r="U90">
        <f>IF($A90="","",IFERROR(SUMPRODUCT((INDEX(SubMap!$B$2:$AE$12,MATCH($C90,SubMap!$A$2:$A$12,0),0)=5)*Attempts!$AR90:$BU90),0))</f>
        <v/>
      </c>
      <c r="V90">
        <f>IF($A90="","",IFERROR(COUNTIF(INDEX(SubMap!$B$2:$AE$12,MATCH($C90,SubMap!$A$2:$A$12,0),0),5),0))</f>
        <v/>
      </c>
      <c r="W90">
        <f>IF(OR($A90="",V90=0),"",ROUND(U90/V90*100,1))</f>
        <v/>
      </c>
      <c r="X90">
        <f>IF($A90="","",IFERROR(INDEX(Papers!$J$2:$J$12,MATCH($C90,Papers!$A$2:$A$12,0)),""))</f>
        <v/>
      </c>
      <c r="Y90">
        <f>IF($A90="","",IFERROR(SUMPRODUCT((INDEX(SubMap!$B$2:$AE$12,MATCH($C90,SubMap!$A$2:$A$12,0),0)=6)*Attempts!$AR90:$BU90),0))</f>
        <v/>
      </c>
      <c r="Z90">
        <f>IF($A90="","",IFERROR(COUNTIF(INDEX(SubMap!$B$2:$AE$12,MATCH($C90,SubMap!$A$2:$A$12,0),0),6),0))</f>
        <v/>
      </c>
      <c r="AA90">
        <f>IF(OR($A90="",Z90=0),"",ROUND(Y90/Z90*100,1))</f>
        <v/>
      </c>
      <c r="AB90">
        <f>IF($A90="","",IFERROR(INDEX(CHOOSE({1,2,3,4,5,6},D90,H90,L90,P90,T90,X90),MATCH(MIN(G90,K90,O90,S90,W90,AA90),CHOOSE({1,2,3,4,5,6},G90,K90,O90,S90,W90,AA90),0)),""))</f>
        <v/>
      </c>
      <c r="AC90">
        <f>IF($A90="","",IF(COUNT(G90,K90,O90,S90,W90,AA90)=0,"",MIN(G90,K90,O90,S90,W90,AA90)))</f>
        <v/>
      </c>
      <c r="AD90">
        <f>IF($A90="","",IFERROR(INDEX(CHOOSE({1,2,3,4,5,6},IFERROR(INDEX(Papers!$K$2:$K$12,MATCH($C90,Papers!$A$2:$A$12,0)),""),IFERROR(INDEX(Papers!$L$2:$L$12,MATCH($C90,Papers!$A$2:$A$12,0)),""),IFERROR(INDEX(Papers!$M$2:$M$12,MATCH($C90,Papers!$A$2:$A$12,0)),""),IFERROR(INDEX(Papers!$N$2:$N$12,MATCH($C90,Papers!$A$2:$A$12,0)),""),IFERROR(INDEX(Papers!$O$2:$O$12,MATCH($C90,Papers!$A$2:$A$12,0)),""),IFERROR(INDEX(Papers!$P$2:$P$12,MATCH($C90,Papers!$A$2:$A$12,0)),"")),MATCH(MIN(G90,K90,O90,S90,W90,AA90),CHOOSE({1,2,3,4,5,6},G90,K90,O90,S90,W90,AA90),0)),""))</f>
        <v/>
      </c>
      <c r="AE90">
        <f>IF(AC90="","",IF(AC90&lt;50,"Re-teach",IF(AC90&lt;75,"Practice more","Relatively secure")))</f>
        <v/>
      </c>
    </row>
    <row r="91">
      <c r="A91">
        <f>IF(Attempts!A91="","",Attempts!A91)</f>
        <v/>
      </c>
      <c r="B91">
        <f>IF(Attempts!A91="","",Attempts!B91)</f>
        <v/>
      </c>
      <c r="C91">
        <f>IF(Attempts!A91="","",Attempts!D91)</f>
        <v/>
      </c>
      <c r="D91">
        <f>IF($A91="","",IFERROR(INDEX(Papers!$E$2:$E$12,MATCH($C91,Papers!$A$2:$A$12,0)),""))</f>
        <v/>
      </c>
      <c r="E91">
        <f>IF($A91="","",IFERROR(SUMPRODUCT((INDEX(SubMap!$B$2:$AE$12,MATCH($C91,SubMap!$A$2:$A$12,0),0)=1)*Attempts!$AR91:$BU91),0))</f>
        <v/>
      </c>
      <c r="F91">
        <f>IF($A91="","",IFERROR(COUNTIF(INDEX(SubMap!$B$2:$AE$12,MATCH($C91,SubMap!$A$2:$A$12,0),0),1),0))</f>
        <v/>
      </c>
      <c r="G91">
        <f>IF(OR($A91="",F91=0),"",ROUND(E91/F91*100,1))</f>
        <v/>
      </c>
      <c r="H91">
        <f>IF($A91="","",IFERROR(INDEX(Papers!$F$2:$F$12,MATCH($C91,Papers!$A$2:$A$12,0)),""))</f>
        <v/>
      </c>
      <c r="I91">
        <f>IF($A91="","",IFERROR(SUMPRODUCT((INDEX(SubMap!$B$2:$AE$12,MATCH($C91,SubMap!$A$2:$A$12,0),0)=2)*Attempts!$AR91:$BU91),0))</f>
        <v/>
      </c>
      <c r="J91">
        <f>IF($A91="","",IFERROR(COUNTIF(INDEX(SubMap!$B$2:$AE$12,MATCH($C91,SubMap!$A$2:$A$12,0),0),2),0))</f>
        <v/>
      </c>
      <c r="K91">
        <f>IF(OR($A91="",J91=0),"",ROUND(I91/J91*100,1))</f>
        <v/>
      </c>
      <c r="L91">
        <f>IF($A91="","",IFERROR(INDEX(Papers!$G$2:$G$12,MATCH($C91,Papers!$A$2:$A$12,0)),""))</f>
        <v/>
      </c>
      <c r="M91">
        <f>IF($A91="","",IFERROR(SUMPRODUCT((INDEX(SubMap!$B$2:$AE$12,MATCH($C91,SubMap!$A$2:$A$12,0),0)=3)*Attempts!$AR91:$BU91),0))</f>
        <v/>
      </c>
      <c r="N91">
        <f>IF($A91="","",IFERROR(COUNTIF(INDEX(SubMap!$B$2:$AE$12,MATCH($C91,SubMap!$A$2:$A$12,0),0),3),0))</f>
        <v/>
      </c>
      <c r="O91">
        <f>IF(OR($A91="",N91=0),"",ROUND(M91/N91*100,1))</f>
        <v/>
      </c>
      <c r="P91">
        <f>IF($A91="","",IFERROR(INDEX(Papers!$H$2:$H$12,MATCH($C91,Papers!$A$2:$A$12,0)),""))</f>
        <v/>
      </c>
      <c r="Q91">
        <f>IF($A91="","",IFERROR(SUMPRODUCT((INDEX(SubMap!$B$2:$AE$12,MATCH($C91,SubMap!$A$2:$A$12,0),0)=4)*Attempts!$AR91:$BU91),0))</f>
        <v/>
      </c>
      <c r="R91">
        <f>IF($A91="","",IFERROR(COUNTIF(INDEX(SubMap!$B$2:$AE$12,MATCH($C91,SubMap!$A$2:$A$12,0),0),4),0))</f>
        <v/>
      </c>
      <c r="S91">
        <f>IF(OR($A91="",R91=0),"",ROUND(Q91/R91*100,1))</f>
        <v/>
      </c>
      <c r="T91">
        <f>IF($A91="","",IFERROR(INDEX(Papers!$I$2:$I$12,MATCH($C91,Papers!$A$2:$A$12,0)),""))</f>
        <v/>
      </c>
      <c r="U91">
        <f>IF($A91="","",IFERROR(SUMPRODUCT((INDEX(SubMap!$B$2:$AE$12,MATCH($C91,SubMap!$A$2:$A$12,0),0)=5)*Attempts!$AR91:$BU91),0))</f>
        <v/>
      </c>
      <c r="V91">
        <f>IF($A91="","",IFERROR(COUNTIF(INDEX(SubMap!$B$2:$AE$12,MATCH($C91,SubMap!$A$2:$A$12,0),0),5),0))</f>
        <v/>
      </c>
      <c r="W91">
        <f>IF(OR($A91="",V91=0),"",ROUND(U91/V91*100,1))</f>
        <v/>
      </c>
      <c r="X91">
        <f>IF($A91="","",IFERROR(INDEX(Papers!$J$2:$J$12,MATCH($C91,Papers!$A$2:$A$12,0)),""))</f>
        <v/>
      </c>
      <c r="Y91">
        <f>IF($A91="","",IFERROR(SUMPRODUCT((INDEX(SubMap!$B$2:$AE$12,MATCH($C91,SubMap!$A$2:$A$12,0),0)=6)*Attempts!$AR91:$BU91),0))</f>
        <v/>
      </c>
      <c r="Z91">
        <f>IF($A91="","",IFERROR(COUNTIF(INDEX(SubMap!$B$2:$AE$12,MATCH($C91,SubMap!$A$2:$A$12,0),0),6),0))</f>
        <v/>
      </c>
      <c r="AA91">
        <f>IF(OR($A91="",Z91=0),"",ROUND(Y91/Z91*100,1))</f>
        <v/>
      </c>
      <c r="AB91">
        <f>IF($A91="","",IFERROR(INDEX(CHOOSE({1,2,3,4,5,6},D91,H91,L91,P91,T91,X91),MATCH(MIN(G91,K91,O91,S91,W91,AA91),CHOOSE({1,2,3,4,5,6},G91,K91,O91,S91,W91,AA91),0)),""))</f>
        <v/>
      </c>
      <c r="AC91">
        <f>IF($A91="","",IF(COUNT(G91,K91,O91,S91,W91,AA91)=0,"",MIN(G91,K91,O91,S91,W91,AA91)))</f>
        <v/>
      </c>
      <c r="AD91">
        <f>IF($A91="","",IFERROR(INDEX(CHOOSE({1,2,3,4,5,6},IFERROR(INDEX(Papers!$K$2:$K$12,MATCH($C91,Papers!$A$2:$A$12,0)),""),IFERROR(INDEX(Papers!$L$2:$L$12,MATCH($C91,Papers!$A$2:$A$12,0)),""),IFERROR(INDEX(Papers!$M$2:$M$12,MATCH($C91,Papers!$A$2:$A$12,0)),""),IFERROR(INDEX(Papers!$N$2:$N$12,MATCH($C91,Papers!$A$2:$A$12,0)),""),IFERROR(INDEX(Papers!$O$2:$O$12,MATCH($C91,Papers!$A$2:$A$12,0)),""),IFERROR(INDEX(Papers!$P$2:$P$12,MATCH($C91,Papers!$A$2:$A$12,0)),"")),MATCH(MIN(G91,K91,O91,S91,W91,AA91),CHOOSE({1,2,3,4,5,6},G91,K91,O91,S91,W91,AA91),0)),""))</f>
        <v/>
      </c>
      <c r="AE91">
        <f>IF(AC91="","",IF(AC91&lt;50,"Re-teach",IF(AC91&lt;75,"Practice more","Relatively secure")))</f>
        <v/>
      </c>
    </row>
    <row r="92">
      <c r="A92">
        <f>IF(Attempts!A92="","",Attempts!A92)</f>
        <v/>
      </c>
      <c r="B92">
        <f>IF(Attempts!A92="","",Attempts!B92)</f>
        <v/>
      </c>
      <c r="C92">
        <f>IF(Attempts!A92="","",Attempts!D92)</f>
        <v/>
      </c>
      <c r="D92">
        <f>IF($A92="","",IFERROR(INDEX(Papers!$E$2:$E$12,MATCH($C92,Papers!$A$2:$A$12,0)),""))</f>
        <v/>
      </c>
      <c r="E92">
        <f>IF($A92="","",IFERROR(SUMPRODUCT((INDEX(SubMap!$B$2:$AE$12,MATCH($C92,SubMap!$A$2:$A$12,0),0)=1)*Attempts!$AR92:$BU92),0))</f>
        <v/>
      </c>
      <c r="F92">
        <f>IF($A92="","",IFERROR(COUNTIF(INDEX(SubMap!$B$2:$AE$12,MATCH($C92,SubMap!$A$2:$A$12,0),0),1),0))</f>
        <v/>
      </c>
      <c r="G92">
        <f>IF(OR($A92="",F92=0),"",ROUND(E92/F92*100,1))</f>
        <v/>
      </c>
      <c r="H92">
        <f>IF($A92="","",IFERROR(INDEX(Papers!$F$2:$F$12,MATCH($C92,Papers!$A$2:$A$12,0)),""))</f>
        <v/>
      </c>
      <c r="I92">
        <f>IF($A92="","",IFERROR(SUMPRODUCT((INDEX(SubMap!$B$2:$AE$12,MATCH($C92,SubMap!$A$2:$A$12,0),0)=2)*Attempts!$AR92:$BU92),0))</f>
        <v/>
      </c>
      <c r="J92">
        <f>IF($A92="","",IFERROR(COUNTIF(INDEX(SubMap!$B$2:$AE$12,MATCH($C92,SubMap!$A$2:$A$12,0),0),2),0))</f>
        <v/>
      </c>
      <c r="K92">
        <f>IF(OR($A92="",J92=0),"",ROUND(I92/J92*100,1))</f>
        <v/>
      </c>
      <c r="L92">
        <f>IF($A92="","",IFERROR(INDEX(Papers!$G$2:$G$12,MATCH($C92,Papers!$A$2:$A$12,0)),""))</f>
        <v/>
      </c>
      <c r="M92">
        <f>IF($A92="","",IFERROR(SUMPRODUCT((INDEX(SubMap!$B$2:$AE$12,MATCH($C92,SubMap!$A$2:$A$12,0),0)=3)*Attempts!$AR92:$BU92),0))</f>
        <v/>
      </c>
      <c r="N92">
        <f>IF($A92="","",IFERROR(COUNTIF(INDEX(SubMap!$B$2:$AE$12,MATCH($C92,SubMap!$A$2:$A$12,0),0),3),0))</f>
        <v/>
      </c>
      <c r="O92">
        <f>IF(OR($A92="",N92=0),"",ROUND(M92/N92*100,1))</f>
        <v/>
      </c>
      <c r="P92">
        <f>IF($A92="","",IFERROR(INDEX(Papers!$H$2:$H$12,MATCH($C92,Papers!$A$2:$A$12,0)),""))</f>
        <v/>
      </c>
      <c r="Q92">
        <f>IF($A92="","",IFERROR(SUMPRODUCT((INDEX(SubMap!$B$2:$AE$12,MATCH($C92,SubMap!$A$2:$A$12,0),0)=4)*Attempts!$AR92:$BU92),0))</f>
        <v/>
      </c>
      <c r="R92">
        <f>IF($A92="","",IFERROR(COUNTIF(INDEX(SubMap!$B$2:$AE$12,MATCH($C92,SubMap!$A$2:$A$12,0),0),4),0))</f>
        <v/>
      </c>
      <c r="S92">
        <f>IF(OR($A92="",R92=0),"",ROUND(Q92/R92*100,1))</f>
        <v/>
      </c>
      <c r="T92">
        <f>IF($A92="","",IFERROR(INDEX(Papers!$I$2:$I$12,MATCH($C92,Papers!$A$2:$A$12,0)),""))</f>
        <v/>
      </c>
      <c r="U92">
        <f>IF($A92="","",IFERROR(SUMPRODUCT((INDEX(SubMap!$B$2:$AE$12,MATCH($C92,SubMap!$A$2:$A$12,0),0)=5)*Attempts!$AR92:$BU92),0))</f>
        <v/>
      </c>
      <c r="V92">
        <f>IF($A92="","",IFERROR(COUNTIF(INDEX(SubMap!$B$2:$AE$12,MATCH($C92,SubMap!$A$2:$A$12,0),0),5),0))</f>
        <v/>
      </c>
      <c r="W92">
        <f>IF(OR($A92="",V92=0),"",ROUND(U92/V92*100,1))</f>
        <v/>
      </c>
      <c r="X92">
        <f>IF($A92="","",IFERROR(INDEX(Papers!$J$2:$J$12,MATCH($C92,Papers!$A$2:$A$12,0)),""))</f>
        <v/>
      </c>
      <c r="Y92">
        <f>IF($A92="","",IFERROR(SUMPRODUCT((INDEX(SubMap!$B$2:$AE$12,MATCH($C92,SubMap!$A$2:$A$12,0),0)=6)*Attempts!$AR92:$BU92),0))</f>
        <v/>
      </c>
      <c r="Z92">
        <f>IF($A92="","",IFERROR(COUNTIF(INDEX(SubMap!$B$2:$AE$12,MATCH($C92,SubMap!$A$2:$A$12,0),0),6),0))</f>
        <v/>
      </c>
      <c r="AA92">
        <f>IF(OR($A92="",Z92=0),"",ROUND(Y92/Z92*100,1))</f>
        <v/>
      </c>
      <c r="AB92">
        <f>IF($A92="","",IFERROR(INDEX(CHOOSE({1,2,3,4,5,6},D92,H92,L92,P92,T92,X92),MATCH(MIN(G92,K92,O92,S92,W92,AA92),CHOOSE({1,2,3,4,5,6},G92,K92,O92,S92,W92,AA92),0)),""))</f>
        <v/>
      </c>
      <c r="AC92">
        <f>IF($A92="","",IF(COUNT(G92,K92,O92,S92,W92,AA92)=0,"",MIN(G92,K92,O92,S92,W92,AA92)))</f>
        <v/>
      </c>
      <c r="AD92">
        <f>IF($A92="","",IFERROR(INDEX(CHOOSE({1,2,3,4,5,6},IFERROR(INDEX(Papers!$K$2:$K$12,MATCH($C92,Papers!$A$2:$A$12,0)),""),IFERROR(INDEX(Papers!$L$2:$L$12,MATCH($C92,Papers!$A$2:$A$12,0)),""),IFERROR(INDEX(Papers!$M$2:$M$12,MATCH($C92,Papers!$A$2:$A$12,0)),""),IFERROR(INDEX(Papers!$N$2:$N$12,MATCH($C92,Papers!$A$2:$A$12,0)),""),IFERROR(INDEX(Papers!$O$2:$O$12,MATCH($C92,Papers!$A$2:$A$12,0)),""),IFERROR(INDEX(Papers!$P$2:$P$12,MATCH($C92,Papers!$A$2:$A$12,0)),"")),MATCH(MIN(G92,K92,O92,S92,W92,AA92),CHOOSE({1,2,3,4,5,6},G92,K92,O92,S92,W92,AA92),0)),""))</f>
        <v/>
      </c>
      <c r="AE92">
        <f>IF(AC92="","",IF(AC92&lt;50,"Re-teach",IF(AC92&lt;75,"Practice more","Relatively secure")))</f>
        <v/>
      </c>
    </row>
    <row r="93">
      <c r="A93">
        <f>IF(Attempts!A93="","",Attempts!A93)</f>
        <v/>
      </c>
      <c r="B93">
        <f>IF(Attempts!A93="","",Attempts!B93)</f>
        <v/>
      </c>
      <c r="C93">
        <f>IF(Attempts!A93="","",Attempts!D93)</f>
        <v/>
      </c>
      <c r="D93">
        <f>IF($A93="","",IFERROR(INDEX(Papers!$E$2:$E$12,MATCH($C93,Papers!$A$2:$A$12,0)),""))</f>
        <v/>
      </c>
      <c r="E93">
        <f>IF($A93="","",IFERROR(SUMPRODUCT((INDEX(SubMap!$B$2:$AE$12,MATCH($C93,SubMap!$A$2:$A$12,0),0)=1)*Attempts!$AR93:$BU93),0))</f>
        <v/>
      </c>
      <c r="F93">
        <f>IF($A93="","",IFERROR(COUNTIF(INDEX(SubMap!$B$2:$AE$12,MATCH($C93,SubMap!$A$2:$A$12,0),0),1),0))</f>
        <v/>
      </c>
      <c r="G93">
        <f>IF(OR($A93="",F93=0),"",ROUND(E93/F93*100,1))</f>
        <v/>
      </c>
      <c r="H93">
        <f>IF($A93="","",IFERROR(INDEX(Papers!$F$2:$F$12,MATCH($C93,Papers!$A$2:$A$12,0)),""))</f>
        <v/>
      </c>
      <c r="I93">
        <f>IF($A93="","",IFERROR(SUMPRODUCT((INDEX(SubMap!$B$2:$AE$12,MATCH($C93,SubMap!$A$2:$A$12,0),0)=2)*Attempts!$AR93:$BU93),0))</f>
        <v/>
      </c>
      <c r="J93">
        <f>IF($A93="","",IFERROR(COUNTIF(INDEX(SubMap!$B$2:$AE$12,MATCH($C93,SubMap!$A$2:$A$12,0),0),2),0))</f>
        <v/>
      </c>
      <c r="K93">
        <f>IF(OR($A93="",J93=0),"",ROUND(I93/J93*100,1))</f>
        <v/>
      </c>
      <c r="L93">
        <f>IF($A93="","",IFERROR(INDEX(Papers!$G$2:$G$12,MATCH($C93,Papers!$A$2:$A$12,0)),""))</f>
        <v/>
      </c>
      <c r="M93">
        <f>IF($A93="","",IFERROR(SUMPRODUCT((INDEX(SubMap!$B$2:$AE$12,MATCH($C93,SubMap!$A$2:$A$12,0),0)=3)*Attempts!$AR93:$BU93),0))</f>
        <v/>
      </c>
      <c r="N93">
        <f>IF($A93="","",IFERROR(COUNTIF(INDEX(SubMap!$B$2:$AE$12,MATCH($C93,SubMap!$A$2:$A$12,0),0),3),0))</f>
        <v/>
      </c>
      <c r="O93">
        <f>IF(OR($A93="",N93=0),"",ROUND(M93/N93*100,1))</f>
        <v/>
      </c>
      <c r="P93">
        <f>IF($A93="","",IFERROR(INDEX(Papers!$H$2:$H$12,MATCH($C93,Papers!$A$2:$A$12,0)),""))</f>
        <v/>
      </c>
      <c r="Q93">
        <f>IF($A93="","",IFERROR(SUMPRODUCT((INDEX(SubMap!$B$2:$AE$12,MATCH($C93,SubMap!$A$2:$A$12,0),0)=4)*Attempts!$AR93:$BU93),0))</f>
        <v/>
      </c>
      <c r="R93">
        <f>IF($A93="","",IFERROR(COUNTIF(INDEX(SubMap!$B$2:$AE$12,MATCH($C93,SubMap!$A$2:$A$12,0),0),4),0))</f>
        <v/>
      </c>
      <c r="S93">
        <f>IF(OR($A93="",R93=0),"",ROUND(Q93/R93*100,1))</f>
        <v/>
      </c>
      <c r="T93">
        <f>IF($A93="","",IFERROR(INDEX(Papers!$I$2:$I$12,MATCH($C93,Papers!$A$2:$A$12,0)),""))</f>
        <v/>
      </c>
      <c r="U93">
        <f>IF($A93="","",IFERROR(SUMPRODUCT((INDEX(SubMap!$B$2:$AE$12,MATCH($C93,SubMap!$A$2:$A$12,0),0)=5)*Attempts!$AR93:$BU93),0))</f>
        <v/>
      </c>
      <c r="V93">
        <f>IF($A93="","",IFERROR(COUNTIF(INDEX(SubMap!$B$2:$AE$12,MATCH($C93,SubMap!$A$2:$A$12,0),0),5),0))</f>
        <v/>
      </c>
      <c r="W93">
        <f>IF(OR($A93="",V93=0),"",ROUND(U93/V93*100,1))</f>
        <v/>
      </c>
      <c r="X93">
        <f>IF($A93="","",IFERROR(INDEX(Papers!$J$2:$J$12,MATCH($C93,Papers!$A$2:$A$12,0)),""))</f>
        <v/>
      </c>
      <c r="Y93">
        <f>IF($A93="","",IFERROR(SUMPRODUCT((INDEX(SubMap!$B$2:$AE$12,MATCH($C93,SubMap!$A$2:$A$12,0),0)=6)*Attempts!$AR93:$BU93),0))</f>
        <v/>
      </c>
      <c r="Z93">
        <f>IF($A93="","",IFERROR(COUNTIF(INDEX(SubMap!$B$2:$AE$12,MATCH($C93,SubMap!$A$2:$A$12,0),0),6),0))</f>
        <v/>
      </c>
      <c r="AA93">
        <f>IF(OR($A93="",Z93=0),"",ROUND(Y93/Z93*100,1))</f>
        <v/>
      </c>
      <c r="AB93">
        <f>IF($A93="","",IFERROR(INDEX(CHOOSE({1,2,3,4,5,6},D93,H93,L93,P93,T93,X93),MATCH(MIN(G93,K93,O93,S93,W93,AA93),CHOOSE({1,2,3,4,5,6},G93,K93,O93,S93,W93,AA93),0)),""))</f>
        <v/>
      </c>
      <c r="AC93">
        <f>IF($A93="","",IF(COUNT(G93,K93,O93,S93,W93,AA93)=0,"",MIN(G93,K93,O93,S93,W93,AA93)))</f>
        <v/>
      </c>
      <c r="AD93">
        <f>IF($A93="","",IFERROR(INDEX(CHOOSE({1,2,3,4,5,6},IFERROR(INDEX(Papers!$K$2:$K$12,MATCH($C93,Papers!$A$2:$A$12,0)),""),IFERROR(INDEX(Papers!$L$2:$L$12,MATCH($C93,Papers!$A$2:$A$12,0)),""),IFERROR(INDEX(Papers!$M$2:$M$12,MATCH($C93,Papers!$A$2:$A$12,0)),""),IFERROR(INDEX(Papers!$N$2:$N$12,MATCH($C93,Papers!$A$2:$A$12,0)),""),IFERROR(INDEX(Papers!$O$2:$O$12,MATCH($C93,Papers!$A$2:$A$12,0)),""),IFERROR(INDEX(Papers!$P$2:$P$12,MATCH($C93,Papers!$A$2:$A$12,0)),"")),MATCH(MIN(G93,K93,O93,S93,W93,AA93),CHOOSE({1,2,3,4,5,6},G93,K93,O93,S93,W93,AA93),0)),""))</f>
        <v/>
      </c>
      <c r="AE93">
        <f>IF(AC93="","",IF(AC93&lt;50,"Re-teach",IF(AC93&lt;75,"Practice more","Relatively secure")))</f>
        <v/>
      </c>
    </row>
    <row r="94">
      <c r="A94">
        <f>IF(Attempts!A94="","",Attempts!A94)</f>
        <v/>
      </c>
      <c r="B94">
        <f>IF(Attempts!A94="","",Attempts!B94)</f>
        <v/>
      </c>
      <c r="C94">
        <f>IF(Attempts!A94="","",Attempts!D94)</f>
        <v/>
      </c>
      <c r="D94">
        <f>IF($A94="","",IFERROR(INDEX(Papers!$E$2:$E$12,MATCH($C94,Papers!$A$2:$A$12,0)),""))</f>
        <v/>
      </c>
      <c r="E94">
        <f>IF($A94="","",IFERROR(SUMPRODUCT((INDEX(SubMap!$B$2:$AE$12,MATCH($C94,SubMap!$A$2:$A$12,0),0)=1)*Attempts!$AR94:$BU94),0))</f>
        <v/>
      </c>
      <c r="F94">
        <f>IF($A94="","",IFERROR(COUNTIF(INDEX(SubMap!$B$2:$AE$12,MATCH($C94,SubMap!$A$2:$A$12,0),0),1),0))</f>
        <v/>
      </c>
      <c r="G94">
        <f>IF(OR($A94="",F94=0),"",ROUND(E94/F94*100,1))</f>
        <v/>
      </c>
      <c r="H94">
        <f>IF($A94="","",IFERROR(INDEX(Papers!$F$2:$F$12,MATCH($C94,Papers!$A$2:$A$12,0)),""))</f>
        <v/>
      </c>
      <c r="I94">
        <f>IF($A94="","",IFERROR(SUMPRODUCT((INDEX(SubMap!$B$2:$AE$12,MATCH($C94,SubMap!$A$2:$A$12,0),0)=2)*Attempts!$AR94:$BU94),0))</f>
        <v/>
      </c>
      <c r="J94">
        <f>IF($A94="","",IFERROR(COUNTIF(INDEX(SubMap!$B$2:$AE$12,MATCH($C94,SubMap!$A$2:$A$12,0),0),2),0))</f>
        <v/>
      </c>
      <c r="K94">
        <f>IF(OR($A94="",J94=0),"",ROUND(I94/J94*100,1))</f>
        <v/>
      </c>
      <c r="L94">
        <f>IF($A94="","",IFERROR(INDEX(Papers!$G$2:$G$12,MATCH($C94,Papers!$A$2:$A$12,0)),""))</f>
        <v/>
      </c>
      <c r="M94">
        <f>IF($A94="","",IFERROR(SUMPRODUCT((INDEX(SubMap!$B$2:$AE$12,MATCH($C94,SubMap!$A$2:$A$12,0),0)=3)*Attempts!$AR94:$BU94),0))</f>
        <v/>
      </c>
      <c r="N94">
        <f>IF($A94="","",IFERROR(COUNTIF(INDEX(SubMap!$B$2:$AE$12,MATCH($C94,SubMap!$A$2:$A$12,0),0),3),0))</f>
        <v/>
      </c>
      <c r="O94">
        <f>IF(OR($A94="",N94=0),"",ROUND(M94/N94*100,1))</f>
        <v/>
      </c>
      <c r="P94">
        <f>IF($A94="","",IFERROR(INDEX(Papers!$H$2:$H$12,MATCH($C94,Papers!$A$2:$A$12,0)),""))</f>
        <v/>
      </c>
      <c r="Q94">
        <f>IF($A94="","",IFERROR(SUMPRODUCT((INDEX(SubMap!$B$2:$AE$12,MATCH($C94,SubMap!$A$2:$A$12,0),0)=4)*Attempts!$AR94:$BU94),0))</f>
        <v/>
      </c>
      <c r="R94">
        <f>IF($A94="","",IFERROR(COUNTIF(INDEX(SubMap!$B$2:$AE$12,MATCH($C94,SubMap!$A$2:$A$12,0),0),4),0))</f>
        <v/>
      </c>
      <c r="S94">
        <f>IF(OR($A94="",R94=0),"",ROUND(Q94/R94*100,1))</f>
        <v/>
      </c>
      <c r="T94">
        <f>IF($A94="","",IFERROR(INDEX(Papers!$I$2:$I$12,MATCH($C94,Papers!$A$2:$A$12,0)),""))</f>
        <v/>
      </c>
      <c r="U94">
        <f>IF($A94="","",IFERROR(SUMPRODUCT((INDEX(SubMap!$B$2:$AE$12,MATCH($C94,SubMap!$A$2:$A$12,0),0)=5)*Attempts!$AR94:$BU94),0))</f>
        <v/>
      </c>
      <c r="V94">
        <f>IF($A94="","",IFERROR(COUNTIF(INDEX(SubMap!$B$2:$AE$12,MATCH($C94,SubMap!$A$2:$A$12,0),0),5),0))</f>
        <v/>
      </c>
      <c r="W94">
        <f>IF(OR($A94="",V94=0),"",ROUND(U94/V94*100,1))</f>
        <v/>
      </c>
      <c r="X94">
        <f>IF($A94="","",IFERROR(INDEX(Papers!$J$2:$J$12,MATCH($C94,Papers!$A$2:$A$12,0)),""))</f>
        <v/>
      </c>
      <c r="Y94">
        <f>IF($A94="","",IFERROR(SUMPRODUCT((INDEX(SubMap!$B$2:$AE$12,MATCH($C94,SubMap!$A$2:$A$12,0),0)=6)*Attempts!$AR94:$BU94),0))</f>
        <v/>
      </c>
      <c r="Z94">
        <f>IF($A94="","",IFERROR(COUNTIF(INDEX(SubMap!$B$2:$AE$12,MATCH($C94,SubMap!$A$2:$A$12,0),0),6),0))</f>
        <v/>
      </c>
      <c r="AA94">
        <f>IF(OR($A94="",Z94=0),"",ROUND(Y94/Z94*100,1))</f>
        <v/>
      </c>
      <c r="AB94">
        <f>IF($A94="","",IFERROR(INDEX(CHOOSE({1,2,3,4,5,6},D94,H94,L94,P94,T94,X94),MATCH(MIN(G94,K94,O94,S94,W94,AA94),CHOOSE({1,2,3,4,5,6},G94,K94,O94,S94,W94,AA94),0)),""))</f>
        <v/>
      </c>
      <c r="AC94">
        <f>IF($A94="","",IF(COUNT(G94,K94,O94,S94,W94,AA94)=0,"",MIN(G94,K94,O94,S94,W94,AA94)))</f>
        <v/>
      </c>
      <c r="AD94">
        <f>IF($A94="","",IFERROR(INDEX(CHOOSE({1,2,3,4,5,6},IFERROR(INDEX(Papers!$K$2:$K$12,MATCH($C94,Papers!$A$2:$A$12,0)),""),IFERROR(INDEX(Papers!$L$2:$L$12,MATCH($C94,Papers!$A$2:$A$12,0)),""),IFERROR(INDEX(Papers!$M$2:$M$12,MATCH($C94,Papers!$A$2:$A$12,0)),""),IFERROR(INDEX(Papers!$N$2:$N$12,MATCH($C94,Papers!$A$2:$A$12,0)),""),IFERROR(INDEX(Papers!$O$2:$O$12,MATCH($C94,Papers!$A$2:$A$12,0)),""),IFERROR(INDEX(Papers!$P$2:$P$12,MATCH($C94,Papers!$A$2:$A$12,0)),"")),MATCH(MIN(G94,K94,O94,S94,W94,AA94),CHOOSE({1,2,3,4,5,6},G94,K94,O94,S94,W94,AA94),0)),""))</f>
        <v/>
      </c>
      <c r="AE94">
        <f>IF(AC94="","",IF(AC94&lt;50,"Re-teach",IF(AC94&lt;75,"Practice more","Relatively secure")))</f>
        <v/>
      </c>
    </row>
    <row r="95">
      <c r="A95">
        <f>IF(Attempts!A95="","",Attempts!A95)</f>
        <v/>
      </c>
      <c r="B95">
        <f>IF(Attempts!A95="","",Attempts!B95)</f>
        <v/>
      </c>
      <c r="C95">
        <f>IF(Attempts!A95="","",Attempts!D95)</f>
        <v/>
      </c>
      <c r="D95">
        <f>IF($A95="","",IFERROR(INDEX(Papers!$E$2:$E$12,MATCH($C95,Papers!$A$2:$A$12,0)),""))</f>
        <v/>
      </c>
      <c r="E95">
        <f>IF($A95="","",IFERROR(SUMPRODUCT((INDEX(SubMap!$B$2:$AE$12,MATCH($C95,SubMap!$A$2:$A$12,0),0)=1)*Attempts!$AR95:$BU95),0))</f>
        <v/>
      </c>
      <c r="F95">
        <f>IF($A95="","",IFERROR(COUNTIF(INDEX(SubMap!$B$2:$AE$12,MATCH($C95,SubMap!$A$2:$A$12,0),0),1),0))</f>
        <v/>
      </c>
      <c r="G95">
        <f>IF(OR($A95="",F95=0),"",ROUND(E95/F95*100,1))</f>
        <v/>
      </c>
      <c r="H95">
        <f>IF($A95="","",IFERROR(INDEX(Papers!$F$2:$F$12,MATCH($C95,Papers!$A$2:$A$12,0)),""))</f>
        <v/>
      </c>
      <c r="I95">
        <f>IF($A95="","",IFERROR(SUMPRODUCT((INDEX(SubMap!$B$2:$AE$12,MATCH($C95,SubMap!$A$2:$A$12,0),0)=2)*Attempts!$AR95:$BU95),0))</f>
        <v/>
      </c>
      <c r="J95">
        <f>IF($A95="","",IFERROR(COUNTIF(INDEX(SubMap!$B$2:$AE$12,MATCH($C95,SubMap!$A$2:$A$12,0),0),2),0))</f>
        <v/>
      </c>
      <c r="K95">
        <f>IF(OR($A95="",J95=0),"",ROUND(I95/J95*100,1))</f>
        <v/>
      </c>
      <c r="L95">
        <f>IF($A95="","",IFERROR(INDEX(Papers!$G$2:$G$12,MATCH($C95,Papers!$A$2:$A$12,0)),""))</f>
        <v/>
      </c>
      <c r="M95">
        <f>IF($A95="","",IFERROR(SUMPRODUCT((INDEX(SubMap!$B$2:$AE$12,MATCH($C95,SubMap!$A$2:$A$12,0),0)=3)*Attempts!$AR95:$BU95),0))</f>
        <v/>
      </c>
      <c r="N95">
        <f>IF($A95="","",IFERROR(COUNTIF(INDEX(SubMap!$B$2:$AE$12,MATCH($C95,SubMap!$A$2:$A$12,0),0),3),0))</f>
        <v/>
      </c>
      <c r="O95">
        <f>IF(OR($A95="",N95=0),"",ROUND(M95/N95*100,1))</f>
        <v/>
      </c>
      <c r="P95">
        <f>IF($A95="","",IFERROR(INDEX(Papers!$H$2:$H$12,MATCH($C95,Papers!$A$2:$A$12,0)),""))</f>
        <v/>
      </c>
      <c r="Q95">
        <f>IF($A95="","",IFERROR(SUMPRODUCT((INDEX(SubMap!$B$2:$AE$12,MATCH($C95,SubMap!$A$2:$A$12,0),0)=4)*Attempts!$AR95:$BU95),0))</f>
        <v/>
      </c>
      <c r="R95">
        <f>IF($A95="","",IFERROR(COUNTIF(INDEX(SubMap!$B$2:$AE$12,MATCH($C95,SubMap!$A$2:$A$12,0),0),4),0))</f>
        <v/>
      </c>
      <c r="S95">
        <f>IF(OR($A95="",R95=0),"",ROUND(Q95/R95*100,1))</f>
        <v/>
      </c>
      <c r="T95">
        <f>IF($A95="","",IFERROR(INDEX(Papers!$I$2:$I$12,MATCH($C95,Papers!$A$2:$A$12,0)),""))</f>
        <v/>
      </c>
      <c r="U95">
        <f>IF($A95="","",IFERROR(SUMPRODUCT((INDEX(SubMap!$B$2:$AE$12,MATCH($C95,SubMap!$A$2:$A$12,0),0)=5)*Attempts!$AR95:$BU95),0))</f>
        <v/>
      </c>
      <c r="V95">
        <f>IF($A95="","",IFERROR(COUNTIF(INDEX(SubMap!$B$2:$AE$12,MATCH($C95,SubMap!$A$2:$A$12,0),0),5),0))</f>
        <v/>
      </c>
      <c r="W95">
        <f>IF(OR($A95="",V95=0),"",ROUND(U95/V95*100,1))</f>
        <v/>
      </c>
      <c r="X95">
        <f>IF($A95="","",IFERROR(INDEX(Papers!$J$2:$J$12,MATCH($C95,Papers!$A$2:$A$12,0)),""))</f>
        <v/>
      </c>
      <c r="Y95">
        <f>IF($A95="","",IFERROR(SUMPRODUCT((INDEX(SubMap!$B$2:$AE$12,MATCH($C95,SubMap!$A$2:$A$12,0),0)=6)*Attempts!$AR95:$BU95),0))</f>
        <v/>
      </c>
      <c r="Z95">
        <f>IF($A95="","",IFERROR(COUNTIF(INDEX(SubMap!$B$2:$AE$12,MATCH($C95,SubMap!$A$2:$A$12,0),0),6),0))</f>
        <v/>
      </c>
      <c r="AA95">
        <f>IF(OR($A95="",Z95=0),"",ROUND(Y95/Z95*100,1))</f>
        <v/>
      </c>
      <c r="AB95">
        <f>IF($A95="","",IFERROR(INDEX(CHOOSE({1,2,3,4,5,6},D95,H95,L95,P95,T95,X95),MATCH(MIN(G95,K95,O95,S95,W95,AA95),CHOOSE({1,2,3,4,5,6},G95,K95,O95,S95,W95,AA95),0)),""))</f>
        <v/>
      </c>
      <c r="AC95">
        <f>IF($A95="","",IF(COUNT(G95,K95,O95,S95,W95,AA95)=0,"",MIN(G95,K95,O95,S95,W95,AA95)))</f>
        <v/>
      </c>
      <c r="AD95">
        <f>IF($A95="","",IFERROR(INDEX(CHOOSE({1,2,3,4,5,6},IFERROR(INDEX(Papers!$K$2:$K$12,MATCH($C95,Papers!$A$2:$A$12,0)),""),IFERROR(INDEX(Papers!$L$2:$L$12,MATCH($C95,Papers!$A$2:$A$12,0)),""),IFERROR(INDEX(Papers!$M$2:$M$12,MATCH($C95,Papers!$A$2:$A$12,0)),""),IFERROR(INDEX(Papers!$N$2:$N$12,MATCH($C95,Papers!$A$2:$A$12,0)),""),IFERROR(INDEX(Papers!$O$2:$O$12,MATCH($C95,Papers!$A$2:$A$12,0)),""),IFERROR(INDEX(Papers!$P$2:$P$12,MATCH($C95,Papers!$A$2:$A$12,0)),"")),MATCH(MIN(G95,K95,O95,S95,W95,AA95),CHOOSE({1,2,3,4,5,6},G95,K95,O95,S95,W95,AA95),0)),""))</f>
        <v/>
      </c>
      <c r="AE95">
        <f>IF(AC95="","",IF(AC95&lt;50,"Re-teach",IF(AC95&lt;75,"Practice more","Relatively secure")))</f>
        <v/>
      </c>
    </row>
    <row r="96">
      <c r="A96">
        <f>IF(Attempts!A96="","",Attempts!A96)</f>
        <v/>
      </c>
      <c r="B96">
        <f>IF(Attempts!A96="","",Attempts!B96)</f>
        <v/>
      </c>
      <c r="C96">
        <f>IF(Attempts!A96="","",Attempts!D96)</f>
        <v/>
      </c>
      <c r="D96">
        <f>IF($A96="","",IFERROR(INDEX(Papers!$E$2:$E$12,MATCH($C96,Papers!$A$2:$A$12,0)),""))</f>
        <v/>
      </c>
      <c r="E96">
        <f>IF($A96="","",IFERROR(SUMPRODUCT((INDEX(SubMap!$B$2:$AE$12,MATCH($C96,SubMap!$A$2:$A$12,0),0)=1)*Attempts!$AR96:$BU96),0))</f>
        <v/>
      </c>
      <c r="F96">
        <f>IF($A96="","",IFERROR(COUNTIF(INDEX(SubMap!$B$2:$AE$12,MATCH($C96,SubMap!$A$2:$A$12,0),0),1),0))</f>
        <v/>
      </c>
      <c r="G96">
        <f>IF(OR($A96="",F96=0),"",ROUND(E96/F96*100,1))</f>
        <v/>
      </c>
      <c r="H96">
        <f>IF($A96="","",IFERROR(INDEX(Papers!$F$2:$F$12,MATCH($C96,Papers!$A$2:$A$12,0)),""))</f>
        <v/>
      </c>
      <c r="I96">
        <f>IF($A96="","",IFERROR(SUMPRODUCT((INDEX(SubMap!$B$2:$AE$12,MATCH($C96,SubMap!$A$2:$A$12,0),0)=2)*Attempts!$AR96:$BU96),0))</f>
        <v/>
      </c>
      <c r="J96">
        <f>IF($A96="","",IFERROR(COUNTIF(INDEX(SubMap!$B$2:$AE$12,MATCH($C96,SubMap!$A$2:$A$12,0),0),2),0))</f>
        <v/>
      </c>
      <c r="K96">
        <f>IF(OR($A96="",J96=0),"",ROUND(I96/J96*100,1))</f>
        <v/>
      </c>
      <c r="L96">
        <f>IF($A96="","",IFERROR(INDEX(Papers!$G$2:$G$12,MATCH($C96,Papers!$A$2:$A$12,0)),""))</f>
        <v/>
      </c>
      <c r="M96">
        <f>IF($A96="","",IFERROR(SUMPRODUCT((INDEX(SubMap!$B$2:$AE$12,MATCH($C96,SubMap!$A$2:$A$12,0),0)=3)*Attempts!$AR96:$BU96),0))</f>
        <v/>
      </c>
      <c r="N96">
        <f>IF($A96="","",IFERROR(COUNTIF(INDEX(SubMap!$B$2:$AE$12,MATCH($C96,SubMap!$A$2:$A$12,0),0),3),0))</f>
        <v/>
      </c>
      <c r="O96">
        <f>IF(OR($A96="",N96=0),"",ROUND(M96/N96*100,1))</f>
        <v/>
      </c>
      <c r="P96">
        <f>IF($A96="","",IFERROR(INDEX(Papers!$H$2:$H$12,MATCH($C96,Papers!$A$2:$A$12,0)),""))</f>
        <v/>
      </c>
      <c r="Q96">
        <f>IF($A96="","",IFERROR(SUMPRODUCT((INDEX(SubMap!$B$2:$AE$12,MATCH($C96,SubMap!$A$2:$A$12,0),0)=4)*Attempts!$AR96:$BU96),0))</f>
        <v/>
      </c>
      <c r="R96">
        <f>IF($A96="","",IFERROR(COUNTIF(INDEX(SubMap!$B$2:$AE$12,MATCH($C96,SubMap!$A$2:$A$12,0),0),4),0))</f>
        <v/>
      </c>
      <c r="S96">
        <f>IF(OR($A96="",R96=0),"",ROUND(Q96/R96*100,1))</f>
        <v/>
      </c>
      <c r="T96">
        <f>IF($A96="","",IFERROR(INDEX(Papers!$I$2:$I$12,MATCH($C96,Papers!$A$2:$A$12,0)),""))</f>
        <v/>
      </c>
      <c r="U96">
        <f>IF($A96="","",IFERROR(SUMPRODUCT((INDEX(SubMap!$B$2:$AE$12,MATCH($C96,SubMap!$A$2:$A$12,0),0)=5)*Attempts!$AR96:$BU96),0))</f>
        <v/>
      </c>
      <c r="V96">
        <f>IF($A96="","",IFERROR(COUNTIF(INDEX(SubMap!$B$2:$AE$12,MATCH($C96,SubMap!$A$2:$A$12,0),0),5),0))</f>
        <v/>
      </c>
      <c r="W96">
        <f>IF(OR($A96="",V96=0),"",ROUND(U96/V96*100,1))</f>
        <v/>
      </c>
      <c r="X96">
        <f>IF($A96="","",IFERROR(INDEX(Papers!$J$2:$J$12,MATCH($C96,Papers!$A$2:$A$12,0)),""))</f>
        <v/>
      </c>
      <c r="Y96">
        <f>IF($A96="","",IFERROR(SUMPRODUCT((INDEX(SubMap!$B$2:$AE$12,MATCH($C96,SubMap!$A$2:$A$12,0),0)=6)*Attempts!$AR96:$BU96),0))</f>
        <v/>
      </c>
      <c r="Z96">
        <f>IF($A96="","",IFERROR(COUNTIF(INDEX(SubMap!$B$2:$AE$12,MATCH($C96,SubMap!$A$2:$A$12,0),0),6),0))</f>
        <v/>
      </c>
      <c r="AA96">
        <f>IF(OR($A96="",Z96=0),"",ROUND(Y96/Z96*100,1))</f>
        <v/>
      </c>
      <c r="AB96">
        <f>IF($A96="","",IFERROR(INDEX(CHOOSE({1,2,3,4,5,6},D96,H96,L96,P96,T96,X96),MATCH(MIN(G96,K96,O96,S96,W96,AA96),CHOOSE({1,2,3,4,5,6},G96,K96,O96,S96,W96,AA96),0)),""))</f>
        <v/>
      </c>
      <c r="AC96">
        <f>IF($A96="","",IF(COUNT(G96,K96,O96,S96,W96,AA96)=0,"",MIN(G96,K96,O96,S96,W96,AA96)))</f>
        <v/>
      </c>
      <c r="AD96">
        <f>IF($A96="","",IFERROR(INDEX(CHOOSE({1,2,3,4,5,6},IFERROR(INDEX(Papers!$K$2:$K$12,MATCH($C96,Papers!$A$2:$A$12,0)),""),IFERROR(INDEX(Papers!$L$2:$L$12,MATCH($C96,Papers!$A$2:$A$12,0)),""),IFERROR(INDEX(Papers!$M$2:$M$12,MATCH($C96,Papers!$A$2:$A$12,0)),""),IFERROR(INDEX(Papers!$N$2:$N$12,MATCH($C96,Papers!$A$2:$A$12,0)),""),IFERROR(INDEX(Papers!$O$2:$O$12,MATCH($C96,Papers!$A$2:$A$12,0)),""),IFERROR(INDEX(Papers!$P$2:$P$12,MATCH($C96,Papers!$A$2:$A$12,0)),"")),MATCH(MIN(G96,K96,O96,S96,W96,AA96),CHOOSE({1,2,3,4,5,6},G96,K96,O96,S96,W96,AA96),0)),""))</f>
        <v/>
      </c>
      <c r="AE96">
        <f>IF(AC96="","",IF(AC96&lt;50,"Re-teach",IF(AC96&lt;75,"Practice more","Relatively secure")))</f>
        <v/>
      </c>
    </row>
    <row r="97">
      <c r="A97">
        <f>IF(Attempts!A97="","",Attempts!A97)</f>
        <v/>
      </c>
      <c r="B97">
        <f>IF(Attempts!A97="","",Attempts!B97)</f>
        <v/>
      </c>
      <c r="C97">
        <f>IF(Attempts!A97="","",Attempts!D97)</f>
        <v/>
      </c>
      <c r="D97">
        <f>IF($A97="","",IFERROR(INDEX(Papers!$E$2:$E$12,MATCH($C97,Papers!$A$2:$A$12,0)),""))</f>
        <v/>
      </c>
      <c r="E97">
        <f>IF($A97="","",IFERROR(SUMPRODUCT((INDEX(SubMap!$B$2:$AE$12,MATCH($C97,SubMap!$A$2:$A$12,0),0)=1)*Attempts!$AR97:$BU97),0))</f>
        <v/>
      </c>
      <c r="F97">
        <f>IF($A97="","",IFERROR(COUNTIF(INDEX(SubMap!$B$2:$AE$12,MATCH($C97,SubMap!$A$2:$A$12,0),0),1),0))</f>
        <v/>
      </c>
      <c r="G97">
        <f>IF(OR($A97="",F97=0),"",ROUND(E97/F97*100,1))</f>
        <v/>
      </c>
      <c r="H97">
        <f>IF($A97="","",IFERROR(INDEX(Papers!$F$2:$F$12,MATCH($C97,Papers!$A$2:$A$12,0)),""))</f>
        <v/>
      </c>
      <c r="I97">
        <f>IF($A97="","",IFERROR(SUMPRODUCT((INDEX(SubMap!$B$2:$AE$12,MATCH($C97,SubMap!$A$2:$A$12,0),0)=2)*Attempts!$AR97:$BU97),0))</f>
        <v/>
      </c>
      <c r="J97">
        <f>IF($A97="","",IFERROR(COUNTIF(INDEX(SubMap!$B$2:$AE$12,MATCH($C97,SubMap!$A$2:$A$12,0),0),2),0))</f>
        <v/>
      </c>
      <c r="K97">
        <f>IF(OR($A97="",J97=0),"",ROUND(I97/J97*100,1))</f>
        <v/>
      </c>
      <c r="L97">
        <f>IF($A97="","",IFERROR(INDEX(Papers!$G$2:$G$12,MATCH($C97,Papers!$A$2:$A$12,0)),""))</f>
        <v/>
      </c>
      <c r="M97">
        <f>IF($A97="","",IFERROR(SUMPRODUCT((INDEX(SubMap!$B$2:$AE$12,MATCH($C97,SubMap!$A$2:$A$12,0),0)=3)*Attempts!$AR97:$BU97),0))</f>
        <v/>
      </c>
      <c r="N97">
        <f>IF($A97="","",IFERROR(COUNTIF(INDEX(SubMap!$B$2:$AE$12,MATCH($C97,SubMap!$A$2:$A$12,0),0),3),0))</f>
        <v/>
      </c>
      <c r="O97">
        <f>IF(OR($A97="",N97=0),"",ROUND(M97/N97*100,1))</f>
        <v/>
      </c>
      <c r="P97">
        <f>IF($A97="","",IFERROR(INDEX(Papers!$H$2:$H$12,MATCH($C97,Papers!$A$2:$A$12,0)),""))</f>
        <v/>
      </c>
      <c r="Q97">
        <f>IF($A97="","",IFERROR(SUMPRODUCT((INDEX(SubMap!$B$2:$AE$12,MATCH($C97,SubMap!$A$2:$A$12,0),0)=4)*Attempts!$AR97:$BU97),0))</f>
        <v/>
      </c>
      <c r="R97">
        <f>IF($A97="","",IFERROR(COUNTIF(INDEX(SubMap!$B$2:$AE$12,MATCH($C97,SubMap!$A$2:$A$12,0),0),4),0))</f>
        <v/>
      </c>
      <c r="S97">
        <f>IF(OR($A97="",R97=0),"",ROUND(Q97/R97*100,1))</f>
        <v/>
      </c>
      <c r="T97">
        <f>IF($A97="","",IFERROR(INDEX(Papers!$I$2:$I$12,MATCH($C97,Papers!$A$2:$A$12,0)),""))</f>
        <v/>
      </c>
      <c r="U97">
        <f>IF($A97="","",IFERROR(SUMPRODUCT((INDEX(SubMap!$B$2:$AE$12,MATCH($C97,SubMap!$A$2:$A$12,0),0)=5)*Attempts!$AR97:$BU97),0))</f>
        <v/>
      </c>
      <c r="V97">
        <f>IF($A97="","",IFERROR(COUNTIF(INDEX(SubMap!$B$2:$AE$12,MATCH($C97,SubMap!$A$2:$A$12,0),0),5),0))</f>
        <v/>
      </c>
      <c r="W97">
        <f>IF(OR($A97="",V97=0),"",ROUND(U97/V97*100,1))</f>
        <v/>
      </c>
      <c r="X97">
        <f>IF($A97="","",IFERROR(INDEX(Papers!$J$2:$J$12,MATCH($C97,Papers!$A$2:$A$12,0)),""))</f>
        <v/>
      </c>
      <c r="Y97">
        <f>IF($A97="","",IFERROR(SUMPRODUCT((INDEX(SubMap!$B$2:$AE$12,MATCH($C97,SubMap!$A$2:$A$12,0),0)=6)*Attempts!$AR97:$BU97),0))</f>
        <v/>
      </c>
      <c r="Z97">
        <f>IF($A97="","",IFERROR(COUNTIF(INDEX(SubMap!$B$2:$AE$12,MATCH($C97,SubMap!$A$2:$A$12,0),0),6),0))</f>
        <v/>
      </c>
      <c r="AA97">
        <f>IF(OR($A97="",Z97=0),"",ROUND(Y97/Z97*100,1))</f>
        <v/>
      </c>
      <c r="AB97">
        <f>IF($A97="","",IFERROR(INDEX(CHOOSE({1,2,3,4,5,6},D97,H97,L97,P97,T97,X97),MATCH(MIN(G97,K97,O97,S97,W97,AA97),CHOOSE({1,2,3,4,5,6},G97,K97,O97,S97,W97,AA97),0)),""))</f>
        <v/>
      </c>
      <c r="AC97">
        <f>IF($A97="","",IF(COUNT(G97,K97,O97,S97,W97,AA97)=0,"",MIN(G97,K97,O97,S97,W97,AA97)))</f>
        <v/>
      </c>
      <c r="AD97">
        <f>IF($A97="","",IFERROR(INDEX(CHOOSE({1,2,3,4,5,6},IFERROR(INDEX(Papers!$K$2:$K$12,MATCH($C97,Papers!$A$2:$A$12,0)),""),IFERROR(INDEX(Papers!$L$2:$L$12,MATCH($C97,Papers!$A$2:$A$12,0)),""),IFERROR(INDEX(Papers!$M$2:$M$12,MATCH($C97,Papers!$A$2:$A$12,0)),""),IFERROR(INDEX(Papers!$N$2:$N$12,MATCH($C97,Papers!$A$2:$A$12,0)),""),IFERROR(INDEX(Papers!$O$2:$O$12,MATCH($C97,Papers!$A$2:$A$12,0)),""),IFERROR(INDEX(Papers!$P$2:$P$12,MATCH($C97,Papers!$A$2:$A$12,0)),"")),MATCH(MIN(G97,K97,O97,S97,W97,AA97),CHOOSE({1,2,3,4,5,6},G97,K97,O97,S97,W97,AA97),0)),""))</f>
        <v/>
      </c>
      <c r="AE97">
        <f>IF(AC97="","",IF(AC97&lt;50,"Re-teach",IF(AC97&lt;75,"Practice more","Relatively secure")))</f>
        <v/>
      </c>
    </row>
    <row r="98">
      <c r="A98">
        <f>IF(Attempts!A98="","",Attempts!A98)</f>
        <v/>
      </c>
      <c r="B98">
        <f>IF(Attempts!A98="","",Attempts!B98)</f>
        <v/>
      </c>
      <c r="C98">
        <f>IF(Attempts!A98="","",Attempts!D98)</f>
        <v/>
      </c>
      <c r="D98">
        <f>IF($A98="","",IFERROR(INDEX(Papers!$E$2:$E$12,MATCH($C98,Papers!$A$2:$A$12,0)),""))</f>
        <v/>
      </c>
      <c r="E98">
        <f>IF($A98="","",IFERROR(SUMPRODUCT((INDEX(SubMap!$B$2:$AE$12,MATCH($C98,SubMap!$A$2:$A$12,0),0)=1)*Attempts!$AR98:$BU98),0))</f>
        <v/>
      </c>
      <c r="F98">
        <f>IF($A98="","",IFERROR(COUNTIF(INDEX(SubMap!$B$2:$AE$12,MATCH($C98,SubMap!$A$2:$A$12,0),0),1),0))</f>
        <v/>
      </c>
      <c r="G98">
        <f>IF(OR($A98="",F98=0),"",ROUND(E98/F98*100,1))</f>
        <v/>
      </c>
      <c r="H98">
        <f>IF($A98="","",IFERROR(INDEX(Papers!$F$2:$F$12,MATCH($C98,Papers!$A$2:$A$12,0)),""))</f>
        <v/>
      </c>
      <c r="I98">
        <f>IF($A98="","",IFERROR(SUMPRODUCT((INDEX(SubMap!$B$2:$AE$12,MATCH($C98,SubMap!$A$2:$A$12,0),0)=2)*Attempts!$AR98:$BU98),0))</f>
        <v/>
      </c>
      <c r="J98">
        <f>IF($A98="","",IFERROR(COUNTIF(INDEX(SubMap!$B$2:$AE$12,MATCH($C98,SubMap!$A$2:$A$12,0),0),2),0))</f>
        <v/>
      </c>
      <c r="K98">
        <f>IF(OR($A98="",J98=0),"",ROUND(I98/J98*100,1))</f>
        <v/>
      </c>
      <c r="L98">
        <f>IF($A98="","",IFERROR(INDEX(Papers!$G$2:$G$12,MATCH($C98,Papers!$A$2:$A$12,0)),""))</f>
        <v/>
      </c>
      <c r="M98">
        <f>IF($A98="","",IFERROR(SUMPRODUCT((INDEX(SubMap!$B$2:$AE$12,MATCH($C98,SubMap!$A$2:$A$12,0),0)=3)*Attempts!$AR98:$BU98),0))</f>
        <v/>
      </c>
      <c r="N98">
        <f>IF($A98="","",IFERROR(COUNTIF(INDEX(SubMap!$B$2:$AE$12,MATCH($C98,SubMap!$A$2:$A$12,0),0),3),0))</f>
        <v/>
      </c>
      <c r="O98">
        <f>IF(OR($A98="",N98=0),"",ROUND(M98/N98*100,1))</f>
        <v/>
      </c>
      <c r="P98">
        <f>IF($A98="","",IFERROR(INDEX(Papers!$H$2:$H$12,MATCH($C98,Papers!$A$2:$A$12,0)),""))</f>
        <v/>
      </c>
      <c r="Q98">
        <f>IF($A98="","",IFERROR(SUMPRODUCT((INDEX(SubMap!$B$2:$AE$12,MATCH($C98,SubMap!$A$2:$A$12,0),0)=4)*Attempts!$AR98:$BU98),0))</f>
        <v/>
      </c>
      <c r="R98">
        <f>IF($A98="","",IFERROR(COUNTIF(INDEX(SubMap!$B$2:$AE$12,MATCH($C98,SubMap!$A$2:$A$12,0),0),4),0))</f>
        <v/>
      </c>
      <c r="S98">
        <f>IF(OR($A98="",R98=0),"",ROUND(Q98/R98*100,1))</f>
        <v/>
      </c>
      <c r="T98">
        <f>IF($A98="","",IFERROR(INDEX(Papers!$I$2:$I$12,MATCH($C98,Papers!$A$2:$A$12,0)),""))</f>
        <v/>
      </c>
      <c r="U98">
        <f>IF($A98="","",IFERROR(SUMPRODUCT((INDEX(SubMap!$B$2:$AE$12,MATCH($C98,SubMap!$A$2:$A$12,0),0)=5)*Attempts!$AR98:$BU98),0))</f>
        <v/>
      </c>
      <c r="V98">
        <f>IF($A98="","",IFERROR(COUNTIF(INDEX(SubMap!$B$2:$AE$12,MATCH($C98,SubMap!$A$2:$A$12,0),0),5),0))</f>
        <v/>
      </c>
      <c r="W98">
        <f>IF(OR($A98="",V98=0),"",ROUND(U98/V98*100,1))</f>
        <v/>
      </c>
      <c r="X98">
        <f>IF($A98="","",IFERROR(INDEX(Papers!$J$2:$J$12,MATCH($C98,Papers!$A$2:$A$12,0)),""))</f>
        <v/>
      </c>
      <c r="Y98">
        <f>IF($A98="","",IFERROR(SUMPRODUCT((INDEX(SubMap!$B$2:$AE$12,MATCH($C98,SubMap!$A$2:$A$12,0),0)=6)*Attempts!$AR98:$BU98),0))</f>
        <v/>
      </c>
      <c r="Z98">
        <f>IF($A98="","",IFERROR(COUNTIF(INDEX(SubMap!$B$2:$AE$12,MATCH($C98,SubMap!$A$2:$A$12,0),0),6),0))</f>
        <v/>
      </c>
      <c r="AA98">
        <f>IF(OR($A98="",Z98=0),"",ROUND(Y98/Z98*100,1))</f>
        <v/>
      </c>
      <c r="AB98">
        <f>IF($A98="","",IFERROR(INDEX(CHOOSE({1,2,3,4,5,6},D98,H98,L98,P98,T98,X98),MATCH(MIN(G98,K98,O98,S98,W98,AA98),CHOOSE({1,2,3,4,5,6},G98,K98,O98,S98,W98,AA98),0)),""))</f>
        <v/>
      </c>
      <c r="AC98">
        <f>IF($A98="","",IF(COUNT(G98,K98,O98,S98,W98,AA98)=0,"",MIN(G98,K98,O98,S98,W98,AA98)))</f>
        <v/>
      </c>
      <c r="AD98">
        <f>IF($A98="","",IFERROR(INDEX(CHOOSE({1,2,3,4,5,6},IFERROR(INDEX(Papers!$K$2:$K$12,MATCH($C98,Papers!$A$2:$A$12,0)),""),IFERROR(INDEX(Papers!$L$2:$L$12,MATCH($C98,Papers!$A$2:$A$12,0)),""),IFERROR(INDEX(Papers!$M$2:$M$12,MATCH($C98,Papers!$A$2:$A$12,0)),""),IFERROR(INDEX(Papers!$N$2:$N$12,MATCH($C98,Papers!$A$2:$A$12,0)),""),IFERROR(INDEX(Papers!$O$2:$O$12,MATCH($C98,Papers!$A$2:$A$12,0)),""),IFERROR(INDEX(Papers!$P$2:$P$12,MATCH($C98,Papers!$A$2:$A$12,0)),"")),MATCH(MIN(G98,K98,O98,S98,W98,AA98),CHOOSE({1,2,3,4,5,6},G98,K98,O98,S98,W98,AA98),0)),""))</f>
        <v/>
      </c>
      <c r="AE98">
        <f>IF(AC98="","",IF(AC98&lt;50,"Re-teach",IF(AC98&lt;75,"Practice more","Relatively secure")))</f>
        <v/>
      </c>
    </row>
    <row r="99">
      <c r="A99">
        <f>IF(Attempts!A99="","",Attempts!A99)</f>
        <v/>
      </c>
      <c r="B99">
        <f>IF(Attempts!A99="","",Attempts!B99)</f>
        <v/>
      </c>
      <c r="C99">
        <f>IF(Attempts!A99="","",Attempts!D99)</f>
        <v/>
      </c>
      <c r="D99">
        <f>IF($A99="","",IFERROR(INDEX(Papers!$E$2:$E$12,MATCH($C99,Papers!$A$2:$A$12,0)),""))</f>
        <v/>
      </c>
      <c r="E99">
        <f>IF($A99="","",IFERROR(SUMPRODUCT((INDEX(SubMap!$B$2:$AE$12,MATCH($C99,SubMap!$A$2:$A$12,0),0)=1)*Attempts!$AR99:$BU99),0))</f>
        <v/>
      </c>
      <c r="F99">
        <f>IF($A99="","",IFERROR(COUNTIF(INDEX(SubMap!$B$2:$AE$12,MATCH($C99,SubMap!$A$2:$A$12,0),0),1),0))</f>
        <v/>
      </c>
      <c r="G99">
        <f>IF(OR($A99="",F99=0),"",ROUND(E99/F99*100,1))</f>
        <v/>
      </c>
      <c r="H99">
        <f>IF($A99="","",IFERROR(INDEX(Papers!$F$2:$F$12,MATCH($C99,Papers!$A$2:$A$12,0)),""))</f>
        <v/>
      </c>
      <c r="I99">
        <f>IF($A99="","",IFERROR(SUMPRODUCT((INDEX(SubMap!$B$2:$AE$12,MATCH($C99,SubMap!$A$2:$A$12,0),0)=2)*Attempts!$AR99:$BU99),0))</f>
        <v/>
      </c>
      <c r="J99">
        <f>IF($A99="","",IFERROR(COUNTIF(INDEX(SubMap!$B$2:$AE$12,MATCH($C99,SubMap!$A$2:$A$12,0),0),2),0))</f>
        <v/>
      </c>
      <c r="K99">
        <f>IF(OR($A99="",J99=0),"",ROUND(I99/J99*100,1))</f>
        <v/>
      </c>
      <c r="L99">
        <f>IF($A99="","",IFERROR(INDEX(Papers!$G$2:$G$12,MATCH($C99,Papers!$A$2:$A$12,0)),""))</f>
        <v/>
      </c>
      <c r="M99">
        <f>IF($A99="","",IFERROR(SUMPRODUCT((INDEX(SubMap!$B$2:$AE$12,MATCH($C99,SubMap!$A$2:$A$12,0),0)=3)*Attempts!$AR99:$BU99),0))</f>
        <v/>
      </c>
      <c r="N99">
        <f>IF($A99="","",IFERROR(COUNTIF(INDEX(SubMap!$B$2:$AE$12,MATCH($C99,SubMap!$A$2:$A$12,0),0),3),0))</f>
        <v/>
      </c>
      <c r="O99">
        <f>IF(OR($A99="",N99=0),"",ROUND(M99/N99*100,1))</f>
        <v/>
      </c>
      <c r="P99">
        <f>IF($A99="","",IFERROR(INDEX(Papers!$H$2:$H$12,MATCH($C99,Papers!$A$2:$A$12,0)),""))</f>
        <v/>
      </c>
      <c r="Q99">
        <f>IF($A99="","",IFERROR(SUMPRODUCT((INDEX(SubMap!$B$2:$AE$12,MATCH($C99,SubMap!$A$2:$A$12,0),0)=4)*Attempts!$AR99:$BU99),0))</f>
        <v/>
      </c>
      <c r="R99">
        <f>IF($A99="","",IFERROR(COUNTIF(INDEX(SubMap!$B$2:$AE$12,MATCH($C99,SubMap!$A$2:$A$12,0),0),4),0))</f>
        <v/>
      </c>
      <c r="S99">
        <f>IF(OR($A99="",R99=0),"",ROUND(Q99/R99*100,1))</f>
        <v/>
      </c>
      <c r="T99">
        <f>IF($A99="","",IFERROR(INDEX(Papers!$I$2:$I$12,MATCH($C99,Papers!$A$2:$A$12,0)),""))</f>
        <v/>
      </c>
      <c r="U99">
        <f>IF($A99="","",IFERROR(SUMPRODUCT((INDEX(SubMap!$B$2:$AE$12,MATCH($C99,SubMap!$A$2:$A$12,0),0)=5)*Attempts!$AR99:$BU99),0))</f>
        <v/>
      </c>
      <c r="V99">
        <f>IF($A99="","",IFERROR(COUNTIF(INDEX(SubMap!$B$2:$AE$12,MATCH($C99,SubMap!$A$2:$A$12,0),0),5),0))</f>
        <v/>
      </c>
      <c r="W99">
        <f>IF(OR($A99="",V99=0),"",ROUND(U99/V99*100,1))</f>
        <v/>
      </c>
      <c r="X99">
        <f>IF($A99="","",IFERROR(INDEX(Papers!$J$2:$J$12,MATCH($C99,Papers!$A$2:$A$12,0)),""))</f>
        <v/>
      </c>
      <c r="Y99">
        <f>IF($A99="","",IFERROR(SUMPRODUCT((INDEX(SubMap!$B$2:$AE$12,MATCH($C99,SubMap!$A$2:$A$12,0),0)=6)*Attempts!$AR99:$BU99),0))</f>
        <v/>
      </c>
      <c r="Z99">
        <f>IF($A99="","",IFERROR(COUNTIF(INDEX(SubMap!$B$2:$AE$12,MATCH($C99,SubMap!$A$2:$A$12,0),0),6),0))</f>
        <v/>
      </c>
      <c r="AA99">
        <f>IF(OR($A99="",Z99=0),"",ROUND(Y99/Z99*100,1))</f>
        <v/>
      </c>
      <c r="AB99">
        <f>IF($A99="","",IFERROR(INDEX(CHOOSE({1,2,3,4,5,6},D99,H99,L99,P99,T99,X99),MATCH(MIN(G99,K99,O99,S99,W99,AA99),CHOOSE({1,2,3,4,5,6},G99,K99,O99,S99,W99,AA99),0)),""))</f>
        <v/>
      </c>
      <c r="AC99">
        <f>IF($A99="","",IF(COUNT(G99,K99,O99,S99,W99,AA99)=0,"",MIN(G99,K99,O99,S99,W99,AA99)))</f>
        <v/>
      </c>
      <c r="AD99">
        <f>IF($A99="","",IFERROR(INDEX(CHOOSE({1,2,3,4,5,6},IFERROR(INDEX(Papers!$K$2:$K$12,MATCH($C99,Papers!$A$2:$A$12,0)),""),IFERROR(INDEX(Papers!$L$2:$L$12,MATCH($C99,Papers!$A$2:$A$12,0)),""),IFERROR(INDEX(Papers!$M$2:$M$12,MATCH($C99,Papers!$A$2:$A$12,0)),""),IFERROR(INDEX(Papers!$N$2:$N$12,MATCH($C99,Papers!$A$2:$A$12,0)),""),IFERROR(INDEX(Papers!$O$2:$O$12,MATCH($C99,Papers!$A$2:$A$12,0)),""),IFERROR(INDEX(Papers!$P$2:$P$12,MATCH($C99,Papers!$A$2:$A$12,0)),"")),MATCH(MIN(G99,K99,O99,S99,W99,AA99),CHOOSE({1,2,3,4,5,6},G99,K99,O99,S99,W99,AA99),0)),""))</f>
        <v/>
      </c>
      <c r="AE99">
        <f>IF(AC99="","",IF(AC99&lt;50,"Re-teach",IF(AC99&lt;75,"Practice more","Relatively secure")))</f>
        <v/>
      </c>
    </row>
    <row r="100">
      <c r="A100">
        <f>IF(Attempts!A100="","",Attempts!A100)</f>
        <v/>
      </c>
      <c r="B100">
        <f>IF(Attempts!A100="","",Attempts!B100)</f>
        <v/>
      </c>
      <c r="C100">
        <f>IF(Attempts!A100="","",Attempts!D100)</f>
        <v/>
      </c>
      <c r="D100">
        <f>IF($A100="","",IFERROR(INDEX(Papers!$E$2:$E$12,MATCH($C100,Papers!$A$2:$A$12,0)),""))</f>
        <v/>
      </c>
      <c r="E100">
        <f>IF($A100="","",IFERROR(SUMPRODUCT((INDEX(SubMap!$B$2:$AE$12,MATCH($C100,SubMap!$A$2:$A$12,0),0)=1)*Attempts!$AR100:$BU100),0))</f>
        <v/>
      </c>
      <c r="F100">
        <f>IF($A100="","",IFERROR(COUNTIF(INDEX(SubMap!$B$2:$AE$12,MATCH($C100,SubMap!$A$2:$A$12,0),0),1),0))</f>
        <v/>
      </c>
      <c r="G100">
        <f>IF(OR($A100="",F100=0),"",ROUND(E100/F100*100,1))</f>
        <v/>
      </c>
      <c r="H100">
        <f>IF($A100="","",IFERROR(INDEX(Papers!$F$2:$F$12,MATCH($C100,Papers!$A$2:$A$12,0)),""))</f>
        <v/>
      </c>
      <c r="I100">
        <f>IF($A100="","",IFERROR(SUMPRODUCT((INDEX(SubMap!$B$2:$AE$12,MATCH($C100,SubMap!$A$2:$A$12,0),0)=2)*Attempts!$AR100:$BU100),0))</f>
        <v/>
      </c>
      <c r="J100">
        <f>IF($A100="","",IFERROR(COUNTIF(INDEX(SubMap!$B$2:$AE$12,MATCH($C100,SubMap!$A$2:$A$12,0),0),2),0))</f>
        <v/>
      </c>
      <c r="K100">
        <f>IF(OR($A100="",J100=0),"",ROUND(I100/J100*100,1))</f>
        <v/>
      </c>
      <c r="L100">
        <f>IF($A100="","",IFERROR(INDEX(Papers!$G$2:$G$12,MATCH($C100,Papers!$A$2:$A$12,0)),""))</f>
        <v/>
      </c>
      <c r="M100">
        <f>IF($A100="","",IFERROR(SUMPRODUCT((INDEX(SubMap!$B$2:$AE$12,MATCH($C100,SubMap!$A$2:$A$12,0),0)=3)*Attempts!$AR100:$BU100),0))</f>
        <v/>
      </c>
      <c r="N100">
        <f>IF($A100="","",IFERROR(COUNTIF(INDEX(SubMap!$B$2:$AE$12,MATCH($C100,SubMap!$A$2:$A$12,0),0),3),0))</f>
        <v/>
      </c>
      <c r="O100">
        <f>IF(OR($A100="",N100=0),"",ROUND(M100/N100*100,1))</f>
        <v/>
      </c>
      <c r="P100">
        <f>IF($A100="","",IFERROR(INDEX(Papers!$H$2:$H$12,MATCH($C100,Papers!$A$2:$A$12,0)),""))</f>
        <v/>
      </c>
      <c r="Q100">
        <f>IF($A100="","",IFERROR(SUMPRODUCT((INDEX(SubMap!$B$2:$AE$12,MATCH($C100,SubMap!$A$2:$A$12,0),0)=4)*Attempts!$AR100:$BU100),0))</f>
        <v/>
      </c>
      <c r="R100">
        <f>IF($A100="","",IFERROR(COUNTIF(INDEX(SubMap!$B$2:$AE$12,MATCH($C100,SubMap!$A$2:$A$12,0),0),4),0))</f>
        <v/>
      </c>
      <c r="S100">
        <f>IF(OR($A100="",R100=0),"",ROUND(Q100/R100*100,1))</f>
        <v/>
      </c>
      <c r="T100">
        <f>IF($A100="","",IFERROR(INDEX(Papers!$I$2:$I$12,MATCH($C100,Papers!$A$2:$A$12,0)),""))</f>
        <v/>
      </c>
      <c r="U100">
        <f>IF($A100="","",IFERROR(SUMPRODUCT((INDEX(SubMap!$B$2:$AE$12,MATCH($C100,SubMap!$A$2:$A$12,0),0)=5)*Attempts!$AR100:$BU100),0))</f>
        <v/>
      </c>
      <c r="V100">
        <f>IF($A100="","",IFERROR(COUNTIF(INDEX(SubMap!$B$2:$AE$12,MATCH($C100,SubMap!$A$2:$A$12,0),0),5),0))</f>
        <v/>
      </c>
      <c r="W100">
        <f>IF(OR($A100="",V100=0),"",ROUND(U100/V100*100,1))</f>
        <v/>
      </c>
      <c r="X100">
        <f>IF($A100="","",IFERROR(INDEX(Papers!$J$2:$J$12,MATCH($C100,Papers!$A$2:$A$12,0)),""))</f>
        <v/>
      </c>
      <c r="Y100">
        <f>IF($A100="","",IFERROR(SUMPRODUCT((INDEX(SubMap!$B$2:$AE$12,MATCH($C100,SubMap!$A$2:$A$12,0),0)=6)*Attempts!$AR100:$BU100),0))</f>
        <v/>
      </c>
      <c r="Z100">
        <f>IF($A100="","",IFERROR(COUNTIF(INDEX(SubMap!$B$2:$AE$12,MATCH($C100,SubMap!$A$2:$A$12,0),0),6),0))</f>
        <v/>
      </c>
      <c r="AA100">
        <f>IF(OR($A100="",Z100=0),"",ROUND(Y100/Z100*100,1))</f>
        <v/>
      </c>
      <c r="AB100">
        <f>IF($A100="","",IFERROR(INDEX(CHOOSE({1,2,3,4,5,6},D100,H100,L100,P100,T100,X100),MATCH(MIN(G100,K100,O100,S100,W100,AA100),CHOOSE({1,2,3,4,5,6},G100,K100,O100,S100,W100,AA100),0)),""))</f>
        <v/>
      </c>
      <c r="AC100">
        <f>IF($A100="","",IF(COUNT(G100,K100,O100,S100,W100,AA100)=0,"",MIN(G100,K100,O100,S100,W100,AA100)))</f>
        <v/>
      </c>
      <c r="AD100">
        <f>IF($A100="","",IFERROR(INDEX(CHOOSE({1,2,3,4,5,6},IFERROR(INDEX(Papers!$K$2:$K$12,MATCH($C100,Papers!$A$2:$A$12,0)),""),IFERROR(INDEX(Papers!$L$2:$L$12,MATCH($C100,Papers!$A$2:$A$12,0)),""),IFERROR(INDEX(Papers!$M$2:$M$12,MATCH($C100,Papers!$A$2:$A$12,0)),""),IFERROR(INDEX(Papers!$N$2:$N$12,MATCH($C100,Papers!$A$2:$A$12,0)),""),IFERROR(INDEX(Papers!$O$2:$O$12,MATCH($C100,Papers!$A$2:$A$12,0)),""),IFERROR(INDEX(Papers!$P$2:$P$12,MATCH($C100,Papers!$A$2:$A$12,0)),"")),MATCH(MIN(G100,K100,O100,S100,W100,AA100),CHOOSE({1,2,3,4,5,6},G100,K100,O100,S100,W100,AA100),0)),""))</f>
        <v/>
      </c>
      <c r="AE100">
        <f>IF(AC100="","",IF(AC100&lt;50,"Re-teach",IF(AC100&lt;75,"Practice more","Relatively secure")))</f>
        <v/>
      </c>
    </row>
    <row r="101">
      <c r="A101">
        <f>IF(Attempts!A101="","",Attempts!A101)</f>
        <v/>
      </c>
      <c r="B101">
        <f>IF(Attempts!A101="","",Attempts!B101)</f>
        <v/>
      </c>
      <c r="C101">
        <f>IF(Attempts!A101="","",Attempts!D101)</f>
        <v/>
      </c>
      <c r="D101">
        <f>IF($A101="","",IFERROR(INDEX(Papers!$E$2:$E$12,MATCH($C101,Papers!$A$2:$A$12,0)),""))</f>
        <v/>
      </c>
      <c r="E101">
        <f>IF($A101="","",IFERROR(SUMPRODUCT((INDEX(SubMap!$B$2:$AE$12,MATCH($C101,SubMap!$A$2:$A$12,0),0)=1)*Attempts!$AR101:$BU101),0))</f>
        <v/>
      </c>
      <c r="F101">
        <f>IF($A101="","",IFERROR(COUNTIF(INDEX(SubMap!$B$2:$AE$12,MATCH($C101,SubMap!$A$2:$A$12,0),0),1),0))</f>
        <v/>
      </c>
      <c r="G101">
        <f>IF(OR($A101="",F101=0),"",ROUND(E101/F101*100,1))</f>
        <v/>
      </c>
      <c r="H101">
        <f>IF($A101="","",IFERROR(INDEX(Papers!$F$2:$F$12,MATCH($C101,Papers!$A$2:$A$12,0)),""))</f>
        <v/>
      </c>
      <c r="I101">
        <f>IF($A101="","",IFERROR(SUMPRODUCT((INDEX(SubMap!$B$2:$AE$12,MATCH($C101,SubMap!$A$2:$A$12,0),0)=2)*Attempts!$AR101:$BU101),0))</f>
        <v/>
      </c>
      <c r="J101">
        <f>IF($A101="","",IFERROR(COUNTIF(INDEX(SubMap!$B$2:$AE$12,MATCH($C101,SubMap!$A$2:$A$12,0),0),2),0))</f>
        <v/>
      </c>
      <c r="K101">
        <f>IF(OR($A101="",J101=0),"",ROUND(I101/J101*100,1))</f>
        <v/>
      </c>
      <c r="L101">
        <f>IF($A101="","",IFERROR(INDEX(Papers!$G$2:$G$12,MATCH($C101,Papers!$A$2:$A$12,0)),""))</f>
        <v/>
      </c>
      <c r="M101">
        <f>IF($A101="","",IFERROR(SUMPRODUCT((INDEX(SubMap!$B$2:$AE$12,MATCH($C101,SubMap!$A$2:$A$12,0),0)=3)*Attempts!$AR101:$BU101),0))</f>
        <v/>
      </c>
      <c r="N101">
        <f>IF($A101="","",IFERROR(COUNTIF(INDEX(SubMap!$B$2:$AE$12,MATCH($C101,SubMap!$A$2:$A$12,0),0),3),0))</f>
        <v/>
      </c>
      <c r="O101">
        <f>IF(OR($A101="",N101=0),"",ROUND(M101/N101*100,1))</f>
        <v/>
      </c>
      <c r="P101">
        <f>IF($A101="","",IFERROR(INDEX(Papers!$H$2:$H$12,MATCH($C101,Papers!$A$2:$A$12,0)),""))</f>
        <v/>
      </c>
      <c r="Q101">
        <f>IF($A101="","",IFERROR(SUMPRODUCT((INDEX(SubMap!$B$2:$AE$12,MATCH($C101,SubMap!$A$2:$A$12,0),0)=4)*Attempts!$AR101:$BU101),0))</f>
        <v/>
      </c>
      <c r="R101">
        <f>IF($A101="","",IFERROR(COUNTIF(INDEX(SubMap!$B$2:$AE$12,MATCH($C101,SubMap!$A$2:$A$12,0),0),4),0))</f>
        <v/>
      </c>
      <c r="S101">
        <f>IF(OR($A101="",R101=0),"",ROUND(Q101/R101*100,1))</f>
        <v/>
      </c>
      <c r="T101">
        <f>IF($A101="","",IFERROR(INDEX(Papers!$I$2:$I$12,MATCH($C101,Papers!$A$2:$A$12,0)),""))</f>
        <v/>
      </c>
      <c r="U101">
        <f>IF($A101="","",IFERROR(SUMPRODUCT((INDEX(SubMap!$B$2:$AE$12,MATCH($C101,SubMap!$A$2:$A$12,0),0)=5)*Attempts!$AR101:$BU101),0))</f>
        <v/>
      </c>
      <c r="V101">
        <f>IF($A101="","",IFERROR(COUNTIF(INDEX(SubMap!$B$2:$AE$12,MATCH($C101,SubMap!$A$2:$A$12,0),0),5),0))</f>
        <v/>
      </c>
      <c r="W101">
        <f>IF(OR($A101="",V101=0),"",ROUND(U101/V101*100,1))</f>
        <v/>
      </c>
      <c r="X101">
        <f>IF($A101="","",IFERROR(INDEX(Papers!$J$2:$J$12,MATCH($C101,Papers!$A$2:$A$12,0)),""))</f>
        <v/>
      </c>
      <c r="Y101">
        <f>IF($A101="","",IFERROR(SUMPRODUCT((INDEX(SubMap!$B$2:$AE$12,MATCH($C101,SubMap!$A$2:$A$12,0),0)=6)*Attempts!$AR101:$BU101),0))</f>
        <v/>
      </c>
      <c r="Z101">
        <f>IF($A101="","",IFERROR(COUNTIF(INDEX(SubMap!$B$2:$AE$12,MATCH($C101,SubMap!$A$2:$A$12,0),0),6),0))</f>
        <v/>
      </c>
      <c r="AA101">
        <f>IF(OR($A101="",Z101=0),"",ROUND(Y101/Z101*100,1))</f>
        <v/>
      </c>
      <c r="AB101">
        <f>IF($A101="","",IFERROR(INDEX(CHOOSE({1,2,3,4,5,6},D101,H101,L101,P101,T101,X101),MATCH(MIN(G101,K101,O101,S101,W101,AA101),CHOOSE({1,2,3,4,5,6},G101,K101,O101,S101,W101,AA101),0)),""))</f>
        <v/>
      </c>
      <c r="AC101">
        <f>IF($A101="","",IF(COUNT(G101,K101,O101,S101,W101,AA101)=0,"",MIN(G101,K101,O101,S101,W101,AA101)))</f>
        <v/>
      </c>
      <c r="AD101">
        <f>IF($A101="","",IFERROR(INDEX(CHOOSE({1,2,3,4,5,6},IFERROR(INDEX(Papers!$K$2:$K$12,MATCH($C101,Papers!$A$2:$A$12,0)),""),IFERROR(INDEX(Papers!$L$2:$L$12,MATCH($C101,Papers!$A$2:$A$12,0)),""),IFERROR(INDEX(Papers!$M$2:$M$12,MATCH($C101,Papers!$A$2:$A$12,0)),""),IFERROR(INDEX(Papers!$N$2:$N$12,MATCH($C101,Papers!$A$2:$A$12,0)),""),IFERROR(INDEX(Papers!$O$2:$O$12,MATCH($C101,Papers!$A$2:$A$12,0)),""),IFERROR(INDEX(Papers!$P$2:$P$12,MATCH($C101,Papers!$A$2:$A$12,0)),"")),MATCH(MIN(G101,K101,O101,S101,W101,AA101),CHOOSE({1,2,3,4,5,6},G101,K101,O101,S101,W101,AA101),0)),""))</f>
        <v/>
      </c>
      <c r="AE101">
        <f>IF(AC101="","",IF(AC101&lt;50,"Re-teach",IF(AC101&lt;75,"Practice more","Relatively secure")))</f>
        <v/>
      </c>
    </row>
    <row r="102">
      <c r="A102">
        <f>IF(Attempts!A102="","",Attempts!A102)</f>
        <v/>
      </c>
      <c r="B102">
        <f>IF(Attempts!A102="","",Attempts!B102)</f>
        <v/>
      </c>
      <c r="C102">
        <f>IF(Attempts!A102="","",Attempts!D102)</f>
        <v/>
      </c>
      <c r="D102">
        <f>IF($A102="","",IFERROR(INDEX(Papers!$E$2:$E$12,MATCH($C102,Papers!$A$2:$A$12,0)),""))</f>
        <v/>
      </c>
      <c r="E102">
        <f>IF($A102="","",IFERROR(SUMPRODUCT((INDEX(SubMap!$B$2:$AE$12,MATCH($C102,SubMap!$A$2:$A$12,0),0)=1)*Attempts!$AR102:$BU102),0))</f>
        <v/>
      </c>
      <c r="F102">
        <f>IF($A102="","",IFERROR(COUNTIF(INDEX(SubMap!$B$2:$AE$12,MATCH($C102,SubMap!$A$2:$A$12,0),0),1),0))</f>
        <v/>
      </c>
      <c r="G102">
        <f>IF(OR($A102="",F102=0),"",ROUND(E102/F102*100,1))</f>
        <v/>
      </c>
      <c r="H102">
        <f>IF($A102="","",IFERROR(INDEX(Papers!$F$2:$F$12,MATCH($C102,Papers!$A$2:$A$12,0)),""))</f>
        <v/>
      </c>
      <c r="I102">
        <f>IF($A102="","",IFERROR(SUMPRODUCT((INDEX(SubMap!$B$2:$AE$12,MATCH($C102,SubMap!$A$2:$A$12,0),0)=2)*Attempts!$AR102:$BU102),0))</f>
        <v/>
      </c>
      <c r="J102">
        <f>IF($A102="","",IFERROR(COUNTIF(INDEX(SubMap!$B$2:$AE$12,MATCH($C102,SubMap!$A$2:$A$12,0),0),2),0))</f>
        <v/>
      </c>
      <c r="K102">
        <f>IF(OR($A102="",J102=0),"",ROUND(I102/J102*100,1))</f>
        <v/>
      </c>
      <c r="L102">
        <f>IF($A102="","",IFERROR(INDEX(Papers!$G$2:$G$12,MATCH($C102,Papers!$A$2:$A$12,0)),""))</f>
        <v/>
      </c>
      <c r="M102">
        <f>IF($A102="","",IFERROR(SUMPRODUCT((INDEX(SubMap!$B$2:$AE$12,MATCH($C102,SubMap!$A$2:$A$12,0),0)=3)*Attempts!$AR102:$BU102),0))</f>
        <v/>
      </c>
      <c r="N102">
        <f>IF($A102="","",IFERROR(COUNTIF(INDEX(SubMap!$B$2:$AE$12,MATCH($C102,SubMap!$A$2:$A$12,0),0),3),0))</f>
        <v/>
      </c>
      <c r="O102">
        <f>IF(OR($A102="",N102=0),"",ROUND(M102/N102*100,1))</f>
        <v/>
      </c>
      <c r="P102">
        <f>IF($A102="","",IFERROR(INDEX(Papers!$H$2:$H$12,MATCH($C102,Papers!$A$2:$A$12,0)),""))</f>
        <v/>
      </c>
      <c r="Q102">
        <f>IF($A102="","",IFERROR(SUMPRODUCT((INDEX(SubMap!$B$2:$AE$12,MATCH($C102,SubMap!$A$2:$A$12,0),0)=4)*Attempts!$AR102:$BU102),0))</f>
        <v/>
      </c>
      <c r="R102">
        <f>IF($A102="","",IFERROR(COUNTIF(INDEX(SubMap!$B$2:$AE$12,MATCH($C102,SubMap!$A$2:$A$12,0),0),4),0))</f>
        <v/>
      </c>
      <c r="S102">
        <f>IF(OR($A102="",R102=0),"",ROUND(Q102/R102*100,1))</f>
        <v/>
      </c>
      <c r="T102">
        <f>IF($A102="","",IFERROR(INDEX(Papers!$I$2:$I$12,MATCH($C102,Papers!$A$2:$A$12,0)),""))</f>
        <v/>
      </c>
      <c r="U102">
        <f>IF($A102="","",IFERROR(SUMPRODUCT((INDEX(SubMap!$B$2:$AE$12,MATCH($C102,SubMap!$A$2:$A$12,0),0)=5)*Attempts!$AR102:$BU102),0))</f>
        <v/>
      </c>
      <c r="V102">
        <f>IF($A102="","",IFERROR(COUNTIF(INDEX(SubMap!$B$2:$AE$12,MATCH($C102,SubMap!$A$2:$A$12,0),0),5),0))</f>
        <v/>
      </c>
      <c r="W102">
        <f>IF(OR($A102="",V102=0),"",ROUND(U102/V102*100,1))</f>
        <v/>
      </c>
      <c r="X102">
        <f>IF($A102="","",IFERROR(INDEX(Papers!$J$2:$J$12,MATCH($C102,Papers!$A$2:$A$12,0)),""))</f>
        <v/>
      </c>
      <c r="Y102">
        <f>IF($A102="","",IFERROR(SUMPRODUCT((INDEX(SubMap!$B$2:$AE$12,MATCH($C102,SubMap!$A$2:$A$12,0),0)=6)*Attempts!$AR102:$BU102),0))</f>
        <v/>
      </c>
      <c r="Z102">
        <f>IF($A102="","",IFERROR(COUNTIF(INDEX(SubMap!$B$2:$AE$12,MATCH($C102,SubMap!$A$2:$A$12,0),0),6),0))</f>
        <v/>
      </c>
      <c r="AA102">
        <f>IF(OR($A102="",Z102=0),"",ROUND(Y102/Z102*100,1))</f>
        <v/>
      </c>
      <c r="AB102">
        <f>IF($A102="","",IFERROR(INDEX(CHOOSE({1,2,3,4,5,6},D102,H102,L102,P102,T102,X102),MATCH(MIN(G102,K102,O102,S102,W102,AA102),CHOOSE({1,2,3,4,5,6},G102,K102,O102,S102,W102,AA102),0)),""))</f>
        <v/>
      </c>
      <c r="AC102">
        <f>IF($A102="","",IF(COUNT(G102,K102,O102,S102,W102,AA102)=0,"",MIN(G102,K102,O102,S102,W102,AA102)))</f>
        <v/>
      </c>
      <c r="AD102">
        <f>IF($A102="","",IFERROR(INDEX(CHOOSE({1,2,3,4,5,6},IFERROR(INDEX(Papers!$K$2:$K$12,MATCH($C102,Papers!$A$2:$A$12,0)),""),IFERROR(INDEX(Papers!$L$2:$L$12,MATCH($C102,Papers!$A$2:$A$12,0)),""),IFERROR(INDEX(Papers!$M$2:$M$12,MATCH($C102,Papers!$A$2:$A$12,0)),""),IFERROR(INDEX(Papers!$N$2:$N$12,MATCH($C102,Papers!$A$2:$A$12,0)),""),IFERROR(INDEX(Papers!$O$2:$O$12,MATCH($C102,Papers!$A$2:$A$12,0)),""),IFERROR(INDEX(Papers!$P$2:$P$12,MATCH($C102,Papers!$A$2:$A$12,0)),"")),MATCH(MIN(G102,K102,O102,S102,W102,AA102),CHOOSE({1,2,3,4,5,6},G102,K102,O102,S102,W102,AA102),0)),""))</f>
        <v/>
      </c>
      <c r="AE102">
        <f>IF(AC102="","",IF(AC102&lt;50,"Re-teach",IF(AC102&lt;75,"Practice more","Relatively secure")))</f>
        <v/>
      </c>
    </row>
    <row r="103">
      <c r="A103">
        <f>IF(Attempts!A103="","",Attempts!A103)</f>
        <v/>
      </c>
      <c r="B103">
        <f>IF(Attempts!A103="","",Attempts!B103)</f>
        <v/>
      </c>
      <c r="C103">
        <f>IF(Attempts!A103="","",Attempts!D103)</f>
        <v/>
      </c>
      <c r="D103">
        <f>IF($A103="","",IFERROR(INDEX(Papers!$E$2:$E$12,MATCH($C103,Papers!$A$2:$A$12,0)),""))</f>
        <v/>
      </c>
      <c r="E103">
        <f>IF($A103="","",IFERROR(SUMPRODUCT((INDEX(SubMap!$B$2:$AE$12,MATCH($C103,SubMap!$A$2:$A$12,0),0)=1)*Attempts!$AR103:$BU103),0))</f>
        <v/>
      </c>
      <c r="F103">
        <f>IF($A103="","",IFERROR(COUNTIF(INDEX(SubMap!$B$2:$AE$12,MATCH($C103,SubMap!$A$2:$A$12,0),0),1),0))</f>
        <v/>
      </c>
      <c r="G103">
        <f>IF(OR($A103="",F103=0),"",ROUND(E103/F103*100,1))</f>
        <v/>
      </c>
      <c r="H103">
        <f>IF($A103="","",IFERROR(INDEX(Papers!$F$2:$F$12,MATCH($C103,Papers!$A$2:$A$12,0)),""))</f>
        <v/>
      </c>
      <c r="I103">
        <f>IF($A103="","",IFERROR(SUMPRODUCT((INDEX(SubMap!$B$2:$AE$12,MATCH($C103,SubMap!$A$2:$A$12,0),0)=2)*Attempts!$AR103:$BU103),0))</f>
        <v/>
      </c>
      <c r="J103">
        <f>IF($A103="","",IFERROR(COUNTIF(INDEX(SubMap!$B$2:$AE$12,MATCH($C103,SubMap!$A$2:$A$12,0),0),2),0))</f>
        <v/>
      </c>
      <c r="K103">
        <f>IF(OR($A103="",J103=0),"",ROUND(I103/J103*100,1))</f>
        <v/>
      </c>
      <c r="L103">
        <f>IF($A103="","",IFERROR(INDEX(Papers!$G$2:$G$12,MATCH($C103,Papers!$A$2:$A$12,0)),""))</f>
        <v/>
      </c>
      <c r="M103">
        <f>IF($A103="","",IFERROR(SUMPRODUCT((INDEX(SubMap!$B$2:$AE$12,MATCH($C103,SubMap!$A$2:$A$12,0),0)=3)*Attempts!$AR103:$BU103),0))</f>
        <v/>
      </c>
      <c r="N103">
        <f>IF($A103="","",IFERROR(COUNTIF(INDEX(SubMap!$B$2:$AE$12,MATCH($C103,SubMap!$A$2:$A$12,0),0),3),0))</f>
        <v/>
      </c>
      <c r="O103">
        <f>IF(OR($A103="",N103=0),"",ROUND(M103/N103*100,1))</f>
        <v/>
      </c>
      <c r="P103">
        <f>IF($A103="","",IFERROR(INDEX(Papers!$H$2:$H$12,MATCH($C103,Papers!$A$2:$A$12,0)),""))</f>
        <v/>
      </c>
      <c r="Q103">
        <f>IF($A103="","",IFERROR(SUMPRODUCT((INDEX(SubMap!$B$2:$AE$12,MATCH($C103,SubMap!$A$2:$A$12,0),0)=4)*Attempts!$AR103:$BU103),0))</f>
        <v/>
      </c>
      <c r="R103">
        <f>IF($A103="","",IFERROR(COUNTIF(INDEX(SubMap!$B$2:$AE$12,MATCH($C103,SubMap!$A$2:$A$12,0),0),4),0))</f>
        <v/>
      </c>
      <c r="S103">
        <f>IF(OR($A103="",R103=0),"",ROUND(Q103/R103*100,1))</f>
        <v/>
      </c>
      <c r="T103">
        <f>IF($A103="","",IFERROR(INDEX(Papers!$I$2:$I$12,MATCH($C103,Papers!$A$2:$A$12,0)),""))</f>
        <v/>
      </c>
      <c r="U103">
        <f>IF($A103="","",IFERROR(SUMPRODUCT((INDEX(SubMap!$B$2:$AE$12,MATCH($C103,SubMap!$A$2:$A$12,0),0)=5)*Attempts!$AR103:$BU103),0))</f>
        <v/>
      </c>
      <c r="V103">
        <f>IF($A103="","",IFERROR(COUNTIF(INDEX(SubMap!$B$2:$AE$12,MATCH($C103,SubMap!$A$2:$A$12,0),0),5),0))</f>
        <v/>
      </c>
      <c r="W103">
        <f>IF(OR($A103="",V103=0),"",ROUND(U103/V103*100,1))</f>
        <v/>
      </c>
      <c r="X103">
        <f>IF($A103="","",IFERROR(INDEX(Papers!$J$2:$J$12,MATCH($C103,Papers!$A$2:$A$12,0)),""))</f>
        <v/>
      </c>
      <c r="Y103">
        <f>IF($A103="","",IFERROR(SUMPRODUCT((INDEX(SubMap!$B$2:$AE$12,MATCH($C103,SubMap!$A$2:$A$12,0),0)=6)*Attempts!$AR103:$BU103),0))</f>
        <v/>
      </c>
      <c r="Z103">
        <f>IF($A103="","",IFERROR(COUNTIF(INDEX(SubMap!$B$2:$AE$12,MATCH($C103,SubMap!$A$2:$A$12,0),0),6),0))</f>
        <v/>
      </c>
      <c r="AA103">
        <f>IF(OR($A103="",Z103=0),"",ROUND(Y103/Z103*100,1))</f>
        <v/>
      </c>
      <c r="AB103">
        <f>IF($A103="","",IFERROR(INDEX(CHOOSE({1,2,3,4,5,6},D103,H103,L103,P103,T103,X103),MATCH(MIN(G103,K103,O103,S103,W103,AA103),CHOOSE({1,2,3,4,5,6},G103,K103,O103,S103,W103,AA103),0)),""))</f>
        <v/>
      </c>
      <c r="AC103">
        <f>IF($A103="","",IF(COUNT(G103,K103,O103,S103,W103,AA103)=0,"",MIN(G103,K103,O103,S103,W103,AA103)))</f>
        <v/>
      </c>
      <c r="AD103">
        <f>IF($A103="","",IFERROR(INDEX(CHOOSE({1,2,3,4,5,6},IFERROR(INDEX(Papers!$K$2:$K$12,MATCH($C103,Papers!$A$2:$A$12,0)),""),IFERROR(INDEX(Papers!$L$2:$L$12,MATCH($C103,Papers!$A$2:$A$12,0)),""),IFERROR(INDEX(Papers!$M$2:$M$12,MATCH($C103,Papers!$A$2:$A$12,0)),""),IFERROR(INDEX(Papers!$N$2:$N$12,MATCH($C103,Papers!$A$2:$A$12,0)),""),IFERROR(INDEX(Papers!$O$2:$O$12,MATCH($C103,Papers!$A$2:$A$12,0)),""),IFERROR(INDEX(Papers!$P$2:$P$12,MATCH($C103,Papers!$A$2:$A$12,0)),"")),MATCH(MIN(G103,K103,O103,S103,W103,AA103),CHOOSE({1,2,3,4,5,6},G103,K103,O103,S103,W103,AA103),0)),""))</f>
        <v/>
      </c>
      <c r="AE103">
        <f>IF(AC103="","",IF(AC103&lt;50,"Re-teach",IF(AC103&lt;75,"Practice more","Relatively secure")))</f>
        <v/>
      </c>
    </row>
    <row r="104">
      <c r="A104">
        <f>IF(Attempts!A104="","",Attempts!A104)</f>
        <v/>
      </c>
      <c r="B104">
        <f>IF(Attempts!A104="","",Attempts!B104)</f>
        <v/>
      </c>
      <c r="C104">
        <f>IF(Attempts!A104="","",Attempts!D104)</f>
        <v/>
      </c>
      <c r="D104">
        <f>IF($A104="","",IFERROR(INDEX(Papers!$E$2:$E$12,MATCH($C104,Papers!$A$2:$A$12,0)),""))</f>
        <v/>
      </c>
      <c r="E104">
        <f>IF($A104="","",IFERROR(SUMPRODUCT((INDEX(SubMap!$B$2:$AE$12,MATCH($C104,SubMap!$A$2:$A$12,0),0)=1)*Attempts!$AR104:$BU104),0))</f>
        <v/>
      </c>
      <c r="F104">
        <f>IF($A104="","",IFERROR(COUNTIF(INDEX(SubMap!$B$2:$AE$12,MATCH($C104,SubMap!$A$2:$A$12,0),0),1),0))</f>
        <v/>
      </c>
      <c r="G104">
        <f>IF(OR($A104="",F104=0),"",ROUND(E104/F104*100,1))</f>
        <v/>
      </c>
      <c r="H104">
        <f>IF($A104="","",IFERROR(INDEX(Papers!$F$2:$F$12,MATCH($C104,Papers!$A$2:$A$12,0)),""))</f>
        <v/>
      </c>
      <c r="I104">
        <f>IF($A104="","",IFERROR(SUMPRODUCT((INDEX(SubMap!$B$2:$AE$12,MATCH($C104,SubMap!$A$2:$A$12,0),0)=2)*Attempts!$AR104:$BU104),0))</f>
        <v/>
      </c>
      <c r="J104">
        <f>IF($A104="","",IFERROR(COUNTIF(INDEX(SubMap!$B$2:$AE$12,MATCH($C104,SubMap!$A$2:$A$12,0),0),2),0))</f>
        <v/>
      </c>
      <c r="K104">
        <f>IF(OR($A104="",J104=0),"",ROUND(I104/J104*100,1))</f>
        <v/>
      </c>
      <c r="L104">
        <f>IF($A104="","",IFERROR(INDEX(Papers!$G$2:$G$12,MATCH($C104,Papers!$A$2:$A$12,0)),""))</f>
        <v/>
      </c>
      <c r="M104">
        <f>IF($A104="","",IFERROR(SUMPRODUCT((INDEX(SubMap!$B$2:$AE$12,MATCH($C104,SubMap!$A$2:$A$12,0),0)=3)*Attempts!$AR104:$BU104),0))</f>
        <v/>
      </c>
      <c r="N104">
        <f>IF($A104="","",IFERROR(COUNTIF(INDEX(SubMap!$B$2:$AE$12,MATCH($C104,SubMap!$A$2:$A$12,0),0),3),0))</f>
        <v/>
      </c>
      <c r="O104">
        <f>IF(OR($A104="",N104=0),"",ROUND(M104/N104*100,1))</f>
        <v/>
      </c>
      <c r="P104">
        <f>IF($A104="","",IFERROR(INDEX(Papers!$H$2:$H$12,MATCH($C104,Papers!$A$2:$A$12,0)),""))</f>
        <v/>
      </c>
      <c r="Q104">
        <f>IF($A104="","",IFERROR(SUMPRODUCT((INDEX(SubMap!$B$2:$AE$12,MATCH($C104,SubMap!$A$2:$A$12,0),0)=4)*Attempts!$AR104:$BU104),0))</f>
        <v/>
      </c>
      <c r="R104">
        <f>IF($A104="","",IFERROR(COUNTIF(INDEX(SubMap!$B$2:$AE$12,MATCH($C104,SubMap!$A$2:$A$12,0),0),4),0))</f>
        <v/>
      </c>
      <c r="S104">
        <f>IF(OR($A104="",R104=0),"",ROUND(Q104/R104*100,1))</f>
        <v/>
      </c>
      <c r="T104">
        <f>IF($A104="","",IFERROR(INDEX(Papers!$I$2:$I$12,MATCH($C104,Papers!$A$2:$A$12,0)),""))</f>
        <v/>
      </c>
      <c r="U104">
        <f>IF($A104="","",IFERROR(SUMPRODUCT((INDEX(SubMap!$B$2:$AE$12,MATCH($C104,SubMap!$A$2:$A$12,0),0)=5)*Attempts!$AR104:$BU104),0))</f>
        <v/>
      </c>
      <c r="V104">
        <f>IF($A104="","",IFERROR(COUNTIF(INDEX(SubMap!$B$2:$AE$12,MATCH($C104,SubMap!$A$2:$A$12,0),0),5),0))</f>
        <v/>
      </c>
      <c r="W104">
        <f>IF(OR($A104="",V104=0),"",ROUND(U104/V104*100,1))</f>
        <v/>
      </c>
      <c r="X104">
        <f>IF($A104="","",IFERROR(INDEX(Papers!$J$2:$J$12,MATCH($C104,Papers!$A$2:$A$12,0)),""))</f>
        <v/>
      </c>
      <c r="Y104">
        <f>IF($A104="","",IFERROR(SUMPRODUCT((INDEX(SubMap!$B$2:$AE$12,MATCH($C104,SubMap!$A$2:$A$12,0),0)=6)*Attempts!$AR104:$BU104),0))</f>
        <v/>
      </c>
      <c r="Z104">
        <f>IF($A104="","",IFERROR(COUNTIF(INDEX(SubMap!$B$2:$AE$12,MATCH($C104,SubMap!$A$2:$A$12,0),0),6),0))</f>
        <v/>
      </c>
      <c r="AA104">
        <f>IF(OR($A104="",Z104=0),"",ROUND(Y104/Z104*100,1))</f>
        <v/>
      </c>
      <c r="AB104">
        <f>IF($A104="","",IFERROR(INDEX(CHOOSE({1,2,3,4,5,6},D104,H104,L104,P104,T104,X104),MATCH(MIN(G104,K104,O104,S104,W104,AA104),CHOOSE({1,2,3,4,5,6},G104,K104,O104,S104,W104,AA104),0)),""))</f>
        <v/>
      </c>
      <c r="AC104">
        <f>IF($A104="","",IF(COUNT(G104,K104,O104,S104,W104,AA104)=0,"",MIN(G104,K104,O104,S104,W104,AA104)))</f>
        <v/>
      </c>
      <c r="AD104">
        <f>IF($A104="","",IFERROR(INDEX(CHOOSE({1,2,3,4,5,6},IFERROR(INDEX(Papers!$K$2:$K$12,MATCH($C104,Papers!$A$2:$A$12,0)),""),IFERROR(INDEX(Papers!$L$2:$L$12,MATCH($C104,Papers!$A$2:$A$12,0)),""),IFERROR(INDEX(Papers!$M$2:$M$12,MATCH($C104,Papers!$A$2:$A$12,0)),""),IFERROR(INDEX(Papers!$N$2:$N$12,MATCH($C104,Papers!$A$2:$A$12,0)),""),IFERROR(INDEX(Papers!$O$2:$O$12,MATCH($C104,Papers!$A$2:$A$12,0)),""),IFERROR(INDEX(Papers!$P$2:$P$12,MATCH($C104,Papers!$A$2:$A$12,0)),"")),MATCH(MIN(G104,K104,O104,S104,W104,AA104),CHOOSE({1,2,3,4,5,6},G104,K104,O104,S104,W104,AA104),0)),""))</f>
        <v/>
      </c>
      <c r="AE104">
        <f>IF(AC104="","",IF(AC104&lt;50,"Re-teach",IF(AC104&lt;75,"Practice more","Relatively secure")))</f>
        <v/>
      </c>
    </row>
    <row r="105">
      <c r="A105">
        <f>IF(Attempts!A105="","",Attempts!A105)</f>
        <v/>
      </c>
      <c r="B105">
        <f>IF(Attempts!A105="","",Attempts!B105)</f>
        <v/>
      </c>
      <c r="C105">
        <f>IF(Attempts!A105="","",Attempts!D105)</f>
        <v/>
      </c>
      <c r="D105">
        <f>IF($A105="","",IFERROR(INDEX(Papers!$E$2:$E$12,MATCH($C105,Papers!$A$2:$A$12,0)),""))</f>
        <v/>
      </c>
      <c r="E105">
        <f>IF($A105="","",IFERROR(SUMPRODUCT((INDEX(SubMap!$B$2:$AE$12,MATCH($C105,SubMap!$A$2:$A$12,0),0)=1)*Attempts!$AR105:$BU105),0))</f>
        <v/>
      </c>
      <c r="F105">
        <f>IF($A105="","",IFERROR(COUNTIF(INDEX(SubMap!$B$2:$AE$12,MATCH($C105,SubMap!$A$2:$A$12,0),0),1),0))</f>
        <v/>
      </c>
      <c r="G105">
        <f>IF(OR($A105="",F105=0),"",ROUND(E105/F105*100,1))</f>
        <v/>
      </c>
      <c r="H105">
        <f>IF($A105="","",IFERROR(INDEX(Papers!$F$2:$F$12,MATCH($C105,Papers!$A$2:$A$12,0)),""))</f>
        <v/>
      </c>
      <c r="I105">
        <f>IF($A105="","",IFERROR(SUMPRODUCT((INDEX(SubMap!$B$2:$AE$12,MATCH($C105,SubMap!$A$2:$A$12,0),0)=2)*Attempts!$AR105:$BU105),0))</f>
        <v/>
      </c>
      <c r="J105">
        <f>IF($A105="","",IFERROR(COUNTIF(INDEX(SubMap!$B$2:$AE$12,MATCH($C105,SubMap!$A$2:$A$12,0),0),2),0))</f>
        <v/>
      </c>
      <c r="K105">
        <f>IF(OR($A105="",J105=0),"",ROUND(I105/J105*100,1))</f>
        <v/>
      </c>
      <c r="L105">
        <f>IF($A105="","",IFERROR(INDEX(Papers!$G$2:$G$12,MATCH($C105,Papers!$A$2:$A$12,0)),""))</f>
        <v/>
      </c>
      <c r="M105">
        <f>IF($A105="","",IFERROR(SUMPRODUCT((INDEX(SubMap!$B$2:$AE$12,MATCH($C105,SubMap!$A$2:$A$12,0),0)=3)*Attempts!$AR105:$BU105),0))</f>
        <v/>
      </c>
      <c r="N105">
        <f>IF($A105="","",IFERROR(COUNTIF(INDEX(SubMap!$B$2:$AE$12,MATCH($C105,SubMap!$A$2:$A$12,0),0),3),0))</f>
        <v/>
      </c>
      <c r="O105">
        <f>IF(OR($A105="",N105=0),"",ROUND(M105/N105*100,1))</f>
        <v/>
      </c>
      <c r="P105">
        <f>IF($A105="","",IFERROR(INDEX(Papers!$H$2:$H$12,MATCH($C105,Papers!$A$2:$A$12,0)),""))</f>
        <v/>
      </c>
      <c r="Q105">
        <f>IF($A105="","",IFERROR(SUMPRODUCT((INDEX(SubMap!$B$2:$AE$12,MATCH($C105,SubMap!$A$2:$A$12,0),0)=4)*Attempts!$AR105:$BU105),0))</f>
        <v/>
      </c>
      <c r="R105">
        <f>IF($A105="","",IFERROR(COUNTIF(INDEX(SubMap!$B$2:$AE$12,MATCH($C105,SubMap!$A$2:$A$12,0),0),4),0))</f>
        <v/>
      </c>
      <c r="S105">
        <f>IF(OR($A105="",R105=0),"",ROUND(Q105/R105*100,1))</f>
        <v/>
      </c>
      <c r="T105">
        <f>IF($A105="","",IFERROR(INDEX(Papers!$I$2:$I$12,MATCH($C105,Papers!$A$2:$A$12,0)),""))</f>
        <v/>
      </c>
      <c r="U105">
        <f>IF($A105="","",IFERROR(SUMPRODUCT((INDEX(SubMap!$B$2:$AE$12,MATCH($C105,SubMap!$A$2:$A$12,0),0)=5)*Attempts!$AR105:$BU105),0))</f>
        <v/>
      </c>
      <c r="V105">
        <f>IF($A105="","",IFERROR(COUNTIF(INDEX(SubMap!$B$2:$AE$12,MATCH($C105,SubMap!$A$2:$A$12,0),0),5),0))</f>
        <v/>
      </c>
      <c r="W105">
        <f>IF(OR($A105="",V105=0),"",ROUND(U105/V105*100,1))</f>
        <v/>
      </c>
      <c r="X105">
        <f>IF($A105="","",IFERROR(INDEX(Papers!$J$2:$J$12,MATCH($C105,Papers!$A$2:$A$12,0)),""))</f>
        <v/>
      </c>
      <c r="Y105">
        <f>IF($A105="","",IFERROR(SUMPRODUCT((INDEX(SubMap!$B$2:$AE$12,MATCH($C105,SubMap!$A$2:$A$12,0),0)=6)*Attempts!$AR105:$BU105),0))</f>
        <v/>
      </c>
      <c r="Z105">
        <f>IF($A105="","",IFERROR(COUNTIF(INDEX(SubMap!$B$2:$AE$12,MATCH($C105,SubMap!$A$2:$A$12,0),0),6),0))</f>
        <v/>
      </c>
      <c r="AA105">
        <f>IF(OR($A105="",Z105=0),"",ROUND(Y105/Z105*100,1))</f>
        <v/>
      </c>
      <c r="AB105">
        <f>IF($A105="","",IFERROR(INDEX(CHOOSE({1,2,3,4,5,6},D105,H105,L105,P105,T105,X105),MATCH(MIN(G105,K105,O105,S105,W105,AA105),CHOOSE({1,2,3,4,5,6},G105,K105,O105,S105,W105,AA105),0)),""))</f>
        <v/>
      </c>
      <c r="AC105">
        <f>IF($A105="","",IF(COUNT(G105,K105,O105,S105,W105,AA105)=0,"",MIN(G105,K105,O105,S105,W105,AA105)))</f>
        <v/>
      </c>
      <c r="AD105">
        <f>IF($A105="","",IFERROR(INDEX(CHOOSE({1,2,3,4,5,6},IFERROR(INDEX(Papers!$K$2:$K$12,MATCH($C105,Papers!$A$2:$A$12,0)),""),IFERROR(INDEX(Papers!$L$2:$L$12,MATCH($C105,Papers!$A$2:$A$12,0)),""),IFERROR(INDEX(Papers!$M$2:$M$12,MATCH($C105,Papers!$A$2:$A$12,0)),""),IFERROR(INDEX(Papers!$N$2:$N$12,MATCH($C105,Papers!$A$2:$A$12,0)),""),IFERROR(INDEX(Papers!$O$2:$O$12,MATCH($C105,Papers!$A$2:$A$12,0)),""),IFERROR(INDEX(Papers!$P$2:$P$12,MATCH($C105,Papers!$A$2:$A$12,0)),"")),MATCH(MIN(G105,K105,O105,S105,W105,AA105),CHOOSE({1,2,3,4,5,6},G105,K105,O105,S105,W105,AA105),0)),""))</f>
        <v/>
      </c>
      <c r="AE105">
        <f>IF(AC105="","",IF(AC105&lt;50,"Re-teach",IF(AC105&lt;75,"Practice more","Relatively secure")))</f>
        <v/>
      </c>
    </row>
    <row r="106">
      <c r="A106">
        <f>IF(Attempts!A106="","",Attempts!A106)</f>
        <v/>
      </c>
      <c r="B106">
        <f>IF(Attempts!A106="","",Attempts!B106)</f>
        <v/>
      </c>
      <c r="C106">
        <f>IF(Attempts!A106="","",Attempts!D106)</f>
        <v/>
      </c>
      <c r="D106">
        <f>IF($A106="","",IFERROR(INDEX(Papers!$E$2:$E$12,MATCH($C106,Papers!$A$2:$A$12,0)),""))</f>
        <v/>
      </c>
      <c r="E106">
        <f>IF($A106="","",IFERROR(SUMPRODUCT((INDEX(SubMap!$B$2:$AE$12,MATCH($C106,SubMap!$A$2:$A$12,0),0)=1)*Attempts!$AR106:$BU106),0))</f>
        <v/>
      </c>
      <c r="F106">
        <f>IF($A106="","",IFERROR(COUNTIF(INDEX(SubMap!$B$2:$AE$12,MATCH($C106,SubMap!$A$2:$A$12,0),0),1),0))</f>
        <v/>
      </c>
      <c r="G106">
        <f>IF(OR($A106="",F106=0),"",ROUND(E106/F106*100,1))</f>
        <v/>
      </c>
      <c r="H106">
        <f>IF($A106="","",IFERROR(INDEX(Papers!$F$2:$F$12,MATCH($C106,Papers!$A$2:$A$12,0)),""))</f>
        <v/>
      </c>
      <c r="I106">
        <f>IF($A106="","",IFERROR(SUMPRODUCT((INDEX(SubMap!$B$2:$AE$12,MATCH($C106,SubMap!$A$2:$A$12,0),0)=2)*Attempts!$AR106:$BU106),0))</f>
        <v/>
      </c>
      <c r="J106">
        <f>IF($A106="","",IFERROR(COUNTIF(INDEX(SubMap!$B$2:$AE$12,MATCH($C106,SubMap!$A$2:$A$12,0),0),2),0))</f>
        <v/>
      </c>
      <c r="K106">
        <f>IF(OR($A106="",J106=0),"",ROUND(I106/J106*100,1))</f>
        <v/>
      </c>
      <c r="L106">
        <f>IF($A106="","",IFERROR(INDEX(Papers!$G$2:$G$12,MATCH($C106,Papers!$A$2:$A$12,0)),""))</f>
        <v/>
      </c>
      <c r="M106">
        <f>IF($A106="","",IFERROR(SUMPRODUCT((INDEX(SubMap!$B$2:$AE$12,MATCH($C106,SubMap!$A$2:$A$12,0),0)=3)*Attempts!$AR106:$BU106),0))</f>
        <v/>
      </c>
      <c r="N106">
        <f>IF($A106="","",IFERROR(COUNTIF(INDEX(SubMap!$B$2:$AE$12,MATCH($C106,SubMap!$A$2:$A$12,0),0),3),0))</f>
        <v/>
      </c>
      <c r="O106">
        <f>IF(OR($A106="",N106=0),"",ROUND(M106/N106*100,1))</f>
        <v/>
      </c>
      <c r="P106">
        <f>IF($A106="","",IFERROR(INDEX(Papers!$H$2:$H$12,MATCH($C106,Papers!$A$2:$A$12,0)),""))</f>
        <v/>
      </c>
      <c r="Q106">
        <f>IF($A106="","",IFERROR(SUMPRODUCT((INDEX(SubMap!$B$2:$AE$12,MATCH($C106,SubMap!$A$2:$A$12,0),0)=4)*Attempts!$AR106:$BU106),0))</f>
        <v/>
      </c>
      <c r="R106">
        <f>IF($A106="","",IFERROR(COUNTIF(INDEX(SubMap!$B$2:$AE$12,MATCH($C106,SubMap!$A$2:$A$12,0),0),4),0))</f>
        <v/>
      </c>
      <c r="S106">
        <f>IF(OR($A106="",R106=0),"",ROUND(Q106/R106*100,1))</f>
        <v/>
      </c>
      <c r="T106">
        <f>IF($A106="","",IFERROR(INDEX(Papers!$I$2:$I$12,MATCH($C106,Papers!$A$2:$A$12,0)),""))</f>
        <v/>
      </c>
      <c r="U106">
        <f>IF($A106="","",IFERROR(SUMPRODUCT((INDEX(SubMap!$B$2:$AE$12,MATCH($C106,SubMap!$A$2:$A$12,0),0)=5)*Attempts!$AR106:$BU106),0))</f>
        <v/>
      </c>
      <c r="V106">
        <f>IF($A106="","",IFERROR(COUNTIF(INDEX(SubMap!$B$2:$AE$12,MATCH($C106,SubMap!$A$2:$A$12,0),0),5),0))</f>
        <v/>
      </c>
      <c r="W106">
        <f>IF(OR($A106="",V106=0),"",ROUND(U106/V106*100,1))</f>
        <v/>
      </c>
      <c r="X106">
        <f>IF($A106="","",IFERROR(INDEX(Papers!$J$2:$J$12,MATCH($C106,Papers!$A$2:$A$12,0)),""))</f>
        <v/>
      </c>
      <c r="Y106">
        <f>IF($A106="","",IFERROR(SUMPRODUCT((INDEX(SubMap!$B$2:$AE$12,MATCH($C106,SubMap!$A$2:$A$12,0),0)=6)*Attempts!$AR106:$BU106),0))</f>
        <v/>
      </c>
      <c r="Z106">
        <f>IF($A106="","",IFERROR(COUNTIF(INDEX(SubMap!$B$2:$AE$12,MATCH($C106,SubMap!$A$2:$A$12,0),0),6),0))</f>
        <v/>
      </c>
      <c r="AA106">
        <f>IF(OR($A106="",Z106=0),"",ROUND(Y106/Z106*100,1))</f>
        <v/>
      </c>
      <c r="AB106">
        <f>IF($A106="","",IFERROR(INDEX(CHOOSE({1,2,3,4,5,6},D106,H106,L106,P106,T106,X106),MATCH(MIN(G106,K106,O106,S106,W106,AA106),CHOOSE({1,2,3,4,5,6},G106,K106,O106,S106,W106,AA106),0)),""))</f>
        <v/>
      </c>
      <c r="AC106">
        <f>IF($A106="","",IF(COUNT(G106,K106,O106,S106,W106,AA106)=0,"",MIN(G106,K106,O106,S106,W106,AA106)))</f>
        <v/>
      </c>
      <c r="AD106">
        <f>IF($A106="","",IFERROR(INDEX(CHOOSE({1,2,3,4,5,6},IFERROR(INDEX(Papers!$K$2:$K$12,MATCH($C106,Papers!$A$2:$A$12,0)),""),IFERROR(INDEX(Papers!$L$2:$L$12,MATCH($C106,Papers!$A$2:$A$12,0)),""),IFERROR(INDEX(Papers!$M$2:$M$12,MATCH($C106,Papers!$A$2:$A$12,0)),""),IFERROR(INDEX(Papers!$N$2:$N$12,MATCH($C106,Papers!$A$2:$A$12,0)),""),IFERROR(INDEX(Papers!$O$2:$O$12,MATCH($C106,Papers!$A$2:$A$12,0)),""),IFERROR(INDEX(Papers!$P$2:$P$12,MATCH($C106,Papers!$A$2:$A$12,0)),"")),MATCH(MIN(G106,K106,O106,S106,W106,AA106),CHOOSE({1,2,3,4,5,6},G106,K106,O106,S106,W106,AA106),0)),""))</f>
        <v/>
      </c>
      <c r="AE106">
        <f>IF(AC106="","",IF(AC106&lt;50,"Re-teach",IF(AC106&lt;75,"Practice more","Relatively secure")))</f>
        <v/>
      </c>
    </row>
    <row r="107">
      <c r="A107">
        <f>IF(Attempts!A107="","",Attempts!A107)</f>
        <v/>
      </c>
      <c r="B107">
        <f>IF(Attempts!A107="","",Attempts!B107)</f>
        <v/>
      </c>
      <c r="C107">
        <f>IF(Attempts!A107="","",Attempts!D107)</f>
        <v/>
      </c>
      <c r="D107">
        <f>IF($A107="","",IFERROR(INDEX(Papers!$E$2:$E$12,MATCH($C107,Papers!$A$2:$A$12,0)),""))</f>
        <v/>
      </c>
      <c r="E107">
        <f>IF($A107="","",IFERROR(SUMPRODUCT((INDEX(SubMap!$B$2:$AE$12,MATCH($C107,SubMap!$A$2:$A$12,0),0)=1)*Attempts!$AR107:$BU107),0))</f>
        <v/>
      </c>
      <c r="F107">
        <f>IF($A107="","",IFERROR(COUNTIF(INDEX(SubMap!$B$2:$AE$12,MATCH($C107,SubMap!$A$2:$A$12,0),0),1),0))</f>
        <v/>
      </c>
      <c r="G107">
        <f>IF(OR($A107="",F107=0),"",ROUND(E107/F107*100,1))</f>
        <v/>
      </c>
      <c r="H107">
        <f>IF($A107="","",IFERROR(INDEX(Papers!$F$2:$F$12,MATCH($C107,Papers!$A$2:$A$12,0)),""))</f>
        <v/>
      </c>
      <c r="I107">
        <f>IF($A107="","",IFERROR(SUMPRODUCT((INDEX(SubMap!$B$2:$AE$12,MATCH($C107,SubMap!$A$2:$A$12,0),0)=2)*Attempts!$AR107:$BU107),0))</f>
        <v/>
      </c>
      <c r="J107">
        <f>IF($A107="","",IFERROR(COUNTIF(INDEX(SubMap!$B$2:$AE$12,MATCH($C107,SubMap!$A$2:$A$12,0),0),2),0))</f>
        <v/>
      </c>
      <c r="K107">
        <f>IF(OR($A107="",J107=0),"",ROUND(I107/J107*100,1))</f>
        <v/>
      </c>
      <c r="L107">
        <f>IF($A107="","",IFERROR(INDEX(Papers!$G$2:$G$12,MATCH($C107,Papers!$A$2:$A$12,0)),""))</f>
        <v/>
      </c>
      <c r="M107">
        <f>IF($A107="","",IFERROR(SUMPRODUCT((INDEX(SubMap!$B$2:$AE$12,MATCH($C107,SubMap!$A$2:$A$12,0),0)=3)*Attempts!$AR107:$BU107),0))</f>
        <v/>
      </c>
      <c r="N107">
        <f>IF($A107="","",IFERROR(COUNTIF(INDEX(SubMap!$B$2:$AE$12,MATCH($C107,SubMap!$A$2:$A$12,0),0),3),0))</f>
        <v/>
      </c>
      <c r="O107">
        <f>IF(OR($A107="",N107=0),"",ROUND(M107/N107*100,1))</f>
        <v/>
      </c>
      <c r="P107">
        <f>IF($A107="","",IFERROR(INDEX(Papers!$H$2:$H$12,MATCH($C107,Papers!$A$2:$A$12,0)),""))</f>
        <v/>
      </c>
      <c r="Q107">
        <f>IF($A107="","",IFERROR(SUMPRODUCT((INDEX(SubMap!$B$2:$AE$12,MATCH($C107,SubMap!$A$2:$A$12,0),0)=4)*Attempts!$AR107:$BU107),0))</f>
        <v/>
      </c>
      <c r="R107">
        <f>IF($A107="","",IFERROR(COUNTIF(INDEX(SubMap!$B$2:$AE$12,MATCH($C107,SubMap!$A$2:$A$12,0),0),4),0))</f>
        <v/>
      </c>
      <c r="S107">
        <f>IF(OR($A107="",R107=0),"",ROUND(Q107/R107*100,1))</f>
        <v/>
      </c>
      <c r="T107">
        <f>IF($A107="","",IFERROR(INDEX(Papers!$I$2:$I$12,MATCH($C107,Papers!$A$2:$A$12,0)),""))</f>
        <v/>
      </c>
      <c r="U107">
        <f>IF($A107="","",IFERROR(SUMPRODUCT((INDEX(SubMap!$B$2:$AE$12,MATCH($C107,SubMap!$A$2:$A$12,0),0)=5)*Attempts!$AR107:$BU107),0))</f>
        <v/>
      </c>
      <c r="V107">
        <f>IF($A107="","",IFERROR(COUNTIF(INDEX(SubMap!$B$2:$AE$12,MATCH($C107,SubMap!$A$2:$A$12,0),0),5),0))</f>
        <v/>
      </c>
      <c r="W107">
        <f>IF(OR($A107="",V107=0),"",ROUND(U107/V107*100,1))</f>
        <v/>
      </c>
      <c r="X107">
        <f>IF($A107="","",IFERROR(INDEX(Papers!$J$2:$J$12,MATCH($C107,Papers!$A$2:$A$12,0)),""))</f>
        <v/>
      </c>
      <c r="Y107">
        <f>IF($A107="","",IFERROR(SUMPRODUCT((INDEX(SubMap!$B$2:$AE$12,MATCH($C107,SubMap!$A$2:$A$12,0),0)=6)*Attempts!$AR107:$BU107),0))</f>
        <v/>
      </c>
      <c r="Z107">
        <f>IF($A107="","",IFERROR(COUNTIF(INDEX(SubMap!$B$2:$AE$12,MATCH($C107,SubMap!$A$2:$A$12,0),0),6),0))</f>
        <v/>
      </c>
      <c r="AA107">
        <f>IF(OR($A107="",Z107=0),"",ROUND(Y107/Z107*100,1))</f>
        <v/>
      </c>
      <c r="AB107">
        <f>IF($A107="","",IFERROR(INDEX(CHOOSE({1,2,3,4,5,6},D107,H107,L107,P107,T107,X107),MATCH(MIN(G107,K107,O107,S107,W107,AA107),CHOOSE({1,2,3,4,5,6},G107,K107,O107,S107,W107,AA107),0)),""))</f>
        <v/>
      </c>
      <c r="AC107">
        <f>IF($A107="","",IF(COUNT(G107,K107,O107,S107,W107,AA107)=0,"",MIN(G107,K107,O107,S107,W107,AA107)))</f>
        <v/>
      </c>
      <c r="AD107">
        <f>IF($A107="","",IFERROR(INDEX(CHOOSE({1,2,3,4,5,6},IFERROR(INDEX(Papers!$K$2:$K$12,MATCH($C107,Papers!$A$2:$A$12,0)),""),IFERROR(INDEX(Papers!$L$2:$L$12,MATCH($C107,Papers!$A$2:$A$12,0)),""),IFERROR(INDEX(Papers!$M$2:$M$12,MATCH($C107,Papers!$A$2:$A$12,0)),""),IFERROR(INDEX(Papers!$N$2:$N$12,MATCH($C107,Papers!$A$2:$A$12,0)),""),IFERROR(INDEX(Papers!$O$2:$O$12,MATCH($C107,Papers!$A$2:$A$12,0)),""),IFERROR(INDEX(Papers!$P$2:$P$12,MATCH($C107,Papers!$A$2:$A$12,0)),"")),MATCH(MIN(G107,K107,O107,S107,W107,AA107),CHOOSE({1,2,3,4,5,6},G107,K107,O107,S107,W107,AA107),0)),""))</f>
        <v/>
      </c>
      <c r="AE107">
        <f>IF(AC107="","",IF(AC107&lt;50,"Re-teach",IF(AC107&lt;75,"Practice more","Relatively secure")))</f>
        <v/>
      </c>
    </row>
    <row r="108">
      <c r="A108">
        <f>IF(Attempts!A108="","",Attempts!A108)</f>
        <v/>
      </c>
      <c r="B108">
        <f>IF(Attempts!A108="","",Attempts!B108)</f>
        <v/>
      </c>
      <c r="C108">
        <f>IF(Attempts!A108="","",Attempts!D108)</f>
        <v/>
      </c>
      <c r="D108">
        <f>IF($A108="","",IFERROR(INDEX(Papers!$E$2:$E$12,MATCH($C108,Papers!$A$2:$A$12,0)),""))</f>
        <v/>
      </c>
      <c r="E108">
        <f>IF($A108="","",IFERROR(SUMPRODUCT((INDEX(SubMap!$B$2:$AE$12,MATCH($C108,SubMap!$A$2:$A$12,0),0)=1)*Attempts!$AR108:$BU108),0))</f>
        <v/>
      </c>
      <c r="F108">
        <f>IF($A108="","",IFERROR(COUNTIF(INDEX(SubMap!$B$2:$AE$12,MATCH($C108,SubMap!$A$2:$A$12,0),0),1),0))</f>
        <v/>
      </c>
      <c r="G108">
        <f>IF(OR($A108="",F108=0),"",ROUND(E108/F108*100,1))</f>
        <v/>
      </c>
      <c r="H108">
        <f>IF($A108="","",IFERROR(INDEX(Papers!$F$2:$F$12,MATCH($C108,Papers!$A$2:$A$12,0)),""))</f>
        <v/>
      </c>
      <c r="I108">
        <f>IF($A108="","",IFERROR(SUMPRODUCT((INDEX(SubMap!$B$2:$AE$12,MATCH($C108,SubMap!$A$2:$A$12,0),0)=2)*Attempts!$AR108:$BU108),0))</f>
        <v/>
      </c>
      <c r="J108">
        <f>IF($A108="","",IFERROR(COUNTIF(INDEX(SubMap!$B$2:$AE$12,MATCH($C108,SubMap!$A$2:$A$12,0),0),2),0))</f>
        <v/>
      </c>
      <c r="K108">
        <f>IF(OR($A108="",J108=0),"",ROUND(I108/J108*100,1))</f>
        <v/>
      </c>
      <c r="L108">
        <f>IF($A108="","",IFERROR(INDEX(Papers!$G$2:$G$12,MATCH($C108,Papers!$A$2:$A$12,0)),""))</f>
        <v/>
      </c>
      <c r="M108">
        <f>IF($A108="","",IFERROR(SUMPRODUCT((INDEX(SubMap!$B$2:$AE$12,MATCH($C108,SubMap!$A$2:$A$12,0),0)=3)*Attempts!$AR108:$BU108),0))</f>
        <v/>
      </c>
      <c r="N108">
        <f>IF($A108="","",IFERROR(COUNTIF(INDEX(SubMap!$B$2:$AE$12,MATCH($C108,SubMap!$A$2:$A$12,0),0),3),0))</f>
        <v/>
      </c>
      <c r="O108">
        <f>IF(OR($A108="",N108=0),"",ROUND(M108/N108*100,1))</f>
        <v/>
      </c>
      <c r="P108">
        <f>IF($A108="","",IFERROR(INDEX(Papers!$H$2:$H$12,MATCH($C108,Papers!$A$2:$A$12,0)),""))</f>
        <v/>
      </c>
      <c r="Q108">
        <f>IF($A108="","",IFERROR(SUMPRODUCT((INDEX(SubMap!$B$2:$AE$12,MATCH($C108,SubMap!$A$2:$A$12,0),0)=4)*Attempts!$AR108:$BU108),0))</f>
        <v/>
      </c>
      <c r="R108">
        <f>IF($A108="","",IFERROR(COUNTIF(INDEX(SubMap!$B$2:$AE$12,MATCH($C108,SubMap!$A$2:$A$12,0),0),4),0))</f>
        <v/>
      </c>
      <c r="S108">
        <f>IF(OR($A108="",R108=0),"",ROUND(Q108/R108*100,1))</f>
        <v/>
      </c>
      <c r="T108">
        <f>IF($A108="","",IFERROR(INDEX(Papers!$I$2:$I$12,MATCH($C108,Papers!$A$2:$A$12,0)),""))</f>
        <v/>
      </c>
      <c r="U108">
        <f>IF($A108="","",IFERROR(SUMPRODUCT((INDEX(SubMap!$B$2:$AE$12,MATCH($C108,SubMap!$A$2:$A$12,0),0)=5)*Attempts!$AR108:$BU108),0))</f>
        <v/>
      </c>
      <c r="V108">
        <f>IF($A108="","",IFERROR(COUNTIF(INDEX(SubMap!$B$2:$AE$12,MATCH($C108,SubMap!$A$2:$A$12,0),0),5),0))</f>
        <v/>
      </c>
      <c r="W108">
        <f>IF(OR($A108="",V108=0),"",ROUND(U108/V108*100,1))</f>
        <v/>
      </c>
      <c r="X108">
        <f>IF($A108="","",IFERROR(INDEX(Papers!$J$2:$J$12,MATCH($C108,Papers!$A$2:$A$12,0)),""))</f>
        <v/>
      </c>
      <c r="Y108">
        <f>IF($A108="","",IFERROR(SUMPRODUCT((INDEX(SubMap!$B$2:$AE$12,MATCH($C108,SubMap!$A$2:$A$12,0),0)=6)*Attempts!$AR108:$BU108),0))</f>
        <v/>
      </c>
      <c r="Z108">
        <f>IF($A108="","",IFERROR(COUNTIF(INDEX(SubMap!$B$2:$AE$12,MATCH($C108,SubMap!$A$2:$A$12,0),0),6),0))</f>
        <v/>
      </c>
      <c r="AA108">
        <f>IF(OR($A108="",Z108=0),"",ROUND(Y108/Z108*100,1))</f>
        <v/>
      </c>
      <c r="AB108">
        <f>IF($A108="","",IFERROR(INDEX(CHOOSE({1,2,3,4,5,6},D108,H108,L108,P108,T108,X108),MATCH(MIN(G108,K108,O108,S108,W108,AA108),CHOOSE({1,2,3,4,5,6},G108,K108,O108,S108,W108,AA108),0)),""))</f>
        <v/>
      </c>
      <c r="AC108">
        <f>IF($A108="","",IF(COUNT(G108,K108,O108,S108,W108,AA108)=0,"",MIN(G108,K108,O108,S108,W108,AA108)))</f>
        <v/>
      </c>
      <c r="AD108">
        <f>IF($A108="","",IFERROR(INDEX(CHOOSE({1,2,3,4,5,6},IFERROR(INDEX(Papers!$K$2:$K$12,MATCH($C108,Papers!$A$2:$A$12,0)),""),IFERROR(INDEX(Papers!$L$2:$L$12,MATCH($C108,Papers!$A$2:$A$12,0)),""),IFERROR(INDEX(Papers!$M$2:$M$12,MATCH($C108,Papers!$A$2:$A$12,0)),""),IFERROR(INDEX(Papers!$N$2:$N$12,MATCH($C108,Papers!$A$2:$A$12,0)),""),IFERROR(INDEX(Papers!$O$2:$O$12,MATCH($C108,Papers!$A$2:$A$12,0)),""),IFERROR(INDEX(Papers!$P$2:$P$12,MATCH($C108,Papers!$A$2:$A$12,0)),"")),MATCH(MIN(G108,K108,O108,S108,W108,AA108),CHOOSE({1,2,3,4,5,6},G108,K108,O108,S108,W108,AA108),0)),""))</f>
        <v/>
      </c>
      <c r="AE108">
        <f>IF(AC108="","",IF(AC108&lt;50,"Re-teach",IF(AC108&lt;75,"Practice more","Relatively secure")))</f>
        <v/>
      </c>
    </row>
    <row r="109">
      <c r="A109">
        <f>IF(Attempts!A109="","",Attempts!A109)</f>
        <v/>
      </c>
      <c r="B109">
        <f>IF(Attempts!A109="","",Attempts!B109)</f>
        <v/>
      </c>
      <c r="C109">
        <f>IF(Attempts!A109="","",Attempts!D109)</f>
        <v/>
      </c>
      <c r="D109">
        <f>IF($A109="","",IFERROR(INDEX(Papers!$E$2:$E$12,MATCH($C109,Papers!$A$2:$A$12,0)),""))</f>
        <v/>
      </c>
      <c r="E109">
        <f>IF($A109="","",IFERROR(SUMPRODUCT((INDEX(SubMap!$B$2:$AE$12,MATCH($C109,SubMap!$A$2:$A$12,0),0)=1)*Attempts!$AR109:$BU109),0))</f>
        <v/>
      </c>
      <c r="F109">
        <f>IF($A109="","",IFERROR(COUNTIF(INDEX(SubMap!$B$2:$AE$12,MATCH($C109,SubMap!$A$2:$A$12,0),0),1),0))</f>
        <v/>
      </c>
      <c r="G109">
        <f>IF(OR($A109="",F109=0),"",ROUND(E109/F109*100,1))</f>
        <v/>
      </c>
      <c r="H109">
        <f>IF($A109="","",IFERROR(INDEX(Papers!$F$2:$F$12,MATCH($C109,Papers!$A$2:$A$12,0)),""))</f>
        <v/>
      </c>
      <c r="I109">
        <f>IF($A109="","",IFERROR(SUMPRODUCT((INDEX(SubMap!$B$2:$AE$12,MATCH($C109,SubMap!$A$2:$A$12,0),0)=2)*Attempts!$AR109:$BU109),0))</f>
        <v/>
      </c>
      <c r="J109">
        <f>IF($A109="","",IFERROR(COUNTIF(INDEX(SubMap!$B$2:$AE$12,MATCH($C109,SubMap!$A$2:$A$12,0),0),2),0))</f>
        <v/>
      </c>
      <c r="K109">
        <f>IF(OR($A109="",J109=0),"",ROUND(I109/J109*100,1))</f>
        <v/>
      </c>
      <c r="L109">
        <f>IF($A109="","",IFERROR(INDEX(Papers!$G$2:$G$12,MATCH($C109,Papers!$A$2:$A$12,0)),""))</f>
        <v/>
      </c>
      <c r="M109">
        <f>IF($A109="","",IFERROR(SUMPRODUCT((INDEX(SubMap!$B$2:$AE$12,MATCH($C109,SubMap!$A$2:$A$12,0),0)=3)*Attempts!$AR109:$BU109),0))</f>
        <v/>
      </c>
      <c r="N109">
        <f>IF($A109="","",IFERROR(COUNTIF(INDEX(SubMap!$B$2:$AE$12,MATCH($C109,SubMap!$A$2:$A$12,0),0),3),0))</f>
        <v/>
      </c>
      <c r="O109">
        <f>IF(OR($A109="",N109=0),"",ROUND(M109/N109*100,1))</f>
        <v/>
      </c>
      <c r="P109">
        <f>IF($A109="","",IFERROR(INDEX(Papers!$H$2:$H$12,MATCH($C109,Papers!$A$2:$A$12,0)),""))</f>
        <v/>
      </c>
      <c r="Q109">
        <f>IF($A109="","",IFERROR(SUMPRODUCT((INDEX(SubMap!$B$2:$AE$12,MATCH($C109,SubMap!$A$2:$A$12,0),0)=4)*Attempts!$AR109:$BU109),0))</f>
        <v/>
      </c>
      <c r="R109">
        <f>IF($A109="","",IFERROR(COUNTIF(INDEX(SubMap!$B$2:$AE$12,MATCH($C109,SubMap!$A$2:$A$12,0),0),4),0))</f>
        <v/>
      </c>
      <c r="S109">
        <f>IF(OR($A109="",R109=0),"",ROUND(Q109/R109*100,1))</f>
        <v/>
      </c>
      <c r="T109">
        <f>IF($A109="","",IFERROR(INDEX(Papers!$I$2:$I$12,MATCH($C109,Papers!$A$2:$A$12,0)),""))</f>
        <v/>
      </c>
      <c r="U109">
        <f>IF($A109="","",IFERROR(SUMPRODUCT((INDEX(SubMap!$B$2:$AE$12,MATCH($C109,SubMap!$A$2:$A$12,0),0)=5)*Attempts!$AR109:$BU109),0))</f>
        <v/>
      </c>
      <c r="V109">
        <f>IF($A109="","",IFERROR(COUNTIF(INDEX(SubMap!$B$2:$AE$12,MATCH($C109,SubMap!$A$2:$A$12,0),0),5),0))</f>
        <v/>
      </c>
      <c r="W109">
        <f>IF(OR($A109="",V109=0),"",ROUND(U109/V109*100,1))</f>
        <v/>
      </c>
      <c r="X109">
        <f>IF($A109="","",IFERROR(INDEX(Papers!$J$2:$J$12,MATCH($C109,Papers!$A$2:$A$12,0)),""))</f>
        <v/>
      </c>
      <c r="Y109">
        <f>IF($A109="","",IFERROR(SUMPRODUCT((INDEX(SubMap!$B$2:$AE$12,MATCH($C109,SubMap!$A$2:$A$12,0),0)=6)*Attempts!$AR109:$BU109),0))</f>
        <v/>
      </c>
      <c r="Z109">
        <f>IF($A109="","",IFERROR(COUNTIF(INDEX(SubMap!$B$2:$AE$12,MATCH($C109,SubMap!$A$2:$A$12,0),0),6),0))</f>
        <v/>
      </c>
      <c r="AA109">
        <f>IF(OR($A109="",Z109=0),"",ROUND(Y109/Z109*100,1))</f>
        <v/>
      </c>
      <c r="AB109">
        <f>IF($A109="","",IFERROR(INDEX(CHOOSE({1,2,3,4,5,6},D109,H109,L109,P109,T109,X109),MATCH(MIN(G109,K109,O109,S109,W109,AA109),CHOOSE({1,2,3,4,5,6},G109,K109,O109,S109,W109,AA109),0)),""))</f>
        <v/>
      </c>
      <c r="AC109">
        <f>IF($A109="","",IF(COUNT(G109,K109,O109,S109,W109,AA109)=0,"",MIN(G109,K109,O109,S109,W109,AA109)))</f>
        <v/>
      </c>
      <c r="AD109">
        <f>IF($A109="","",IFERROR(INDEX(CHOOSE({1,2,3,4,5,6},IFERROR(INDEX(Papers!$K$2:$K$12,MATCH($C109,Papers!$A$2:$A$12,0)),""),IFERROR(INDEX(Papers!$L$2:$L$12,MATCH($C109,Papers!$A$2:$A$12,0)),""),IFERROR(INDEX(Papers!$M$2:$M$12,MATCH($C109,Papers!$A$2:$A$12,0)),""),IFERROR(INDEX(Papers!$N$2:$N$12,MATCH($C109,Papers!$A$2:$A$12,0)),""),IFERROR(INDEX(Papers!$O$2:$O$12,MATCH($C109,Papers!$A$2:$A$12,0)),""),IFERROR(INDEX(Papers!$P$2:$P$12,MATCH($C109,Papers!$A$2:$A$12,0)),"")),MATCH(MIN(G109,K109,O109,S109,W109,AA109),CHOOSE({1,2,3,4,5,6},G109,K109,O109,S109,W109,AA109),0)),""))</f>
        <v/>
      </c>
      <c r="AE109">
        <f>IF(AC109="","",IF(AC109&lt;50,"Re-teach",IF(AC109&lt;75,"Practice more","Relatively secure")))</f>
        <v/>
      </c>
    </row>
    <row r="110">
      <c r="A110">
        <f>IF(Attempts!A110="","",Attempts!A110)</f>
        <v/>
      </c>
      <c r="B110">
        <f>IF(Attempts!A110="","",Attempts!B110)</f>
        <v/>
      </c>
      <c r="C110">
        <f>IF(Attempts!A110="","",Attempts!D110)</f>
        <v/>
      </c>
      <c r="D110">
        <f>IF($A110="","",IFERROR(INDEX(Papers!$E$2:$E$12,MATCH($C110,Papers!$A$2:$A$12,0)),""))</f>
        <v/>
      </c>
      <c r="E110">
        <f>IF($A110="","",IFERROR(SUMPRODUCT((INDEX(SubMap!$B$2:$AE$12,MATCH($C110,SubMap!$A$2:$A$12,0),0)=1)*Attempts!$AR110:$BU110),0))</f>
        <v/>
      </c>
      <c r="F110">
        <f>IF($A110="","",IFERROR(COUNTIF(INDEX(SubMap!$B$2:$AE$12,MATCH($C110,SubMap!$A$2:$A$12,0),0),1),0))</f>
        <v/>
      </c>
      <c r="G110">
        <f>IF(OR($A110="",F110=0),"",ROUND(E110/F110*100,1))</f>
        <v/>
      </c>
      <c r="H110">
        <f>IF($A110="","",IFERROR(INDEX(Papers!$F$2:$F$12,MATCH($C110,Papers!$A$2:$A$12,0)),""))</f>
        <v/>
      </c>
      <c r="I110">
        <f>IF($A110="","",IFERROR(SUMPRODUCT((INDEX(SubMap!$B$2:$AE$12,MATCH($C110,SubMap!$A$2:$A$12,0),0)=2)*Attempts!$AR110:$BU110),0))</f>
        <v/>
      </c>
      <c r="J110">
        <f>IF($A110="","",IFERROR(COUNTIF(INDEX(SubMap!$B$2:$AE$12,MATCH($C110,SubMap!$A$2:$A$12,0),0),2),0))</f>
        <v/>
      </c>
      <c r="K110">
        <f>IF(OR($A110="",J110=0),"",ROUND(I110/J110*100,1))</f>
        <v/>
      </c>
      <c r="L110">
        <f>IF($A110="","",IFERROR(INDEX(Papers!$G$2:$G$12,MATCH($C110,Papers!$A$2:$A$12,0)),""))</f>
        <v/>
      </c>
      <c r="M110">
        <f>IF($A110="","",IFERROR(SUMPRODUCT((INDEX(SubMap!$B$2:$AE$12,MATCH($C110,SubMap!$A$2:$A$12,0),0)=3)*Attempts!$AR110:$BU110),0))</f>
        <v/>
      </c>
      <c r="N110">
        <f>IF($A110="","",IFERROR(COUNTIF(INDEX(SubMap!$B$2:$AE$12,MATCH($C110,SubMap!$A$2:$A$12,0),0),3),0))</f>
        <v/>
      </c>
      <c r="O110">
        <f>IF(OR($A110="",N110=0),"",ROUND(M110/N110*100,1))</f>
        <v/>
      </c>
      <c r="P110">
        <f>IF($A110="","",IFERROR(INDEX(Papers!$H$2:$H$12,MATCH($C110,Papers!$A$2:$A$12,0)),""))</f>
        <v/>
      </c>
      <c r="Q110">
        <f>IF($A110="","",IFERROR(SUMPRODUCT((INDEX(SubMap!$B$2:$AE$12,MATCH($C110,SubMap!$A$2:$A$12,0),0)=4)*Attempts!$AR110:$BU110),0))</f>
        <v/>
      </c>
      <c r="R110">
        <f>IF($A110="","",IFERROR(COUNTIF(INDEX(SubMap!$B$2:$AE$12,MATCH($C110,SubMap!$A$2:$A$12,0),0),4),0))</f>
        <v/>
      </c>
      <c r="S110">
        <f>IF(OR($A110="",R110=0),"",ROUND(Q110/R110*100,1))</f>
        <v/>
      </c>
      <c r="T110">
        <f>IF($A110="","",IFERROR(INDEX(Papers!$I$2:$I$12,MATCH($C110,Papers!$A$2:$A$12,0)),""))</f>
        <v/>
      </c>
      <c r="U110">
        <f>IF($A110="","",IFERROR(SUMPRODUCT((INDEX(SubMap!$B$2:$AE$12,MATCH($C110,SubMap!$A$2:$A$12,0),0)=5)*Attempts!$AR110:$BU110),0))</f>
        <v/>
      </c>
      <c r="V110">
        <f>IF($A110="","",IFERROR(COUNTIF(INDEX(SubMap!$B$2:$AE$12,MATCH($C110,SubMap!$A$2:$A$12,0),0),5),0))</f>
        <v/>
      </c>
      <c r="W110">
        <f>IF(OR($A110="",V110=0),"",ROUND(U110/V110*100,1))</f>
        <v/>
      </c>
      <c r="X110">
        <f>IF($A110="","",IFERROR(INDEX(Papers!$J$2:$J$12,MATCH($C110,Papers!$A$2:$A$12,0)),""))</f>
        <v/>
      </c>
      <c r="Y110">
        <f>IF($A110="","",IFERROR(SUMPRODUCT((INDEX(SubMap!$B$2:$AE$12,MATCH($C110,SubMap!$A$2:$A$12,0),0)=6)*Attempts!$AR110:$BU110),0))</f>
        <v/>
      </c>
      <c r="Z110">
        <f>IF($A110="","",IFERROR(COUNTIF(INDEX(SubMap!$B$2:$AE$12,MATCH($C110,SubMap!$A$2:$A$12,0),0),6),0))</f>
        <v/>
      </c>
      <c r="AA110">
        <f>IF(OR($A110="",Z110=0),"",ROUND(Y110/Z110*100,1))</f>
        <v/>
      </c>
      <c r="AB110">
        <f>IF($A110="","",IFERROR(INDEX(CHOOSE({1,2,3,4,5,6},D110,H110,L110,P110,T110,X110),MATCH(MIN(G110,K110,O110,S110,W110,AA110),CHOOSE({1,2,3,4,5,6},G110,K110,O110,S110,W110,AA110),0)),""))</f>
        <v/>
      </c>
      <c r="AC110">
        <f>IF($A110="","",IF(COUNT(G110,K110,O110,S110,W110,AA110)=0,"",MIN(G110,K110,O110,S110,W110,AA110)))</f>
        <v/>
      </c>
      <c r="AD110">
        <f>IF($A110="","",IFERROR(INDEX(CHOOSE({1,2,3,4,5,6},IFERROR(INDEX(Papers!$K$2:$K$12,MATCH($C110,Papers!$A$2:$A$12,0)),""),IFERROR(INDEX(Papers!$L$2:$L$12,MATCH($C110,Papers!$A$2:$A$12,0)),""),IFERROR(INDEX(Papers!$M$2:$M$12,MATCH($C110,Papers!$A$2:$A$12,0)),""),IFERROR(INDEX(Papers!$N$2:$N$12,MATCH($C110,Papers!$A$2:$A$12,0)),""),IFERROR(INDEX(Papers!$O$2:$O$12,MATCH($C110,Papers!$A$2:$A$12,0)),""),IFERROR(INDEX(Papers!$P$2:$P$12,MATCH($C110,Papers!$A$2:$A$12,0)),"")),MATCH(MIN(G110,K110,O110,S110,W110,AA110),CHOOSE({1,2,3,4,5,6},G110,K110,O110,S110,W110,AA110),0)),""))</f>
        <v/>
      </c>
      <c r="AE110">
        <f>IF(AC110="","",IF(AC110&lt;50,"Re-teach",IF(AC110&lt;75,"Practice more","Relatively secure")))</f>
        <v/>
      </c>
    </row>
    <row r="111">
      <c r="A111">
        <f>IF(Attempts!A111="","",Attempts!A111)</f>
        <v/>
      </c>
      <c r="B111">
        <f>IF(Attempts!A111="","",Attempts!B111)</f>
        <v/>
      </c>
      <c r="C111">
        <f>IF(Attempts!A111="","",Attempts!D111)</f>
        <v/>
      </c>
      <c r="D111">
        <f>IF($A111="","",IFERROR(INDEX(Papers!$E$2:$E$12,MATCH($C111,Papers!$A$2:$A$12,0)),""))</f>
        <v/>
      </c>
      <c r="E111">
        <f>IF($A111="","",IFERROR(SUMPRODUCT((INDEX(SubMap!$B$2:$AE$12,MATCH($C111,SubMap!$A$2:$A$12,0),0)=1)*Attempts!$AR111:$BU111),0))</f>
        <v/>
      </c>
      <c r="F111">
        <f>IF($A111="","",IFERROR(COUNTIF(INDEX(SubMap!$B$2:$AE$12,MATCH($C111,SubMap!$A$2:$A$12,0),0),1),0))</f>
        <v/>
      </c>
      <c r="G111">
        <f>IF(OR($A111="",F111=0),"",ROUND(E111/F111*100,1))</f>
        <v/>
      </c>
      <c r="H111">
        <f>IF($A111="","",IFERROR(INDEX(Papers!$F$2:$F$12,MATCH($C111,Papers!$A$2:$A$12,0)),""))</f>
        <v/>
      </c>
      <c r="I111">
        <f>IF($A111="","",IFERROR(SUMPRODUCT((INDEX(SubMap!$B$2:$AE$12,MATCH($C111,SubMap!$A$2:$A$12,0),0)=2)*Attempts!$AR111:$BU111),0))</f>
        <v/>
      </c>
      <c r="J111">
        <f>IF($A111="","",IFERROR(COUNTIF(INDEX(SubMap!$B$2:$AE$12,MATCH($C111,SubMap!$A$2:$A$12,0),0),2),0))</f>
        <v/>
      </c>
      <c r="K111">
        <f>IF(OR($A111="",J111=0),"",ROUND(I111/J111*100,1))</f>
        <v/>
      </c>
      <c r="L111">
        <f>IF($A111="","",IFERROR(INDEX(Papers!$G$2:$G$12,MATCH($C111,Papers!$A$2:$A$12,0)),""))</f>
        <v/>
      </c>
      <c r="M111">
        <f>IF($A111="","",IFERROR(SUMPRODUCT((INDEX(SubMap!$B$2:$AE$12,MATCH($C111,SubMap!$A$2:$A$12,0),0)=3)*Attempts!$AR111:$BU111),0))</f>
        <v/>
      </c>
      <c r="N111">
        <f>IF($A111="","",IFERROR(COUNTIF(INDEX(SubMap!$B$2:$AE$12,MATCH($C111,SubMap!$A$2:$A$12,0),0),3),0))</f>
        <v/>
      </c>
      <c r="O111">
        <f>IF(OR($A111="",N111=0),"",ROUND(M111/N111*100,1))</f>
        <v/>
      </c>
      <c r="P111">
        <f>IF($A111="","",IFERROR(INDEX(Papers!$H$2:$H$12,MATCH($C111,Papers!$A$2:$A$12,0)),""))</f>
        <v/>
      </c>
      <c r="Q111">
        <f>IF($A111="","",IFERROR(SUMPRODUCT((INDEX(SubMap!$B$2:$AE$12,MATCH($C111,SubMap!$A$2:$A$12,0),0)=4)*Attempts!$AR111:$BU111),0))</f>
        <v/>
      </c>
      <c r="R111">
        <f>IF($A111="","",IFERROR(COUNTIF(INDEX(SubMap!$B$2:$AE$12,MATCH($C111,SubMap!$A$2:$A$12,0),0),4),0))</f>
        <v/>
      </c>
      <c r="S111">
        <f>IF(OR($A111="",R111=0),"",ROUND(Q111/R111*100,1))</f>
        <v/>
      </c>
      <c r="T111">
        <f>IF($A111="","",IFERROR(INDEX(Papers!$I$2:$I$12,MATCH($C111,Papers!$A$2:$A$12,0)),""))</f>
        <v/>
      </c>
      <c r="U111">
        <f>IF($A111="","",IFERROR(SUMPRODUCT((INDEX(SubMap!$B$2:$AE$12,MATCH($C111,SubMap!$A$2:$A$12,0),0)=5)*Attempts!$AR111:$BU111),0))</f>
        <v/>
      </c>
      <c r="V111">
        <f>IF($A111="","",IFERROR(COUNTIF(INDEX(SubMap!$B$2:$AE$12,MATCH($C111,SubMap!$A$2:$A$12,0),0),5),0))</f>
        <v/>
      </c>
      <c r="W111">
        <f>IF(OR($A111="",V111=0),"",ROUND(U111/V111*100,1))</f>
        <v/>
      </c>
      <c r="X111">
        <f>IF($A111="","",IFERROR(INDEX(Papers!$J$2:$J$12,MATCH($C111,Papers!$A$2:$A$12,0)),""))</f>
        <v/>
      </c>
      <c r="Y111">
        <f>IF($A111="","",IFERROR(SUMPRODUCT((INDEX(SubMap!$B$2:$AE$12,MATCH($C111,SubMap!$A$2:$A$12,0),0)=6)*Attempts!$AR111:$BU111),0))</f>
        <v/>
      </c>
      <c r="Z111">
        <f>IF($A111="","",IFERROR(COUNTIF(INDEX(SubMap!$B$2:$AE$12,MATCH($C111,SubMap!$A$2:$A$12,0),0),6),0))</f>
        <v/>
      </c>
      <c r="AA111">
        <f>IF(OR($A111="",Z111=0),"",ROUND(Y111/Z111*100,1))</f>
        <v/>
      </c>
      <c r="AB111">
        <f>IF($A111="","",IFERROR(INDEX(CHOOSE({1,2,3,4,5,6},D111,H111,L111,P111,T111,X111),MATCH(MIN(G111,K111,O111,S111,W111,AA111),CHOOSE({1,2,3,4,5,6},G111,K111,O111,S111,W111,AA111),0)),""))</f>
        <v/>
      </c>
      <c r="AC111">
        <f>IF($A111="","",IF(COUNT(G111,K111,O111,S111,W111,AA111)=0,"",MIN(G111,K111,O111,S111,W111,AA111)))</f>
        <v/>
      </c>
      <c r="AD111">
        <f>IF($A111="","",IFERROR(INDEX(CHOOSE({1,2,3,4,5,6},IFERROR(INDEX(Papers!$K$2:$K$12,MATCH($C111,Papers!$A$2:$A$12,0)),""),IFERROR(INDEX(Papers!$L$2:$L$12,MATCH($C111,Papers!$A$2:$A$12,0)),""),IFERROR(INDEX(Papers!$M$2:$M$12,MATCH($C111,Papers!$A$2:$A$12,0)),""),IFERROR(INDEX(Papers!$N$2:$N$12,MATCH($C111,Papers!$A$2:$A$12,0)),""),IFERROR(INDEX(Papers!$O$2:$O$12,MATCH($C111,Papers!$A$2:$A$12,0)),""),IFERROR(INDEX(Papers!$P$2:$P$12,MATCH($C111,Papers!$A$2:$A$12,0)),"")),MATCH(MIN(G111,K111,O111,S111,W111,AA111),CHOOSE({1,2,3,4,5,6},G111,K111,O111,S111,W111,AA111),0)),""))</f>
        <v/>
      </c>
      <c r="AE111">
        <f>IF(AC111="","",IF(AC111&lt;50,"Re-teach",IF(AC111&lt;75,"Practice more","Relatively secure")))</f>
        <v/>
      </c>
    </row>
    <row r="112">
      <c r="A112">
        <f>IF(Attempts!A112="","",Attempts!A112)</f>
        <v/>
      </c>
      <c r="B112">
        <f>IF(Attempts!A112="","",Attempts!B112)</f>
        <v/>
      </c>
      <c r="C112">
        <f>IF(Attempts!A112="","",Attempts!D112)</f>
        <v/>
      </c>
      <c r="D112">
        <f>IF($A112="","",IFERROR(INDEX(Papers!$E$2:$E$12,MATCH($C112,Papers!$A$2:$A$12,0)),""))</f>
        <v/>
      </c>
      <c r="E112">
        <f>IF($A112="","",IFERROR(SUMPRODUCT((INDEX(SubMap!$B$2:$AE$12,MATCH($C112,SubMap!$A$2:$A$12,0),0)=1)*Attempts!$AR112:$BU112),0))</f>
        <v/>
      </c>
      <c r="F112">
        <f>IF($A112="","",IFERROR(COUNTIF(INDEX(SubMap!$B$2:$AE$12,MATCH($C112,SubMap!$A$2:$A$12,0),0),1),0))</f>
        <v/>
      </c>
      <c r="G112">
        <f>IF(OR($A112="",F112=0),"",ROUND(E112/F112*100,1))</f>
        <v/>
      </c>
      <c r="H112">
        <f>IF($A112="","",IFERROR(INDEX(Papers!$F$2:$F$12,MATCH($C112,Papers!$A$2:$A$12,0)),""))</f>
        <v/>
      </c>
      <c r="I112">
        <f>IF($A112="","",IFERROR(SUMPRODUCT((INDEX(SubMap!$B$2:$AE$12,MATCH($C112,SubMap!$A$2:$A$12,0),0)=2)*Attempts!$AR112:$BU112),0))</f>
        <v/>
      </c>
      <c r="J112">
        <f>IF($A112="","",IFERROR(COUNTIF(INDEX(SubMap!$B$2:$AE$12,MATCH($C112,SubMap!$A$2:$A$12,0),0),2),0))</f>
        <v/>
      </c>
      <c r="K112">
        <f>IF(OR($A112="",J112=0),"",ROUND(I112/J112*100,1))</f>
        <v/>
      </c>
      <c r="L112">
        <f>IF($A112="","",IFERROR(INDEX(Papers!$G$2:$G$12,MATCH($C112,Papers!$A$2:$A$12,0)),""))</f>
        <v/>
      </c>
      <c r="M112">
        <f>IF($A112="","",IFERROR(SUMPRODUCT((INDEX(SubMap!$B$2:$AE$12,MATCH($C112,SubMap!$A$2:$A$12,0),0)=3)*Attempts!$AR112:$BU112),0))</f>
        <v/>
      </c>
      <c r="N112">
        <f>IF($A112="","",IFERROR(COUNTIF(INDEX(SubMap!$B$2:$AE$12,MATCH($C112,SubMap!$A$2:$A$12,0),0),3),0))</f>
        <v/>
      </c>
      <c r="O112">
        <f>IF(OR($A112="",N112=0),"",ROUND(M112/N112*100,1))</f>
        <v/>
      </c>
      <c r="P112">
        <f>IF($A112="","",IFERROR(INDEX(Papers!$H$2:$H$12,MATCH($C112,Papers!$A$2:$A$12,0)),""))</f>
        <v/>
      </c>
      <c r="Q112">
        <f>IF($A112="","",IFERROR(SUMPRODUCT((INDEX(SubMap!$B$2:$AE$12,MATCH($C112,SubMap!$A$2:$A$12,0),0)=4)*Attempts!$AR112:$BU112),0))</f>
        <v/>
      </c>
      <c r="R112">
        <f>IF($A112="","",IFERROR(COUNTIF(INDEX(SubMap!$B$2:$AE$12,MATCH($C112,SubMap!$A$2:$A$12,0),0),4),0))</f>
        <v/>
      </c>
      <c r="S112">
        <f>IF(OR($A112="",R112=0),"",ROUND(Q112/R112*100,1))</f>
        <v/>
      </c>
      <c r="T112">
        <f>IF($A112="","",IFERROR(INDEX(Papers!$I$2:$I$12,MATCH($C112,Papers!$A$2:$A$12,0)),""))</f>
        <v/>
      </c>
      <c r="U112">
        <f>IF($A112="","",IFERROR(SUMPRODUCT((INDEX(SubMap!$B$2:$AE$12,MATCH($C112,SubMap!$A$2:$A$12,0),0)=5)*Attempts!$AR112:$BU112),0))</f>
        <v/>
      </c>
      <c r="V112">
        <f>IF($A112="","",IFERROR(COUNTIF(INDEX(SubMap!$B$2:$AE$12,MATCH($C112,SubMap!$A$2:$A$12,0),0),5),0))</f>
        <v/>
      </c>
      <c r="W112">
        <f>IF(OR($A112="",V112=0),"",ROUND(U112/V112*100,1))</f>
        <v/>
      </c>
      <c r="X112">
        <f>IF($A112="","",IFERROR(INDEX(Papers!$J$2:$J$12,MATCH($C112,Papers!$A$2:$A$12,0)),""))</f>
        <v/>
      </c>
      <c r="Y112">
        <f>IF($A112="","",IFERROR(SUMPRODUCT((INDEX(SubMap!$B$2:$AE$12,MATCH($C112,SubMap!$A$2:$A$12,0),0)=6)*Attempts!$AR112:$BU112),0))</f>
        <v/>
      </c>
      <c r="Z112">
        <f>IF($A112="","",IFERROR(COUNTIF(INDEX(SubMap!$B$2:$AE$12,MATCH($C112,SubMap!$A$2:$A$12,0),0),6),0))</f>
        <v/>
      </c>
      <c r="AA112">
        <f>IF(OR($A112="",Z112=0),"",ROUND(Y112/Z112*100,1))</f>
        <v/>
      </c>
      <c r="AB112">
        <f>IF($A112="","",IFERROR(INDEX(CHOOSE({1,2,3,4,5,6},D112,H112,L112,P112,T112,X112),MATCH(MIN(G112,K112,O112,S112,W112,AA112),CHOOSE({1,2,3,4,5,6},G112,K112,O112,S112,W112,AA112),0)),""))</f>
        <v/>
      </c>
      <c r="AC112">
        <f>IF($A112="","",IF(COUNT(G112,K112,O112,S112,W112,AA112)=0,"",MIN(G112,K112,O112,S112,W112,AA112)))</f>
        <v/>
      </c>
      <c r="AD112">
        <f>IF($A112="","",IFERROR(INDEX(CHOOSE({1,2,3,4,5,6},IFERROR(INDEX(Papers!$K$2:$K$12,MATCH($C112,Papers!$A$2:$A$12,0)),""),IFERROR(INDEX(Papers!$L$2:$L$12,MATCH($C112,Papers!$A$2:$A$12,0)),""),IFERROR(INDEX(Papers!$M$2:$M$12,MATCH($C112,Papers!$A$2:$A$12,0)),""),IFERROR(INDEX(Papers!$N$2:$N$12,MATCH($C112,Papers!$A$2:$A$12,0)),""),IFERROR(INDEX(Papers!$O$2:$O$12,MATCH($C112,Papers!$A$2:$A$12,0)),""),IFERROR(INDEX(Papers!$P$2:$P$12,MATCH($C112,Papers!$A$2:$A$12,0)),"")),MATCH(MIN(G112,K112,O112,S112,W112,AA112),CHOOSE({1,2,3,4,5,6},G112,K112,O112,S112,W112,AA112),0)),""))</f>
        <v/>
      </c>
      <c r="AE112">
        <f>IF(AC112="","",IF(AC112&lt;50,"Re-teach",IF(AC112&lt;75,"Practice more","Relatively secure")))</f>
        <v/>
      </c>
    </row>
    <row r="113">
      <c r="A113">
        <f>IF(Attempts!A113="","",Attempts!A113)</f>
        <v/>
      </c>
      <c r="B113">
        <f>IF(Attempts!A113="","",Attempts!B113)</f>
        <v/>
      </c>
      <c r="C113">
        <f>IF(Attempts!A113="","",Attempts!D113)</f>
        <v/>
      </c>
      <c r="D113">
        <f>IF($A113="","",IFERROR(INDEX(Papers!$E$2:$E$12,MATCH($C113,Papers!$A$2:$A$12,0)),""))</f>
        <v/>
      </c>
      <c r="E113">
        <f>IF($A113="","",IFERROR(SUMPRODUCT((INDEX(SubMap!$B$2:$AE$12,MATCH($C113,SubMap!$A$2:$A$12,0),0)=1)*Attempts!$AR113:$BU113),0))</f>
        <v/>
      </c>
      <c r="F113">
        <f>IF($A113="","",IFERROR(COUNTIF(INDEX(SubMap!$B$2:$AE$12,MATCH($C113,SubMap!$A$2:$A$12,0),0),1),0))</f>
        <v/>
      </c>
      <c r="G113">
        <f>IF(OR($A113="",F113=0),"",ROUND(E113/F113*100,1))</f>
        <v/>
      </c>
      <c r="H113">
        <f>IF($A113="","",IFERROR(INDEX(Papers!$F$2:$F$12,MATCH($C113,Papers!$A$2:$A$12,0)),""))</f>
        <v/>
      </c>
      <c r="I113">
        <f>IF($A113="","",IFERROR(SUMPRODUCT((INDEX(SubMap!$B$2:$AE$12,MATCH($C113,SubMap!$A$2:$A$12,0),0)=2)*Attempts!$AR113:$BU113),0))</f>
        <v/>
      </c>
      <c r="J113">
        <f>IF($A113="","",IFERROR(COUNTIF(INDEX(SubMap!$B$2:$AE$12,MATCH($C113,SubMap!$A$2:$A$12,0),0),2),0))</f>
        <v/>
      </c>
      <c r="K113">
        <f>IF(OR($A113="",J113=0),"",ROUND(I113/J113*100,1))</f>
        <v/>
      </c>
      <c r="L113">
        <f>IF($A113="","",IFERROR(INDEX(Papers!$G$2:$G$12,MATCH($C113,Papers!$A$2:$A$12,0)),""))</f>
        <v/>
      </c>
      <c r="M113">
        <f>IF($A113="","",IFERROR(SUMPRODUCT((INDEX(SubMap!$B$2:$AE$12,MATCH($C113,SubMap!$A$2:$A$12,0),0)=3)*Attempts!$AR113:$BU113),0))</f>
        <v/>
      </c>
      <c r="N113">
        <f>IF($A113="","",IFERROR(COUNTIF(INDEX(SubMap!$B$2:$AE$12,MATCH($C113,SubMap!$A$2:$A$12,0),0),3),0))</f>
        <v/>
      </c>
      <c r="O113">
        <f>IF(OR($A113="",N113=0),"",ROUND(M113/N113*100,1))</f>
        <v/>
      </c>
      <c r="P113">
        <f>IF($A113="","",IFERROR(INDEX(Papers!$H$2:$H$12,MATCH($C113,Papers!$A$2:$A$12,0)),""))</f>
        <v/>
      </c>
      <c r="Q113">
        <f>IF($A113="","",IFERROR(SUMPRODUCT((INDEX(SubMap!$B$2:$AE$12,MATCH($C113,SubMap!$A$2:$A$12,0),0)=4)*Attempts!$AR113:$BU113),0))</f>
        <v/>
      </c>
      <c r="R113">
        <f>IF($A113="","",IFERROR(COUNTIF(INDEX(SubMap!$B$2:$AE$12,MATCH($C113,SubMap!$A$2:$A$12,0),0),4),0))</f>
        <v/>
      </c>
      <c r="S113">
        <f>IF(OR($A113="",R113=0),"",ROUND(Q113/R113*100,1))</f>
        <v/>
      </c>
      <c r="T113">
        <f>IF($A113="","",IFERROR(INDEX(Papers!$I$2:$I$12,MATCH($C113,Papers!$A$2:$A$12,0)),""))</f>
        <v/>
      </c>
      <c r="U113">
        <f>IF($A113="","",IFERROR(SUMPRODUCT((INDEX(SubMap!$B$2:$AE$12,MATCH($C113,SubMap!$A$2:$A$12,0),0)=5)*Attempts!$AR113:$BU113),0))</f>
        <v/>
      </c>
      <c r="V113">
        <f>IF($A113="","",IFERROR(COUNTIF(INDEX(SubMap!$B$2:$AE$12,MATCH($C113,SubMap!$A$2:$A$12,0),0),5),0))</f>
        <v/>
      </c>
      <c r="W113">
        <f>IF(OR($A113="",V113=0),"",ROUND(U113/V113*100,1))</f>
        <v/>
      </c>
      <c r="X113">
        <f>IF($A113="","",IFERROR(INDEX(Papers!$J$2:$J$12,MATCH($C113,Papers!$A$2:$A$12,0)),""))</f>
        <v/>
      </c>
      <c r="Y113">
        <f>IF($A113="","",IFERROR(SUMPRODUCT((INDEX(SubMap!$B$2:$AE$12,MATCH($C113,SubMap!$A$2:$A$12,0),0)=6)*Attempts!$AR113:$BU113),0))</f>
        <v/>
      </c>
      <c r="Z113">
        <f>IF($A113="","",IFERROR(COUNTIF(INDEX(SubMap!$B$2:$AE$12,MATCH($C113,SubMap!$A$2:$A$12,0),0),6),0))</f>
        <v/>
      </c>
      <c r="AA113">
        <f>IF(OR($A113="",Z113=0),"",ROUND(Y113/Z113*100,1))</f>
        <v/>
      </c>
      <c r="AB113">
        <f>IF($A113="","",IFERROR(INDEX(CHOOSE({1,2,3,4,5,6},D113,H113,L113,P113,T113,X113),MATCH(MIN(G113,K113,O113,S113,W113,AA113),CHOOSE({1,2,3,4,5,6},G113,K113,O113,S113,W113,AA113),0)),""))</f>
        <v/>
      </c>
      <c r="AC113">
        <f>IF($A113="","",IF(COUNT(G113,K113,O113,S113,W113,AA113)=0,"",MIN(G113,K113,O113,S113,W113,AA113)))</f>
        <v/>
      </c>
      <c r="AD113">
        <f>IF($A113="","",IFERROR(INDEX(CHOOSE({1,2,3,4,5,6},IFERROR(INDEX(Papers!$K$2:$K$12,MATCH($C113,Papers!$A$2:$A$12,0)),""),IFERROR(INDEX(Papers!$L$2:$L$12,MATCH($C113,Papers!$A$2:$A$12,0)),""),IFERROR(INDEX(Papers!$M$2:$M$12,MATCH($C113,Papers!$A$2:$A$12,0)),""),IFERROR(INDEX(Papers!$N$2:$N$12,MATCH($C113,Papers!$A$2:$A$12,0)),""),IFERROR(INDEX(Papers!$O$2:$O$12,MATCH($C113,Papers!$A$2:$A$12,0)),""),IFERROR(INDEX(Papers!$P$2:$P$12,MATCH($C113,Papers!$A$2:$A$12,0)),"")),MATCH(MIN(G113,K113,O113,S113,W113,AA113),CHOOSE({1,2,3,4,5,6},G113,K113,O113,S113,W113,AA113),0)),""))</f>
        <v/>
      </c>
      <c r="AE113">
        <f>IF(AC113="","",IF(AC113&lt;50,"Re-teach",IF(AC113&lt;75,"Practice more","Relatively secure")))</f>
        <v/>
      </c>
    </row>
    <row r="114">
      <c r="A114">
        <f>IF(Attempts!A114="","",Attempts!A114)</f>
        <v/>
      </c>
      <c r="B114">
        <f>IF(Attempts!A114="","",Attempts!B114)</f>
        <v/>
      </c>
      <c r="C114">
        <f>IF(Attempts!A114="","",Attempts!D114)</f>
        <v/>
      </c>
      <c r="D114">
        <f>IF($A114="","",IFERROR(INDEX(Papers!$E$2:$E$12,MATCH($C114,Papers!$A$2:$A$12,0)),""))</f>
        <v/>
      </c>
      <c r="E114">
        <f>IF($A114="","",IFERROR(SUMPRODUCT((INDEX(SubMap!$B$2:$AE$12,MATCH($C114,SubMap!$A$2:$A$12,0),0)=1)*Attempts!$AR114:$BU114),0))</f>
        <v/>
      </c>
      <c r="F114">
        <f>IF($A114="","",IFERROR(COUNTIF(INDEX(SubMap!$B$2:$AE$12,MATCH($C114,SubMap!$A$2:$A$12,0),0),1),0))</f>
        <v/>
      </c>
      <c r="G114">
        <f>IF(OR($A114="",F114=0),"",ROUND(E114/F114*100,1))</f>
        <v/>
      </c>
      <c r="H114">
        <f>IF($A114="","",IFERROR(INDEX(Papers!$F$2:$F$12,MATCH($C114,Papers!$A$2:$A$12,0)),""))</f>
        <v/>
      </c>
      <c r="I114">
        <f>IF($A114="","",IFERROR(SUMPRODUCT((INDEX(SubMap!$B$2:$AE$12,MATCH($C114,SubMap!$A$2:$A$12,0),0)=2)*Attempts!$AR114:$BU114),0))</f>
        <v/>
      </c>
      <c r="J114">
        <f>IF($A114="","",IFERROR(COUNTIF(INDEX(SubMap!$B$2:$AE$12,MATCH($C114,SubMap!$A$2:$A$12,0),0),2),0))</f>
        <v/>
      </c>
      <c r="K114">
        <f>IF(OR($A114="",J114=0),"",ROUND(I114/J114*100,1))</f>
        <v/>
      </c>
      <c r="L114">
        <f>IF($A114="","",IFERROR(INDEX(Papers!$G$2:$G$12,MATCH($C114,Papers!$A$2:$A$12,0)),""))</f>
        <v/>
      </c>
      <c r="M114">
        <f>IF($A114="","",IFERROR(SUMPRODUCT((INDEX(SubMap!$B$2:$AE$12,MATCH($C114,SubMap!$A$2:$A$12,0),0)=3)*Attempts!$AR114:$BU114),0))</f>
        <v/>
      </c>
      <c r="N114">
        <f>IF($A114="","",IFERROR(COUNTIF(INDEX(SubMap!$B$2:$AE$12,MATCH($C114,SubMap!$A$2:$A$12,0),0),3),0))</f>
        <v/>
      </c>
      <c r="O114">
        <f>IF(OR($A114="",N114=0),"",ROUND(M114/N114*100,1))</f>
        <v/>
      </c>
      <c r="P114">
        <f>IF($A114="","",IFERROR(INDEX(Papers!$H$2:$H$12,MATCH($C114,Papers!$A$2:$A$12,0)),""))</f>
        <v/>
      </c>
      <c r="Q114">
        <f>IF($A114="","",IFERROR(SUMPRODUCT((INDEX(SubMap!$B$2:$AE$12,MATCH($C114,SubMap!$A$2:$A$12,0),0)=4)*Attempts!$AR114:$BU114),0))</f>
        <v/>
      </c>
      <c r="R114">
        <f>IF($A114="","",IFERROR(COUNTIF(INDEX(SubMap!$B$2:$AE$12,MATCH($C114,SubMap!$A$2:$A$12,0),0),4),0))</f>
        <v/>
      </c>
      <c r="S114">
        <f>IF(OR($A114="",R114=0),"",ROUND(Q114/R114*100,1))</f>
        <v/>
      </c>
      <c r="T114">
        <f>IF($A114="","",IFERROR(INDEX(Papers!$I$2:$I$12,MATCH($C114,Papers!$A$2:$A$12,0)),""))</f>
        <v/>
      </c>
      <c r="U114">
        <f>IF($A114="","",IFERROR(SUMPRODUCT((INDEX(SubMap!$B$2:$AE$12,MATCH($C114,SubMap!$A$2:$A$12,0),0)=5)*Attempts!$AR114:$BU114),0))</f>
        <v/>
      </c>
      <c r="V114">
        <f>IF($A114="","",IFERROR(COUNTIF(INDEX(SubMap!$B$2:$AE$12,MATCH($C114,SubMap!$A$2:$A$12,0),0),5),0))</f>
        <v/>
      </c>
      <c r="W114">
        <f>IF(OR($A114="",V114=0),"",ROUND(U114/V114*100,1))</f>
        <v/>
      </c>
      <c r="X114">
        <f>IF($A114="","",IFERROR(INDEX(Papers!$J$2:$J$12,MATCH($C114,Papers!$A$2:$A$12,0)),""))</f>
        <v/>
      </c>
      <c r="Y114">
        <f>IF($A114="","",IFERROR(SUMPRODUCT((INDEX(SubMap!$B$2:$AE$12,MATCH($C114,SubMap!$A$2:$A$12,0),0)=6)*Attempts!$AR114:$BU114),0))</f>
        <v/>
      </c>
      <c r="Z114">
        <f>IF($A114="","",IFERROR(COUNTIF(INDEX(SubMap!$B$2:$AE$12,MATCH($C114,SubMap!$A$2:$A$12,0),0),6),0))</f>
        <v/>
      </c>
      <c r="AA114">
        <f>IF(OR($A114="",Z114=0),"",ROUND(Y114/Z114*100,1))</f>
        <v/>
      </c>
      <c r="AB114">
        <f>IF($A114="","",IFERROR(INDEX(CHOOSE({1,2,3,4,5,6},D114,H114,L114,P114,T114,X114),MATCH(MIN(G114,K114,O114,S114,W114,AA114),CHOOSE({1,2,3,4,5,6},G114,K114,O114,S114,W114,AA114),0)),""))</f>
        <v/>
      </c>
      <c r="AC114">
        <f>IF($A114="","",IF(COUNT(G114,K114,O114,S114,W114,AA114)=0,"",MIN(G114,K114,O114,S114,W114,AA114)))</f>
        <v/>
      </c>
      <c r="AD114">
        <f>IF($A114="","",IFERROR(INDEX(CHOOSE({1,2,3,4,5,6},IFERROR(INDEX(Papers!$K$2:$K$12,MATCH($C114,Papers!$A$2:$A$12,0)),""),IFERROR(INDEX(Papers!$L$2:$L$12,MATCH($C114,Papers!$A$2:$A$12,0)),""),IFERROR(INDEX(Papers!$M$2:$M$12,MATCH($C114,Papers!$A$2:$A$12,0)),""),IFERROR(INDEX(Papers!$N$2:$N$12,MATCH($C114,Papers!$A$2:$A$12,0)),""),IFERROR(INDEX(Papers!$O$2:$O$12,MATCH($C114,Papers!$A$2:$A$12,0)),""),IFERROR(INDEX(Papers!$P$2:$P$12,MATCH($C114,Papers!$A$2:$A$12,0)),"")),MATCH(MIN(G114,K114,O114,S114,W114,AA114),CHOOSE({1,2,3,4,5,6},G114,K114,O114,S114,W114,AA114),0)),""))</f>
        <v/>
      </c>
      <c r="AE114">
        <f>IF(AC114="","",IF(AC114&lt;50,"Re-teach",IF(AC114&lt;75,"Practice more","Relatively secure")))</f>
        <v/>
      </c>
    </row>
    <row r="115">
      <c r="A115">
        <f>IF(Attempts!A115="","",Attempts!A115)</f>
        <v/>
      </c>
      <c r="B115">
        <f>IF(Attempts!A115="","",Attempts!B115)</f>
        <v/>
      </c>
      <c r="C115">
        <f>IF(Attempts!A115="","",Attempts!D115)</f>
        <v/>
      </c>
      <c r="D115">
        <f>IF($A115="","",IFERROR(INDEX(Papers!$E$2:$E$12,MATCH($C115,Papers!$A$2:$A$12,0)),""))</f>
        <v/>
      </c>
      <c r="E115">
        <f>IF($A115="","",IFERROR(SUMPRODUCT((INDEX(SubMap!$B$2:$AE$12,MATCH($C115,SubMap!$A$2:$A$12,0),0)=1)*Attempts!$AR115:$BU115),0))</f>
        <v/>
      </c>
      <c r="F115">
        <f>IF($A115="","",IFERROR(COUNTIF(INDEX(SubMap!$B$2:$AE$12,MATCH($C115,SubMap!$A$2:$A$12,0),0),1),0))</f>
        <v/>
      </c>
      <c r="G115">
        <f>IF(OR($A115="",F115=0),"",ROUND(E115/F115*100,1))</f>
        <v/>
      </c>
      <c r="H115">
        <f>IF($A115="","",IFERROR(INDEX(Papers!$F$2:$F$12,MATCH($C115,Papers!$A$2:$A$12,0)),""))</f>
        <v/>
      </c>
      <c r="I115">
        <f>IF($A115="","",IFERROR(SUMPRODUCT((INDEX(SubMap!$B$2:$AE$12,MATCH($C115,SubMap!$A$2:$A$12,0),0)=2)*Attempts!$AR115:$BU115),0))</f>
        <v/>
      </c>
      <c r="J115">
        <f>IF($A115="","",IFERROR(COUNTIF(INDEX(SubMap!$B$2:$AE$12,MATCH($C115,SubMap!$A$2:$A$12,0),0),2),0))</f>
        <v/>
      </c>
      <c r="K115">
        <f>IF(OR($A115="",J115=0),"",ROUND(I115/J115*100,1))</f>
        <v/>
      </c>
      <c r="L115">
        <f>IF($A115="","",IFERROR(INDEX(Papers!$G$2:$G$12,MATCH($C115,Papers!$A$2:$A$12,0)),""))</f>
        <v/>
      </c>
      <c r="M115">
        <f>IF($A115="","",IFERROR(SUMPRODUCT((INDEX(SubMap!$B$2:$AE$12,MATCH($C115,SubMap!$A$2:$A$12,0),0)=3)*Attempts!$AR115:$BU115),0))</f>
        <v/>
      </c>
      <c r="N115">
        <f>IF($A115="","",IFERROR(COUNTIF(INDEX(SubMap!$B$2:$AE$12,MATCH($C115,SubMap!$A$2:$A$12,0),0),3),0))</f>
        <v/>
      </c>
      <c r="O115">
        <f>IF(OR($A115="",N115=0),"",ROUND(M115/N115*100,1))</f>
        <v/>
      </c>
      <c r="P115">
        <f>IF($A115="","",IFERROR(INDEX(Papers!$H$2:$H$12,MATCH($C115,Papers!$A$2:$A$12,0)),""))</f>
        <v/>
      </c>
      <c r="Q115">
        <f>IF($A115="","",IFERROR(SUMPRODUCT((INDEX(SubMap!$B$2:$AE$12,MATCH($C115,SubMap!$A$2:$A$12,0),0)=4)*Attempts!$AR115:$BU115),0))</f>
        <v/>
      </c>
      <c r="R115">
        <f>IF($A115="","",IFERROR(COUNTIF(INDEX(SubMap!$B$2:$AE$12,MATCH($C115,SubMap!$A$2:$A$12,0),0),4),0))</f>
        <v/>
      </c>
      <c r="S115">
        <f>IF(OR($A115="",R115=0),"",ROUND(Q115/R115*100,1))</f>
        <v/>
      </c>
      <c r="T115">
        <f>IF($A115="","",IFERROR(INDEX(Papers!$I$2:$I$12,MATCH($C115,Papers!$A$2:$A$12,0)),""))</f>
        <v/>
      </c>
      <c r="U115">
        <f>IF($A115="","",IFERROR(SUMPRODUCT((INDEX(SubMap!$B$2:$AE$12,MATCH($C115,SubMap!$A$2:$A$12,0),0)=5)*Attempts!$AR115:$BU115),0))</f>
        <v/>
      </c>
      <c r="V115">
        <f>IF($A115="","",IFERROR(COUNTIF(INDEX(SubMap!$B$2:$AE$12,MATCH($C115,SubMap!$A$2:$A$12,0),0),5),0))</f>
        <v/>
      </c>
      <c r="W115">
        <f>IF(OR($A115="",V115=0),"",ROUND(U115/V115*100,1))</f>
        <v/>
      </c>
      <c r="X115">
        <f>IF($A115="","",IFERROR(INDEX(Papers!$J$2:$J$12,MATCH($C115,Papers!$A$2:$A$12,0)),""))</f>
        <v/>
      </c>
      <c r="Y115">
        <f>IF($A115="","",IFERROR(SUMPRODUCT((INDEX(SubMap!$B$2:$AE$12,MATCH($C115,SubMap!$A$2:$A$12,0),0)=6)*Attempts!$AR115:$BU115),0))</f>
        <v/>
      </c>
      <c r="Z115">
        <f>IF($A115="","",IFERROR(COUNTIF(INDEX(SubMap!$B$2:$AE$12,MATCH($C115,SubMap!$A$2:$A$12,0),0),6),0))</f>
        <v/>
      </c>
      <c r="AA115">
        <f>IF(OR($A115="",Z115=0),"",ROUND(Y115/Z115*100,1))</f>
        <v/>
      </c>
      <c r="AB115">
        <f>IF($A115="","",IFERROR(INDEX(CHOOSE({1,2,3,4,5,6},D115,H115,L115,P115,T115,X115),MATCH(MIN(G115,K115,O115,S115,W115,AA115),CHOOSE({1,2,3,4,5,6},G115,K115,O115,S115,W115,AA115),0)),""))</f>
        <v/>
      </c>
      <c r="AC115">
        <f>IF($A115="","",IF(COUNT(G115,K115,O115,S115,W115,AA115)=0,"",MIN(G115,K115,O115,S115,W115,AA115)))</f>
        <v/>
      </c>
      <c r="AD115">
        <f>IF($A115="","",IFERROR(INDEX(CHOOSE({1,2,3,4,5,6},IFERROR(INDEX(Papers!$K$2:$K$12,MATCH($C115,Papers!$A$2:$A$12,0)),""),IFERROR(INDEX(Papers!$L$2:$L$12,MATCH($C115,Papers!$A$2:$A$12,0)),""),IFERROR(INDEX(Papers!$M$2:$M$12,MATCH($C115,Papers!$A$2:$A$12,0)),""),IFERROR(INDEX(Papers!$N$2:$N$12,MATCH($C115,Papers!$A$2:$A$12,0)),""),IFERROR(INDEX(Papers!$O$2:$O$12,MATCH($C115,Papers!$A$2:$A$12,0)),""),IFERROR(INDEX(Papers!$P$2:$P$12,MATCH($C115,Papers!$A$2:$A$12,0)),"")),MATCH(MIN(G115,K115,O115,S115,W115,AA115),CHOOSE({1,2,3,4,5,6},G115,K115,O115,S115,W115,AA115),0)),""))</f>
        <v/>
      </c>
      <c r="AE115">
        <f>IF(AC115="","",IF(AC115&lt;50,"Re-teach",IF(AC115&lt;75,"Practice more","Relatively secure")))</f>
        <v/>
      </c>
    </row>
    <row r="116">
      <c r="A116">
        <f>IF(Attempts!A116="","",Attempts!A116)</f>
        <v/>
      </c>
      <c r="B116">
        <f>IF(Attempts!A116="","",Attempts!B116)</f>
        <v/>
      </c>
      <c r="C116">
        <f>IF(Attempts!A116="","",Attempts!D116)</f>
        <v/>
      </c>
      <c r="D116">
        <f>IF($A116="","",IFERROR(INDEX(Papers!$E$2:$E$12,MATCH($C116,Papers!$A$2:$A$12,0)),""))</f>
        <v/>
      </c>
      <c r="E116">
        <f>IF($A116="","",IFERROR(SUMPRODUCT((INDEX(SubMap!$B$2:$AE$12,MATCH($C116,SubMap!$A$2:$A$12,0),0)=1)*Attempts!$AR116:$BU116),0))</f>
        <v/>
      </c>
      <c r="F116">
        <f>IF($A116="","",IFERROR(COUNTIF(INDEX(SubMap!$B$2:$AE$12,MATCH($C116,SubMap!$A$2:$A$12,0),0),1),0))</f>
        <v/>
      </c>
      <c r="G116">
        <f>IF(OR($A116="",F116=0),"",ROUND(E116/F116*100,1))</f>
        <v/>
      </c>
      <c r="H116">
        <f>IF($A116="","",IFERROR(INDEX(Papers!$F$2:$F$12,MATCH($C116,Papers!$A$2:$A$12,0)),""))</f>
        <v/>
      </c>
      <c r="I116">
        <f>IF($A116="","",IFERROR(SUMPRODUCT((INDEX(SubMap!$B$2:$AE$12,MATCH($C116,SubMap!$A$2:$A$12,0),0)=2)*Attempts!$AR116:$BU116),0))</f>
        <v/>
      </c>
      <c r="J116">
        <f>IF($A116="","",IFERROR(COUNTIF(INDEX(SubMap!$B$2:$AE$12,MATCH($C116,SubMap!$A$2:$A$12,0),0),2),0))</f>
        <v/>
      </c>
      <c r="K116">
        <f>IF(OR($A116="",J116=0),"",ROUND(I116/J116*100,1))</f>
        <v/>
      </c>
      <c r="L116">
        <f>IF($A116="","",IFERROR(INDEX(Papers!$G$2:$G$12,MATCH($C116,Papers!$A$2:$A$12,0)),""))</f>
        <v/>
      </c>
      <c r="M116">
        <f>IF($A116="","",IFERROR(SUMPRODUCT((INDEX(SubMap!$B$2:$AE$12,MATCH($C116,SubMap!$A$2:$A$12,0),0)=3)*Attempts!$AR116:$BU116),0))</f>
        <v/>
      </c>
      <c r="N116">
        <f>IF($A116="","",IFERROR(COUNTIF(INDEX(SubMap!$B$2:$AE$12,MATCH($C116,SubMap!$A$2:$A$12,0),0),3),0))</f>
        <v/>
      </c>
      <c r="O116">
        <f>IF(OR($A116="",N116=0),"",ROUND(M116/N116*100,1))</f>
        <v/>
      </c>
      <c r="P116">
        <f>IF($A116="","",IFERROR(INDEX(Papers!$H$2:$H$12,MATCH($C116,Papers!$A$2:$A$12,0)),""))</f>
        <v/>
      </c>
      <c r="Q116">
        <f>IF($A116="","",IFERROR(SUMPRODUCT((INDEX(SubMap!$B$2:$AE$12,MATCH($C116,SubMap!$A$2:$A$12,0),0)=4)*Attempts!$AR116:$BU116),0))</f>
        <v/>
      </c>
      <c r="R116">
        <f>IF($A116="","",IFERROR(COUNTIF(INDEX(SubMap!$B$2:$AE$12,MATCH($C116,SubMap!$A$2:$A$12,0),0),4),0))</f>
        <v/>
      </c>
      <c r="S116">
        <f>IF(OR($A116="",R116=0),"",ROUND(Q116/R116*100,1))</f>
        <v/>
      </c>
      <c r="T116">
        <f>IF($A116="","",IFERROR(INDEX(Papers!$I$2:$I$12,MATCH($C116,Papers!$A$2:$A$12,0)),""))</f>
        <v/>
      </c>
      <c r="U116">
        <f>IF($A116="","",IFERROR(SUMPRODUCT((INDEX(SubMap!$B$2:$AE$12,MATCH($C116,SubMap!$A$2:$A$12,0),0)=5)*Attempts!$AR116:$BU116),0))</f>
        <v/>
      </c>
      <c r="V116">
        <f>IF($A116="","",IFERROR(COUNTIF(INDEX(SubMap!$B$2:$AE$12,MATCH($C116,SubMap!$A$2:$A$12,0),0),5),0))</f>
        <v/>
      </c>
      <c r="W116">
        <f>IF(OR($A116="",V116=0),"",ROUND(U116/V116*100,1))</f>
        <v/>
      </c>
      <c r="X116">
        <f>IF($A116="","",IFERROR(INDEX(Papers!$J$2:$J$12,MATCH($C116,Papers!$A$2:$A$12,0)),""))</f>
        <v/>
      </c>
      <c r="Y116">
        <f>IF($A116="","",IFERROR(SUMPRODUCT((INDEX(SubMap!$B$2:$AE$12,MATCH($C116,SubMap!$A$2:$A$12,0),0)=6)*Attempts!$AR116:$BU116),0))</f>
        <v/>
      </c>
      <c r="Z116">
        <f>IF($A116="","",IFERROR(COUNTIF(INDEX(SubMap!$B$2:$AE$12,MATCH($C116,SubMap!$A$2:$A$12,0),0),6),0))</f>
        <v/>
      </c>
      <c r="AA116">
        <f>IF(OR($A116="",Z116=0),"",ROUND(Y116/Z116*100,1))</f>
        <v/>
      </c>
      <c r="AB116">
        <f>IF($A116="","",IFERROR(INDEX(CHOOSE({1,2,3,4,5,6},D116,H116,L116,P116,T116,X116),MATCH(MIN(G116,K116,O116,S116,W116,AA116),CHOOSE({1,2,3,4,5,6},G116,K116,O116,S116,W116,AA116),0)),""))</f>
        <v/>
      </c>
      <c r="AC116">
        <f>IF($A116="","",IF(COUNT(G116,K116,O116,S116,W116,AA116)=0,"",MIN(G116,K116,O116,S116,W116,AA116)))</f>
        <v/>
      </c>
      <c r="AD116">
        <f>IF($A116="","",IFERROR(INDEX(CHOOSE({1,2,3,4,5,6},IFERROR(INDEX(Papers!$K$2:$K$12,MATCH($C116,Papers!$A$2:$A$12,0)),""),IFERROR(INDEX(Papers!$L$2:$L$12,MATCH($C116,Papers!$A$2:$A$12,0)),""),IFERROR(INDEX(Papers!$M$2:$M$12,MATCH($C116,Papers!$A$2:$A$12,0)),""),IFERROR(INDEX(Papers!$N$2:$N$12,MATCH($C116,Papers!$A$2:$A$12,0)),""),IFERROR(INDEX(Papers!$O$2:$O$12,MATCH($C116,Papers!$A$2:$A$12,0)),""),IFERROR(INDEX(Papers!$P$2:$P$12,MATCH($C116,Papers!$A$2:$A$12,0)),"")),MATCH(MIN(G116,K116,O116,S116,W116,AA116),CHOOSE({1,2,3,4,5,6},G116,K116,O116,S116,W116,AA116),0)),""))</f>
        <v/>
      </c>
      <c r="AE116">
        <f>IF(AC116="","",IF(AC116&lt;50,"Re-teach",IF(AC116&lt;75,"Practice more","Relatively secure")))</f>
        <v/>
      </c>
    </row>
    <row r="117">
      <c r="A117">
        <f>IF(Attempts!A117="","",Attempts!A117)</f>
        <v/>
      </c>
      <c r="B117">
        <f>IF(Attempts!A117="","",Attempts!B117)</f>
        <v/>
      </c>
      <c r="C117">
        <f>IF(Attempts!A117="","",Attempts!D117)</f>
        <v/>
      </c>
      <c r="D117">
        <f>IF($A117="","",IFERROR(INDEX(Papers!$E$2:$E$12,MATCH($C117,Papers!$A$2:$A$12,0)),""))</f>
        <v/>
      </c>
      <c r="E117">
        <f>IF($A117="","",IFERROR(SUMPRODUCT((INDEX(SubMap!$B$2:$AE$12,MATCH($C117,SubMap!$A$2:$A$12,0),0)=1)*Attempts!$AR117:$BU117),0))</f>
        <v/>
      </c>
      <c r="F117">
        <f>IF($A117="","",IFERROR(COUNTIF(INDEX(SubMap!$B$2:$AE$12,MATCH($C117,SubMap!$A$2:$A$12,0),0),1),0))</f>
        <v/>
      </c>
      <c r="G117">
        <f>IF(OR($A117="",F117=0),"",ROUND(E117/F117*100,1))</f>
        <v/>
      </c>
      <c r="H117">
        <f>IF($A117="","",IFERROR(INDEX(Papers!$F$2:$F$12,MATCH($C117,Papers!$A$2:$A$12,0)),""))</f>
        <v/>
      </c>
      <c r="I117">
        <f>IF($A117="","",IFERROR(SUMPRODUCT((INDEX(SubMap!$B$2:$AE$12,MATCH($C117,SubMap!$A$2:$A$12,0),0)=2)*Attempts!$AR117:$BU117),0))</f>
        <v/>
      </c>
      <c r="J117">
        <f>IF($A117="","",IFERROR(COUNTIF(INDEX(SubMap!$B$2:$AE$12,MATCH($C117,SubMap!$A$2:$A$12,0),0),2),0))</f>
        <v/>
      </c>
      <c r="K117">
        <f>IF(OR($A117="",J117=0),"",ROUND(I117/J117*100,1))</f>
        <v/>
      </c>
      <c r="L117">
        <f>IF($A117="","",IFERROR(INDEX(Papers!$G$2:$G$12,MATCH($C117,Papers!$A$2:$A$12,0)),""))</f>
        <v/>
      </c>
      <c r="M117">
        <f>IF($A117="","",IFERROR(SUMPRODUCT((INDEX(SubMap!$B$2:$AE$12,MATCH($C117,SubMap!$A$2:$A$12,0),0)=3)*Attempts!$AR117:$BU117),0))</f>
        <v/>
      </c>
      <c r="N117">
        <f>IF($A117="","",IFERROR(COUNTIF(INDEX(SubMap!$B$2:$AE$12,MATCH($C117,SubMap!$A$2:$A$12,0),0),3),0))</f>
        <v/>
      </c>
      <c r="O117">
        <f>IF(OR($A117="",N117=0),"",ROUND(M117/N117*100,1))</f>
        <v/>
      </c>
      <c r="P117">
        <f>IF($A117="","",IFERROR(INDEX(Papers!$H$2:$H$12,MATCH($C117,Papers!$A$2:$A$12,0)),""))</f>
        <v/>
      </c>
      <c r="Q117">
        <f>IF($A117="","",IFERROR(SUMPRODUCT((INDEX(SubMap!$B$2:$AE$12,MATCH($C117,SubMap!$A$2:$A$12,0),0)=4)*Attempts!$AR117:$BU117),0))</f>
        <v/>
      </c>
      <c r="R117">
        <f>IF($A117="","",IFERROR(COUNTIF(INDEX(SubMap!$B$2:$AE$12,MATCH($C117,SubMap!$A$2:$A$12,0),0),4),0))</f>
        <v/>
      </c>
      <c r="S117">
        <f>IF(OR($A117="",R117=0),"",ROUND(Q117/R117*100,1))</f>
        <v/>
      </c>
      <c r="T117">
        <f>IF($A117="","",IFERROR(INDEX(Papers!$I$2:$I$12,MATCH($C117,Papers!$A$2:$A$12,0)),""))</f>
        <v/>
      </c>
      <c r="U117">
        <f>IF($A117="","",IFERROR(SUMPRODUCT((INDEX(SubMap!$B$2:$AE$12,MATCH($C117,SubMap!$A$2:$A$12,0),0)=5)*Attempts!$AR117:$BU117),0))</f>
        <v/>
      </c>
      <c r="V117">
        <f>IF($A117="","",IFERROR(COUNTIF(INDEX(SubMap!$B$2:$AE$12,MATCH($C117,SubMap!$A$2:$A$12,0),0),5),0))</f>
        <v/>
      </c>
      <c r="W117">
        <f>IF(OR($A117="",V117=0),"",ROUND(U117/V117*100,1))</f>
        <v/>
      </c>
      <c r="X117">
        <f>IF($A117="","",IFERROR(INDEX(Papers!$J$2:$J$12,MATCH($C117,Papers!$A$2:$A$12,0)),""))</f>
        <v/>
      </c>
      <c r="Y117">
        <f>IF($A117="","",IFERROR(SUMPRODUCT((INDEX(SubMap!$B$2:$AE$12,MATCH($C117,SubMap!$A$2:$A$12,0),0)=6)*Attempts!$AR117:$BU117),0))</f>
        <v/>
      </c>
      <c r="Z117">
        <f>IF($A117="","",IFERROR(COUNTIF(INDEX(SubMap!$B$2:$AE$12,MATCH($C117,SubMap!$A$2:$A$12,0),0),6),0))</f>
        <v/>
      </c>
      <c r="AA117">
        <f>IF(OR($A117="",Z117=0),"",ROUND(Y117/Z117*100,1))</f>
        <v/>
      </c>
      <c r="AB117">
        <f>IF($A117="","",IFERROR(INDEX(CHOOSE({1,2,3,4,5,6},D117,H117,L117,P117,T117,X117),MATCH(MIN(G117,K117,O117,S117,W117,AA117),CHOOSE({1,2,3,4,5,6},G117,K117,O117,S117,W117,AA117),0)),""))</f>
        <v/>
      </c>
      <c r="AC117">
        <f>IF($A117="","",IF(COUNT(G117,K117,O117,S117,W117,AA117)=0,"",MIN(G117,K117,O117,S117,W117,AA117)))</f>
        <v/>
      </c>
      <c r="AD117">
        <f>IF($A117="","",IFERROR(INDEX(CHOOSE({1,2,3,4,5,6},IFERROR(INDEX(Papers!$K$2:$K$12,MATCH($C117,Papers!$A$2:$A$12,0)),""),IFERROR(INDEX(Papers!$L$2:$L$12,MATCH($C117,Papers!$A$2:$A$12,0)),""),IFERROR(INDEX(Papers!$M$2:$M$12,MATCH($C117,Papers!$A$2:$A$12,0)),""),IFERROR(INDEX(Papers!$N$2:$N$12,MATCH($C117,Papers!$A$2:$A$12,0)),""),IFERROR(INDEX(Papers!$O$2:$O$12,MATCH($C117,Papers!$A$2:$A$12,0)),""),IFERROR(INDEX(Papers!$P$2:$P$12,MATCH($C117,Papers!$A$2:$A$12,0)),"")),MATCH(MIN(G117,K117,O117,S117,W117,AA117),CHOOSE({1,2,3,4,5,6},G117,K117,O117,S117,W117,AA117),0)),""))</f>
        <v/>
      </c>
      <c r="AE117">
        <f>IF(AC117="","",IF(AC117&lt;50,"Re-teach",IF(AC117&lt;75,"Practice more","Relatively secure")))</f>
        <v/>
      </c>
    </row>
    <row r="118">
      <c r="A118">
        <f>IF(Attempts!A118="","",Attempts!A118)</f>
        <v/>
      </c>
      <c r="B118">
        <f>IF(Attempts!A118="","",Attempts!B118)</f>
        <v/>
      </c>
      <c r="C118">
        <f>IF(Attempts!A118="","",Attempts!D118)</f>
        <v/>
      </c>
      <c r="D118">
        <f>IF($A118="","",IFERROR(INDEX(Papers!$E$2:$E$12,MATCH($C118,Papers!$A$2:$A$12,0)),""))</f>
        <v/>
      </c>
      <c r="E118">
        <f>IF($A118="","",IFERROR(SUMPRODUCT((INDEX(SubMap!$B$2:$AE$12,MATCH($C118,SubMap!$A$2:$A$12,0),0)=1)*Attempts!$AR118:$BU118),0))</f>
        <v/>
      </c>
      <c r="F118">
        <f>IF($A118="","",IFERROR(COUNTIF(INDEX(SubMap!$B$2:$AE$12,MATCH($C118,SubMap!$A$2:$A$12,0),0),1),0))</f>
        <v/>
      </c>
      <c r="G118">
        <f>IF(OR($A118="",F118=0),"",ROUND(E118/F118*100,1))</f>
        <v/>
      </c>
      <c r="H118">
        <f>IF($A118="","",IFERROR(INDEX(Papers!$F$2:$F$12,MATCH($C118,Papers!$A$2:$A$12,0)),""))</f>
        <v/>
      </c>
      <c r="I118">
        <f>IF($A118="","",IFERROR(SUMPRODUCT((INDEX(SubMap!$B$2:$AE$12,MATCH($C118,SubMap!$A$2:$A$12,0),0)=2)*Attempts!$AR118:$BU118),0))</f>
        <v/>
      </c>
      <c r="J118">
        <f>IF($A118="","",IFERROR(COUNTIF(INDEX(SubMap!$B$2:$AE$12,MATCH($C118,SubMap!$A$2:$A$12,0),0),2),0))</f>
        <v/>
      </c>
      <c r="K118">
        <f>IF(OR($A118="",J118=0),"",ROUND(I118/J118*100,1))</f>
        <v/>
      </c>
      <c r="L118">
        <f>IF($A118="","",IFERROR(INDEX(Papers!$G$2:$G$12,MATCH($C118,Papers!$A$2:$A$12,0)),""))</f>
        <v/>
      </c>
      <c r="M118">
        <f>IF($A118="","",IFERROR(SUMPRODUCT((INDEX(SubMap!$B$2:$AE$12,MATCH($C118,SubMap!$A$2:$A$12,0),0)=3)*Attempts!$AR118:$BU118),0))</f>
        <v/>
      </c>
      <c r="N118">
        <f>IF($A118="","",IFERROR(COUNTIF(INDEX(SubMap!$B$2:$AE$12,MATCH($C118,SubMap!$A$2:$A$12,0),0),3),0))</f>
        <v/>
      </c>
      <c r="O118">
        <f>IF(OR($A118="",N118=0),"",ROUND(M118/N118*100,1))</f>
        <v/>
      </c>
      <c r="P118">
        <f>IF($A118="","",IFERROR(INDEX(Papers!$H$2:$H$12,MATCH($C118,Papers!$A$2:$A$12,0)),""))</f>
        <v/>
      </c>
      <c r="Q118">
        <f>IF($A118="","",IFERROR(SUMPRODUCT((INDEX(SubMap!$B$2:$AE$12,MATCH($C118,SubMap!$A$2:$A$12,0),0)=4)*Attempts!$AR118:$BU118),0))</f>
        <v/>
      </c>
      <c r="R118">
        <f>IF($A118="","",IFERROR(COUNTIF(INDEX(SubMap!$B$2:$AE$12,MATCH($C118,SubMap!$A$2:$A$12,0),0),4),0))</f>
        <v/>
      </c>
      <c r="S118">
        <f>IF(OR($A118="",R118=0),"",ROUND(Q118/R118*100,1))</f>
        <v/>
      </c>
      <c r="T118">
        <f>IF($A118="","",IFERROR(INDEX(Papers!$I$2:$I$12,MATCH($C118,Papers!$A$2:$A$12,0)),""))</f>
        <v/>
      </c>
      <c r="U118">
        <f>IF($A118="","",IFERROR(SUMPRODUCT((INDEX(SubMap!$B$2:$AE$12,MATCH($C118,SubMap!$A$2:$A$12,0),0)=5)*Attempts!$AR118:$BU118),0))</f>
        <v/>
      </c>
      <c r="V118">
        <f>IF($A118="","",IFERROR(COUNTIF(INDEX(SubMap!$B$2:$AE$12,MATCH($C118,SubMap!$A$2:$A$12,0),0),5),0))</f>
        <v/>
      </c>
      <c r="W118">
        <f>IF(OR($A118="",V118=0),"",ROUND(U118/V118*100,1))</f>
        <v/>
      </c>
      <c r="X118">
        <f>IF($A118="","",IFERROR(INDEX(Papers!$J$2:$J$12,MATCH($C118,Papers!$A$2:$A$12,0)),""))</f>
        <v/>
      </c>
      <c r="Y118">
        <f>IF($A118="","",IFERROR(SUMPRODUCT((INDEX(SubMap!$B$2:$AE$12,MATCH($C118,SubMap!$A$2:$A$12,0),0)=6)*Attempts!$AR118:$BU118),0))</f>
        <v/>
      </c>
      <c r="Z118">
        <f>IF($A118="","",IFERROR(COUNTIF(INDEX(SubMap!$B$2:$AE$12,MATCH($C118,SubMap!$A$2:$A$12,0),0),6),0))</f>
        <v/>
      </c>
      <c r="AA118">
        <f>IF(OR($A118="",Z118=0),"",ROUND(Y118/Z118*100,1))</f>
        <v/>
      </c>
      <c r="AB118">
        <f>IF($A118="","",IFERROR(INDEX(CHOOSE({1,2,3,4,5,6},D118,H118,L118,P118,T118,X118),MATCH(MIN(G118,K118,O118,S118,W118,AA118),CHOOSE({1,2,3,4,5,6},G118,K118,O118,S118,W118,AA118),0)),""))</f>
        <v/>
      </c>
      <c r="AC118">
        <f>IF($A118="","",IF(COUNT(G118,K118,O118,S118,W118,AA118)=0,"",MIN(G118,K118,O118,S118,W118,AA118)))</f>
        <v/>
      </c>
      <c r="AD118">
        <f>IF($A118="","",IFERROR(INDEX(CHOOSE({1,2,3,4,5,6},IFERROR(INDEX(Papers!$K$2:$K$12,MATCH($C118,Papers!$A$2:$A$12,0)),""),IFERROR(INDEX(Papers!$L$2:$L$12,MATCH($C118,Papers!$A$2:$A$12,0)),""),IFERROR(INDEX(Papers!$M$2:$M$12,MATCH($C118,Papers!$A$2:$A$12,0)),""),IFERROR(INDEX(Papers!$N$2:$N$12,MATCH($C118,Papers!$A$2:$A$12,0)),""),IFERROR(INDEX(Papers!$O$2:$O$12,MATCH($C118,Papers!$A$2:$A$12,0)),""),IFERROR(INDEX(Papers!$P$2:$P$12,MATCH($C118,Papers!$A$2:$A$12,0)),"")),MATCH(MIN(G118,K118,O118,S118,W118,AA118),CHOOSE({1,2,3,4,5,6},G118,K118,O118,S118,W118,AA118),0)),""))</f>
        <v/>
      </c>
      <c r="AE118">
        <f>IF(AC118="","",IF(AC118&lt;50,"Re-teach",IF(AC118&lt;75,"Practice more","Relatively secure")))</f>
        <v/>
      </c>
    </row>
    <row r="119">
      <c r="A119">
        <f>IF(Attempts!A119="","",Attempts!A119)</f>
        <v/>
      </c>
      <c r="B119">
        <f>IF(Attempts!A119="","",Attempts!B119)</f>
        <v/>
      </c>
      <c r="C119">
        <f>IF(Attempts!A119="","",Attempts!D119)</f>
        <v/>
      </c>
      <c r="D119">
        <f>IF($A119="","",IFERROR(INDEX(Papers!$E$2:$E$12,MATCH($C119,Papers!$A$2:$A$12,0)),""))</f>
        <v/>
      </c>
      <c r="E119">
        <f>IF($A119="","",IFERROR(SUMPRODUCT((INDEX(SubMap!$B$2:$AE$12,MATCH($C119,SubMap!$A$2:$A$12,0),0)=1)*Attempts!$AR119:$BU119),0))</f>
        <v/>
      </c>
      <c r="F119">
        <f>IF($A119="","",IFERROR(COUNTIF(INDEX(SubMap!$B$2:$AE$12,MATCH($C119,SubMap!$A$2:$A$12,0),0),1),0))</f>
        <v/>
      </c>
      <c r="G119">
        <f>IF(OR($A119="",F119=0),"",ROUND(E119/F119*100,1))</f>
        <v/>
      </c>
      <c r="H119">
        <f>IF($A119="","",IFERROR(INDEX(Papers!$F$2:$F$12,MATCH($C119,Papers!$A$2:$A$12,0)),""))</f>
        <v/>
      </c>
      <c r="I119">
        <f>IF($A119="","",IFERROR(SUMPRODUCT((INDEX(SubMap!$B$2:$AE$12,MATCH($C119,SubMap!$A$2:$A$12,0),0)=2)*Attempts!$AR119:$BU119),0))</f>
        <v/>
      </c>
      <c r="J119">
        <f>IF($A119="","",IFERROR(COUNTIF(INDEX(SubMap!$B$2:$AE$12,MATCH($C119,SubMap!$A$2:$A$12,0),0),2),0))</f>
        <v/>
      </c>
      <c r="K119">
        <f>IF(OR($A119="",J119=0),"",ROUND(I119/J119*100,1))</f>
        <v/>
      </c>
      <c r="L119">
        <f>IF($A119="","",IFERROR(INDEX(Papers!$G$2:$G$12,MATCH($C119,Papers!$A$2:$A$12,0)),""))</f>
        <v/>
      </c>
      <c r="M119">
        <f>IF($A119="","",IFERROR(SUMPRODUCT((INDEX(SubMap!$B$2:$AE$12,MATCH($C119,SubMap!$A$2:$A$12,0),0)=3)*Attempts!$AR119:$BU119),0))</f>
        <v/>
      </c>
      <c r="N119">
        <f>IF($A119="","",IFERROR(COUNTIF(INDEX(SubMap!$B$2:$AE$12,MATCH($C119,SubMap!$A$2:$A$12,0),0),3),0))</f>
        <v/>
      </c>
      <c r="O119">
        <f>IF(OR($A119="",N119=0),"",ROUND(M119/N119*100,1))</f>
        <v/>
      </c>
      <c r="P119">
        <f>IF($A119="","",IFERROR(INDEX(Papers!$H$2:$H$12,MATCH($C119,Papers!$A$2:$A$12,0)),""))</f>
        <v/>
      </c>
      <c r="Q119">
        <f>IF($A119="","",IFERROR(SUMPRODUCT((INDEX(SubMap!$B$2:$AE$12,MATCH($C119,SubMap!$A$2:$A$12,0),0)=4)*Attempts!$AR119:$BU119),0))</f>
        <v/>
      </c>
      <c r="R119">
        <f>IF($A119="","",IFERROR(COUNTIF(INDEX(SubMap!$B$2:$AE$12,MATCH($C119,SubMap!$A$2:$A$12,0),0),4),0))</f>
        <v/>
      </c>
      <c r="S119">
        <f>IF(OR($A119="",R119=0),"",ROUND(Q119/R119*100,1))</f>
        <v/>
      </c>
      <c r="T119">
        <f>IF($A119="","",IFERROR(INDEX(Papers!$I$2:$I$12,MATCH($C119,Papers!$A$2:$A$12,0)),""))</f>
        <v/>
      </c>
      <c r="U119">
        <f>IF($A119="","",IFERROR(SUMPRODUCT((INDEX(SubMap!$B$2:$AE$12,MATCH($C119,SubMap!$A$2:$A$12,0),0)=5)*Attempts!$AR119:$BU119),0))</f>
        <v/>
      </c>
      <c r="V119">
        <f>IF($A119="","",IFERROR(COUNTIF(INDEX(SubMap!$B$2:$AE$12,MATCH($C119,SubMap!$A$2:$A$12,0),0),5),0))</f>
        <v/>
      </c>
      <c r="W119">
        <f>IF(OR($A119="",V119=0),"",ROUND(U119/V119*100,1))</f>
        <v/>
      </c>
      <c r="X119">
        <f>IF($A119="","",IFERROR(INDEX(Papers!$J$2:$J$12,MATCH($C119,Papers!$A$2:$A$12,0)),""))</f>
        <v/>
      </c>
      <c r="Y119">
        <f>IF($A119="","",IFERROR(SUMPRODUCT((INDEX(SubMap!$B$2:$AE$12,MATCH($C119,SubMap!$A$2:$A$12,0),0)=6)*Attempts!$AR119:$BU119),0))</f>
        <v/>
      </c>
      <c r="Z119">
        <f>IF($A119="","",IFERROR(COUNTIF(INDEX(SubMap!$B$2:$AE$12,MATCH($C119,SubMap!$A$2:$A$12,0),0),6),0))</f>
        <v/>
      </c>
      <c r="AA119">
        <f>IF(OR($A119="",Z119=0),"",ROUND(Y119/Z119*100,1))</f>
        <v/>
      </c>
      <c r="AB119">
        <f>IF($A119="","",IFERROR(INDEX(CHOOSE({1,2,3,4,5,6},D119,H119,L119,P119,T119,X119),MATCH(MIN(G119,K119,O119,S119,W119,AA119),CHOOSE({1,2,3,4,5,6},G119,K119,O119,S119,W119,AA119),0)),""))</f>
        <v/>
      </c>
      <c r="AC119">
        <f>IF($A119="","",IF(COUNT(G119,K119,O119,S119,W119,AA119)=0,"",MIN(G119,K119,O119,S119,W119,AA119)))</f>
        <v/>
      </c>
      <c r="AD119">
        <f>IF($A119="","",IFERROR(INDEX(CHOOSE({1,2,3,4,5,6},IFERROR(INDEX(Papers!$K$2:$K$12,MATCH($C119,Papers!$A$2:$A$12,0)),""),IFERROR(INDEX(Papers!$L$2:$L$12,MATCH($C119,Papers!$A$2:$A$12,0)),""),IFERROR(INDEX(Papers!$M$2:$M$12,MATCH($C119,Papers!$A$2:$A$12,0)),""),IFERROR(INDEX(Papers!$N$2:$N$12,MATCH($C119,Papers!$A$2:$A$12,0)),""),IFERROR(INDEX(Papers!$O$2:$O$12,MATCH($C119,Papers!$A$2:$A$12,0)),""),IFERROR(INDEX(Papers!$P$2:$P$12,MATCH($C119,Papers!$A$2:$A$12,0)),"")),MATCH(MIN(G119,K119,O119,S119,W119,AA119),CHOOSE({1,2,3,4,5,6},G119,K119,O119,S119,W119,AA119),0)),""))</f>
        <v/>
      </c>
      <c r="AE119">
        <f>IF(AC119="","",IF(AC119&lt;50,"Re-teach",IF(AC119&lt;75,"Practice more","Relatively secure")))</f>
        <v/>
      </c>
    </row>
    <row r="120">
      <c r="A120">
        <f>IF(Attempts!A120="","",Attempts!A120)</f>
        <v/>
      </c>
      <c r="B120">
        <f>IF(Attempts!A120="","",Attempts!B120)</f>
        <v/>
      </c>
      <c r="C120">
        <f>IF(Attempts!A120="","",Attempts!D120)</f>
        <v/>
      </c>
      <c r="D120">
        <f>IF($A120="","",IFERROR(INDEX(Papers!$E$2:$E$12,MATCH($C120,Papers!$A$2:$A$12,0)),""))</f>
        <v/>
      </c>
      <c r="E120">
        <f>IF($A120="","",IFERROR(SUMPRODUCT((INDEX(SubMap!$B$2:$AE$12,MATCH($C120,SubMap!$A$2:$A$12,0),0)=1)*Attempts!$AR120:$BU120),0))</f>
        <v/>
      </c>
      <c r="F120">
        <f>IF($A120="","",IFERROR(COUNTIF(INDEX(SubMap!$B$2:$AE$12,MATCH($C120,SubMap!$A$2:$A$12,0),0),1),0))</f>
        <v/>
      </c>
      <c r="G120">
        <f>IF(OR($A120="",F120=0),"",ROUND(E120/F120*100,1))</f>
        <v/>
      </c>
      <c r="H120">
        <f>IF($A120="","",IFERROR(INDEX(Papers!$F$2:$F$12,MATCH($C120,Papers!$A$2:$A$12,0)),""))</f>
        <v/>
      </c>
      <c r="I120">
        <f>IF($A120="","",IFERROR(SUMPRODUCT((INDEX(SubMap!$B$2:$AE$12,MATCH($C120,SubMap!$A$2:$A$12,0),0)=2)*Attempts!$AR120:$BU120),0))</f>
        <v/>
      </c>
      <c r="J120">
        <f>IF($A120="","",IFERROR(COUNTIF(INDEX(SubMap!$B$2:$AE$12,MATCH($C120,SubMap!$A$2:$A$12,0),0),2),0))</f>
        <v/>
      </c>
      <c r="K120">
        <f>IF(OR($A120="",J120=0),"",ROUND(I120/J120*100,1))</f>
        <v/>
      </c>
      <c r="L120">
        <f>IF($A120="","",IFERROR(INDEX(Papers!$G$2:$G$12,MATCH($C120,Papers!$A$2:$A$12,0)),""))</f>
        <v/>
      </c>
      <c r="M120">
        <f>IF($A120="","",IFERROR(SUMPRODUCT((INDEX(SubMap!$B$2:$AE$12,MATCH($C120,SubMap!$A$2:$A$12,0),0)=3)*Attempts!$AR120:$BU120),0))</f>
        <v/>
      </c>
      <c r="N120">
        <f>IF($A120="","",IFERROR(COUNTIF(INDEX(SubMap!$B$2:$AE$12,MATCH($C120,SubMap!$A$2:$A$12,0),0),3),0))</f>
        <v/>
      </c>
      <c r="O120">
        <f>IF(OR($A120="",N120=0),"",ROUND(M120/N120*100,1))</f>
        <v/>
      </c>
      <c r="P120">
        <f>IF($A120="","",IFERROR(INDEX(Papers!$H$2:$H$12,MATCH($C120,Papers!$A$2:$A$12,0)),""))</f>
        <v/>
      </c>
      <c r="Q120">
        <f>IF($A120="","",IFERROR(SUMPRODUCT((INDEX(SubMap!$B$2:$AE$12,MATCH($C120,SubMap!$A$2:$A$12,0),0)=4)*Attempts!$AR120:$BU120),0))</f>
        <v/>
      </c>
      <c r="R120">
        <f>IF($A120="","",IFERROR(COUNTIF(INDEX(SubMap!$B$2:$AE$12,MATCH($C120,SubMap!$A$2:$A$12,0),0),4),0))</f>
        <v/>
      </c>
      <c r="S120">
        <f>IF(OR($A120="",R120=0),"",ROUND(Q120/R120*100,1))</f>
        <v/>
      </c>
      <c r="T120">
        <f>IF($A120="","",IFERROR(INDEX(Papers!$I$2:$I$12,MATCH($C120,Papers!$A$2:$A$12,0)),""))</f>
        <v/>
      </c>
      <c r="U120">
        <f>IF($A120="","",IFERROR(SUMPRODUCT((INDEX(SubMap!$B$2:$AE$12,MATCH($C120,SubMap!$A$2:$A$12,0),0)=5)*Attempts!$AR120:$BU120),0))</f>
        <v/>
      </c>
      <c r="V120">
        <f>IF($A120="","",IFERROR(COUNTIF(INDEX(SubMap!$B$2:$AE$12,MATCH($C120,SubMap!$A$2:$A$12,0),0),5),0))</f>
        <v/>
      </c>
      <c r="W120">
        <f>IF(OR($A120="",V120=0),"",ROUND(U120/V120*100,1))</f>
        <v/>
      </c>
      <c r="X120">
        <f>IF($A120="","",IFERROR(INDEX(Papers!$J$2:$J$12,MATCH($C120,Papers!$A$2:$A$12,0)),""))</f>
        <v/>
      </c>
      <c r="Y120">
        <f>IF($A120="","",IFERROR(SUMPRODUCT((INDEX(SubMap!$B$2:$AE$12,MATCH($C120,SubMap!$A$2:$A$12,0),0)=6)*Attempts!$AR120:$BU120),0))</f>
        <v/>
      </c>
      <c r="Z120">
        <f>IF($A120="","",IFERROR(COUNTIF(INDEX(SubMap!$B$2:$AE$12,MATCH($C120,SubMap!$A$2:$A$12,0),0),6),0))</f>
        <v/>
      </c>
      <c r="AA120">
        <f>IF(OR($A120="",Z120=0),"",ROUND(Y120/Z120*100,1))</f>
        <v/>
      </c>
      <c r="AB120">
        <f>IF($A120="","",IFERROR(INDEX(CHOOSE({1,2,3,4,5,6},D120,H120,L120,P120,T120,X120),MATCH(MIN(G120,K120,O120,S120,W120,AA120),CHOOSE({1,2,3,4,5,6},G120,K120,O120,S120,W120,AA120),0)),""))</f>
        <v/>
      </c>
      <c r="AC120">
        <f>IF($A120="","",IF(COUNT(G120,K120,O120,S120,W120,AA120)=0,"",MIN(G120,K120,O120,S120,W120,AA120)))</f>
        <v/>
      </c>
      <c r="AD120">
        <f>IF($A120="","",IFERROR(INDEX(CHOOSE({1,2,3,4,5,6},IFERROR(INDEX(Papers!$K$2:$K$12,MATCH($C120,Papers!$A$2:$A$12,0)),""),IFERROR(INDEX(Papers!$L$2:$L$12,MATCH($C120,Papers!$A$2:$A$12,0)),""),IFERROR(INDEX(Papers!$M$2:$M$12,MATCH($C120,Papers!$A$2:$A$12,0)),""),IFERROR(INDEX(Papers!$N$2:$N$12,MATCH($C120,Papers!$A$2:$A$12,0)),""),IFERROR(INDEX(Papers!$O$2:$O$12,MATCH($C120,Papers!$A$2:$A$12,0)),""),IFERROR(INDEX(Papers!$P$2:$P$12,MATCH($C120,Papers!$A$2:$A$12,0)),"")),MATCH(MIN(G120,K120,O120,S120,W120,AA120),CHOOSE({1,2,3,4,5,6},G120,K120,O120,S120,W120,AA120),0)),""))</f>
        <v/>
      </c>
      <c r="AE120">
        <f>IF(AC120="","",IF(AC120&lt;50,"Re-teach",IF(AC120&lt;75,"Practice more","Relatively secure")))</f>
        <v/>
      </c>
    </row>
    <row r="121">
      <c r="A121">
        <f>IF(Attempts!A121="","",Attempts!A121)</f>
        <v/>
      </c>
      <c r="B121">
        <f>IF(Attempts!A121="","",Attempts!B121)</f>
        <v/>
      </c>
      <c r="C121">
        <f>IF(Attempts!A121="","",Attempts!D121)</f>
        <v/>
      </c>
      <c r="D121">
        <f>IF($A121="","",IFERROR(INDEX(Papers!$E$2:$E$12,MATCH($C121,Papers!$A$2:$A$12,0)),""))</f>
        <v/>
      </c>
      <c r="E121">
        <f>IF($A121="","",IFERROR(SUMPRODUCT((INDEX(SubMap!$B$2:$AE$12,MATCH($C121,SubMap!$A$2:$A$12,0),0)=1)*Attempts!$AR121:$BU121),0))</f>
        <v/>
      </c>
      <c r="F121">
        <f>IF($A121="","",IFERROR(COUNTIF(INDEX(SubMap!$B$2:$AE$12,MATCH($C121,SubMap!$A$2:$A$12,0),0),1),0))</f>
        <v/>
      </c>
      <c r="G121">
        <f>IF(OR($A121="",F121=0),"",ROUND(E121/F121*100,1))</f>
        <v/>
      </c>
      <c r="H121">
        <f>IF($A121="","",IFERROR(INDEX(Papers!$F$2:$F$12,MATCH($C121,Papers!$A$2:$A$12,0)),""))</f>
        <v/>
      </c>
      <c r="I121">
        <f>IF($A121="","",IFERROR(SUMPRODUCT((INDEX(SubMap!$B$2:$AE$12,MATCH($C121,SubMap!$A$2:$A$12,0),0)=2)*Attempts!$AR121:$BU121),0))</f>
        <v/>
      </c>
      <c r="J121">
        <f>IF($A121="","",IFERROR(COUNTIF(INDEX(SubMap!$B$2:$AE$12,MATCH($C121,SubMap!$A$2:$A$12,0),0),2),0))</f>
        <v/>
      </c>
      <c r="K121">
        <f>IF(OR($A121="",J121=0),"",ROUND(I121/J121*100,1))</f>
        <v/>
      </c>
      <c r="L121">
        <f>IF($A121="","",IFERROR(INDEX(Papers!$G$2:$G$12,MATCH($C121,Papers!$A$2:$A$12,0)),""))</f>
        <v/>
      </c>
      <c r="M121">
        <f>IF($A121="","",IFERROR(SUMPRODUCT((INDEX(SubMap!$B$2:$AE$12,MATCH($C121,SubMap!$A$2:$A$12,0),0)=3)*Attempts!$AR121:$BU121),0))</f>
        <v/>
      </c>
      <c r="N121">
        <f>IF($A121="","",IFERROR(COUNTIF(INDEX(SubMap!$B$2:$AE$12,MATCH($C121,SubMap!$A$2:$A$12,0),0),3),0))</f>
        <v/>
      </c>
      <c r="O121">
        <f>IF(OR($A121="",N121=0),"",ROUND(M121/N121*100,1))</f>
        <v/>
      </c>
      <c r="P121">
        <f>IF($A121="","",IFERROR(INDEX(Papers!$H$2:$H$12,MATCH($C121,Papers!$A$2:$A$12,0)),""))</f>
        <v/>
      </c>
      <c r="Q121">
        <f>IF($A121="","",IFERROR(SUMPRODUCT((INDEX(SubMap!$B$2:$AE$12,MATCH($C121,SubMap!$A$2:$A$12,0),0)=4)*Attempts!$AR121:$BU121),0))</f>
        <v/>
      </c>
      <c r="R121">
        <f>IF($A121="","",IFERROR(COUNTIF(INDEX(SubMap!$B$2:$AE$12,MATCH($C121,SubMap!$A$2:$A$12,0),0),4),0))</f>
        <v/>
      </c>
      <c r="S121">
        <f>IF(OR($A121="",R121=0),"",ROUND(Q121/R121*100,1))</f>
        <v/>
      </c>
      <c r="T121">
        <f>IF($A121="","",IFERROR(INDEX(Papers!$I$2:$I$12,MATCH($C121,Papers!$A$2:$A$12,0)),""))</f>
        <v/>
      </c>
      <c r="U121">
        <f>IF($A121="","",IFERROR(SUMPRODUCT((INDEX(SubMap!$B$2:$AE$12,MATCH($C121,SubMap!$A$2:$A$12,0),0)=5)*Attempts!$AR121:$BU121),0))</f>
        <v/>
      </c>
      <c r="V121">
        <f>IF($A121="","",IFERROR(COUNTIF(INDEX(SubMap!$B$2:$AE$12,MATCH($C121,SubMap!$A$2:$A$12,0),0),5),0))</f>
        <v/>
      </c>
      <c r="W121">
        <f>IF(OR($A121="",V121=0),"",ROUND(U121/V121*100,1))</f>
        <v/>
      </c>
      <c r="X121">
        <f>IF($A121="","",IFERROR(INDEX(Papers!$J$2:$J$12,MATCH($C121,Papers!$A$2:$A$12,0)),""))</f>
        <v/>
      </c>
      <c r="Y121">
        <f>IF($A121="","",IFERROR(SUMPRODUCT((INDEX(SubMap!$B$2:$AE$12,MATCH($C121,SubMap!$A$2:$A$12,0),0)=6)*Attempts!$AR121:$BU121),0))</f>
        <v/>
      </c>
      <c r="Z121">
        <f>IF($A121="","",IFERROR(COUNTIF(INDEX(SubMap!$B$2:$AE$12,MATCH($C121,SubMap!$A$2:$A$12,0),0),6),0))</f>
        <v/>
      </c>
      <c r="AA121">
        <f>IF(OR($A121="",Z121=0),"",ROUND(Y121/Z121*100,1))</f>
        <v/>
      </c>
      <c r="AB121">
        <f>IF($A121="","",IFERROR(INDEX(CHOOSE({1,2,3,4,5,6},D121,H121,L121,P121,T121,X121),MATCH(MIN(G121,K121,O121,S121,W121,AA121),CHOOSE({1,2,3,4,5,6},G121,K121,O121,S121,W121,AA121),0)),""))</f>
        <v/>
      </c>
      <c r="AC121">
        <f>IF($A121="","",IF(COUNT(G121,K121,O121,S121,W121,AA121)=0,"",MIN(G121,K121,O121,S121,W121,AA121)))</f>
        <v/>
      </c>
      <c r="AD121">
        <f>IF($A121="","",IFERROR(INDEX(CHOOSE({1,2,3,4,5,6},IFERROR(INDEX(Papers!$K$2:$K$12,MATCH($C121,Papers!$A$2:$A$12,0)),""),IFERROR(INDEX(Papers!$L$2:$L$12,MATCH($C121,Papers!$A$2:$A$12,0)),""),IFERROR(INDEX(Papers!$M$2:$M$12,MATCH($C121,Papers!$A$2:$A$12,0)),""),IFERROR(INDEX(Papers!$N$2:$N$12,MATCH($C121,Papers!$A$2:$A$12,0)),""),IFERROR(INDEX(Papers!$O$2:$O$12,MATCH($C121,Papers!$A$2:$A$12,0)),""),IFERROR(INDEX(Papers!$P$2:$P$12,MATCH($C121,Papers!$A$2:$A$12,0)),"")),MATCH(MIN(G121,K121,O121,S121,W121,AA121),CHOOSE({1,2,3,4,5,6},G121,K121,O121,S121,W121,AA121),0)),""))</f>
        <v/>
      </c>
      <c r="AE121">
        <f>IF(AC121="","",IF(AC121&lt;50,"Re-teach",IF(AC121&lt;75,"Practice more","Relatively secure")))</f>
        <v/>
      </c>
    </row>
    <row r="122">
      <c r="A122">
        <f>IF(Attempts!A122="","",Attempts!A122)</f>
        <v/>
      </c>
      <c r="B122">
        <f>IF(Attempts!A122="","",Attempts!B122)</f>
        <v/>
      </c>
      <c r="C122">
        <f>IF(Attempts!A122="","",Attempts!D122)</f>
        <v/>
      </c>
      <c r="D122">
        <f>IF($A122="","",IFERROR(INDEX(Papers!$E$2:$E$12,MATCH($C122,Papers!$A$2:$A$12,0)),""))</f>
        <v/>
      </c>
      <c r="E122">
        <f>IF($A122="","",IFERROR(SUMPRODUCT((INDEX(SubMap!$B$2:$AE$12,MATCH($C122,SubMap!$A$2:$A$12,0),0)=1)*Attempts!$AR122:$BU122),0))</f>
        <v/>
      </c>
      <c r="F122">
        <f>IF($A122="","",IFERROR(COUNTIF(INDEX(SubMap!$B$2:$AE$12,MATCH($C122,SubMap!$A$2:$A$12,0),0),1),0))</f>
        <v/>
      </c>
      <c r="G122">
        <f>IF(OR($A122="",F122=0),"",ROUND(E122/F122*100,1))</f>
        <v/>
      </c>
      <c r="H122">
        <f>IF($A122="","",IFERROR(INDEX(Papers!$F$2:$F$12,MATCH($C122,Papers!$A$2:$A$12,0)),""))</f>
        <v/>
      </c>
      <c r="I122">
        <f>IF($A122="","",IFERROR(SUMPRODUCT((INDEX(SubMap!$B$2:$AE$12,MATCH($C122,SubMap!$A$2:$A$12,0),0)=2)*Attempts!$AR122:$BU122),0))</f>
        <v/>
      </c>
      <c r="J122">
        <f>IF($A122="","",IFERROR(COUNTIF(INDEX(SubMap!$B$2:$AE$12,MATCH($C122,SubMap!$A$2:$A$12,0),0),2),0))</f>
        <v/>
      </c>
      <c r="K122">
        <f>IF(OR($A122="",J122=0),"",ROUND(I122/J122*100,1))</f>
        <v/>
      </c>
      <c r="L122">
        <f>IF($A122="","",IFERROR(INDEX(Papers!$G$2:$G$12,MATCH($C122,Papers!$A$2:$A$12,0)),""))</f>
        <v/>
      </c>
      <c r="M122">
        <f>IF($A122="","",IFERROR(SUMPRODUCT((INDEX(SubMap!$B$2:$AE$12,MATCH($C122,SubMap!$A$2:$A$12,0),0)=3)*Attempts!$AR122:$BU122),0))</f>
        <v/>
      </c>
      <c r="N122">
        <f>IF($A122="","",IFERROR(COUNTIF(INDEX(SubMap!$B$2:$AE$12,MATCH($C122,SubMap!$A$2:$A$12,0),0),3),0))</f>
        <v/>
      </c>
      <c r="O122">
        <f>IF(OR($A122="",N122=0),"",ROUND(M122/N122*100,1))</f>
        <v/>
      </c>
      <c r="P122">
        <f>IF($A122="","",IFERROR(INDEX(Papers!$H$2:$H$12,MATCH($C122,Papers!$A$2:$A$12,0)),""))</f>
        <v/>
      </c>
      <c r="Q122">
        <f>IF($A122="","",IFERROR(SUMPRODUCT((INDEX(SubMap!$B$2:$AE$12,MATCH($C122,SubMap!$A$2:$A$12,0),0)=4)*Attempts!$AR122:$BU122),0))</f>
        <v/>
      </c>
      <c r="R122">
        <f>IF($A122="","",IFERROR(COUNTIF(INDEX(SubMap!$B$2:$AE$12,MATCH($C122,SubMap!$A$2:$A$12,0),0),4),0))</f>
        <v/>
      </c>
      <c r="S122">
        <f>IF(OR($A122="",R122=0),"",ROUND(Q122/R122*100,1))</f>
        <v/>
      </c>
      <c r="T122">
        <f>IF($A122="","",IFERROR(INDEX(Papers!$I$2:$I$12,MATCH($C122,Papers!$A$2:$A$12,0)),""))</f>
        <v/>
      </c>
      <c r="U122">
        <f>IF($A122="","",IFERROR(SUMPRODUCT((INDEX(SubMap!$B$2:$AE$12,MATCH($C122,SubMap!$A$2:$A$12,0),0)=5)*Attempts!$AR122:$BU122),0))</f>
        <v/>
      </c>
      <c r="V122">
        <f>IF($A122="","",IFERROR(COUNTIF(INDEX(SubMap!$B$2:$AE$12,MATCH($C122,SubMap!$A$2:$A$12,0),0),5),0))</f>
        <v/>
      </c>
      <c r="W122">
        <f>IF(OR($A122="",V122=0),"",ROUND(U122/V122*100,1))</f>
        <v/>
      </c>
      <c r="X122">
        <f>IF($A122="","",IFERROR(INDEX(Papers!$J$2:$J$12,MATCH($C122,Papers!$A$2:$A$12,0)),""))</f>
        <v/>
      </c>
      <c r="Y122">
        <f>IF($A122="","",IFERROR(SUMPRODUCT((INDEX(SubMap!$B$2:$AE$12,MATCH($C122,SubMap!$A$2:$A$12,0),0)=6)*Attempts!$AR122:$BU122),0))</f>
        <v/>
      </c>
      <c r="Z122">
        <f>IF($A122="","",IFERROR(COUNTIF(INDEX(SubMap!$B$2:$AE$12,MATCH($C122,SubMap!$A$2:$A$12,0),0),6),0))</f>
        <v/>
      </c>
      <c r="AA122">
        <f>IF(OR($A122="",Z122=0),"",ROUND(Y122/Z122*100,1))</f>
        <v/>
      </c>
      <c r="AB122">
        <f>IF($A122="","",IFERROR(INDEX(CHOOSE({1,2,3,4,5,6},D122,H122,L122,P122,T122,X122),MATCH(MIN(G122,K122,O122,S122,W122,AA122),CHOOSE({1,2,3,4,5,6},G122,K122,O122,S122,W122,AA122),0)),""))</f>
        <v/>
      </c>
      <c r="AC122">
        <f>IF($A122="","",IF(COUNT(G122,K122,O122,S122,W122,AA122)=0,"",MIN(G122,K122,O122,S122,W122,AA122)))</f>
        <v/>
      </c>
      <c r="AD122">
        <f>IF($A122="","",IFERROR(INDEX(CHOOSE({1,2,3,4,5,6},IFERROR(INDEX(Papers!$K$2:$K$12,MATCH($C122,Papers!$A$2:$A$12,0)),""),IFERROR(INDEX(Papers!$L$2:$L$12,MATCH($C122,Papers!$A$2:$A$12,0)),""),IFERROR(INDEX(Papers!$M$2:$M$12,MATCH($C122,Papers!$A$2:$A$12,0)),""),IFERROR(INDEX(Papers!$N$2:$N$12,MATCH($C122,Papers!$A$2:$A$12,0)),""),IFERROR(INDEX(Papers!$O$2:$O$12,MATCH($C122,Papers!$A$2:$A$12,0)),""),IFERROR(INDEX(Papers!$P$2:$P$12,MATCH($C122,Papers!$A$2:$A$12,0)),"")),MATCH(MIN(G122,K122,O122,S122,W122,AA122),CHOOSE({1,2,3,4,5,6},G122,K122,O122,S122,W122,AA122),0)),""))</f>
        <v/>
      </c>
      <c r="AE122">
        <f>IF(AC122="","",IF(AC122&lt;50,"Re-teach",IF(AC122&lt;75,"Practice more","Relatively secure")))</f>
        <v/>
      </c>
    </row>
    <row r="123">
      <c r="A123">
        <f>IF(Attempts!A123="","",Attempts!A123)</f>
        <v/>
      </c>
      <c r="B123">
        <f>IF(Attempts!A123="","",Attempts!B123)</f>
        <v/>
      </c>
      <c r="C123">
        <f>IF(Attempts!A123="","",Attempts!D123)</f>
        <v/>
      </c>
      <c r="D123">
        <f>IF($A123="","",IFERROR(INDEX(Papers!$E$2:$E$12,MATCH($C123,Papers!$A$2:$A$12,0)),""))</f>
        <v/>
      </c>
      <c r="E123">
        <f>IF($A123="","",IFERROR(SUMPRODUCT((INDEX(SubMap!$B$2:$AE$12,MATCH($C123,SubMap!$A$2:$A$12,0),0)=1)*Attempts!$AR123:$BU123),0))</f>
        <v/>
      </c>
      <c r="F123">
        <f>IF($A123="","",IFERROR(COUNTIF(INDEX(SubMap!$B$2:$AE$12,MATCH($C123,SubMap!$A$2:$A$12,0),0),1),0))</f>
        <v/>
      </c>
      <c r="G123">
        <f>IF(OR($A123="",F123=0),"",ROUND(E123/F123*100,1))</f>
        <v/>
      </c>
      <c r="H123">
        <f>IF($A123="","",IFERROR(INDEX(Papers!$F$2:$F$12,MATCH($C123,Papers!$A$2:$A$12,0)),""))</f>
        <v/>
      </c>
      <c r="I123">
        <f>IF($A123="","",IFERROR(SUMPRODUCT((INDEX(SubMap!$B$2:$AE$12,MATCH($C123,SubMap!$A$2:$A$12,0),0)=2)*Attempts!$AR123:$BU123),0))</f>
        <v/>
      </c>
      <c r="J123">
        <f>IF($A123="","",IFERROR(COUNTIF(INDEX(SubMap!$B$2:$AE$12,MATCH($C123,SubMap!$A$2:$A$12,0),0),2),0))</f>
        <v/>
      </c>
      <c r="K123">
        <f>IF(OR($A123="",J123=0),"",ROUND(I123/J123*100,1))</f>
        <v/>
      </c>
      <c r="L123">
        <f>IF($A123="","",IFERROR(INDEX(Papers!$G$2:$G$12,MATCH($C123,Papers!$A$2:$A$12,0)),""))</f>
        <v/>
      </c>
      <c r="M123">
        <f>IF($A123="","",IFERROR(SUMPRODUCT((INDEX(SubMap!$B$2:$AE$12,MATCH($C123,SubMap!$A$2:$A$12,0),0)=3)*Attempts!$AR123:$BU123),0))</f>
        <v/>
      </c>
      <c r="N123">
        <f>IF($A123="","",IFERROR(COUNTIF(INDEX(SubMap!$B$2:$AE$12,MATCH($C123,SubMap!$A$2:$A$12,0),0),3),0))</f>
        <v/>
      </c>
      <c r="O123">
        <f>IF(OR($A123="",N123=0),"",ROUND(M123/N123*100,1))</f>
        <v/>
      </c>
      <c r="P123">
        <f>IF($A123="","",IFERROR(INDEX(Papers!$H$2:$H$12,MATCH($C123,Papers!$A$2:$A$12,0)),""))</f>
        <v/>
      </c>
      <c r="Q123">
        <f>IF($A123="","",IFERROR(SUMPRODUCT((INDEX(SubMap!$B$2:$AE$12,MATCH($C123,SubMap!$A$2:$A$12,0),0)=4)*Attempts!$AR123:$BU123),0))</f>
        <v/>
      </c>
      <c r="R123">
        <f>IF($A123="","",IFERROR(COUNTIF(INDEX(SubMap!$B$2:$AE$12,MATCH($C123,SubMap!$A$2:$A$12,0),0),4),0))</f>
        <v/>
      </c>
      <c r="S123">
        <f>IF(OR($A123="",R123=0),"",ROUND(Q123/R123*100,1))</f>
        <v/>
      </c>
      <c r="T123">
        <f>IF($A123="","",IFERROR(INDEX(Papers!$I$2:$I$12,MATCH($C123,Papers!$A$2:$A$12,0)),""))</f>
        <v/>
      </c>
      <c r="U123">
        <f>IF($A123="","",IFERROR(SUMPRODUCT((INDEX(SubMap!$B$2:$AE$12,MATCH($C123,SubMap!$A$2:$A$12,0),0)=5)*Attempts!$AR123:$BU123),0))</f>
        <v/>
      </c>
      <c r="V123">
        <f>IF($A123="","",IFERROR(COUNTIF(INDEX(SubMap!$B$2:$AE$12,MATCH($C123,SubMap!$A$2:$A$12,0),0),5),0))</f>
        <v/>
      </c>
      <c r="W123">
        <f>IF(OR($A123="",V123=0),"",ROUND(U123/V123*100,1))</f>
        <v/>
      </c>
      <c r="X123">
        <f>IF($A123="","",IFERROR(INDEX(Papers!$J$2:$J$12,MATCH($C123,Papers!$A$2:$A$12,0)),""))</f>
        <v/>
      </c>
      <c r="Y123">
        <f>IF($A123="","",IFERROR(SUMPRODUCT((INDEX(SubMap!$B$2:$AE$12,MATCH($C123,SubMap!$A$2:$A$12,0),0)=6)*Attempts!$AR123:$BU123),0))</f>
        <v/>
      </c>
      <c r="Z123">
        <f>IF($A123="","",IFERROR(COUNTIF(INDEX(SubMap!$B$2:$AE$12,MATCH($C123,SubMap!$A$2:$A$12,0),0),6),0))</f>
        <v/>
      </c>
      <c r="AA123">
        <f>IF(OR($A123="",Z123=0),"",ROUND(Y123/Z123*100,1))</f>
        <v/>
      </c>
      <c r="AB123">
        <f>IF($A123="","",IFERROR(INDEX(CHOOSE({1,2,3,4,5,6},D123,H123,L123,P123,T123,X123),MATCH(MIN(G123,K123,O123,S123,W123,AA123),CHOOSE({1,2,3,4,5,6},G123,K123,O123,S123,W123,AA123),0)),""))</f>
        <v/>
      </c>
      <c r="AC123">
        <f>IF($A123="","",IF(COUNT(G123,K123,O123,S123,W123,AA123)=0,"",MIN(G123,K123,O123,S123,W123,AA123)))</f>
        <v/>
      </c>
      <c r="AD123">
        <f>IF($A123="","",IFERROR(INDEX(CHOOSE({1,2,3,4,5,6},IFERROR(INDEX(Papers!$K$2:$K$12,MATCH($C123,Papers!$A$2:$A$12,0)),""),IFERROR(INDEX(Papers!$L$2:$L$12,MATCH($C123,Papers!$A$2:$A$12,0)),""),IFERROR(INDEX(Papers!$M$2:$M$12,MATCH($C123,Papers!$A$2:$A$12,0)),""),IFERROR(INDEX(Papers!$N$2:$N$12,MATCH($C123,Papers!$A$2:$A$12,0)),""),IFERROR(INDEX(Papers!$O$2:$O$12,MATCH($C123,Papers!$A$2:$A$12,0)),""),IFERROR(INDEX(Papers!$P$2:$P$12,MATCH($C123,Papers!$A$2:$A$12,0)),"")),MATCH(MIN(G123,K123,O123,S123,W123,AA123),CHOOSE({1,2,3,4,5,6},G123,K123,O123,S123,W123,AA123),0)),""))</f>
        <v/>
      </c>
      <c r="AE123">
        <f>IF(AC123="","",IF(AC123&lt;50,"Re-teach",IF(AC123&lt;75,"Practice more","Relatively secure")))</f>
        <v/>
      </c>
    </row>
    <row r="124">
      <c r="A124">
        <f>IF(Attempts!A124="","",Attempts!A124)</f>
        <v/>
      </c>
      <c r="B124">
        <f>IF(Attempts!A124="","",Attempts!B124)</f>
        <v/>
      </c>
      <c r="C124">
        <f>IF(Attempts!A124="","",Attempts!D124)</f>
        <v/>
      </c>
      <c r="D124">
        <f>IF($A124="","",IFERROR(INDEX(Papers!$E$2:$E$12,MATCH($C124,Papers!$A$2:$A$12,0)),""))</f>
        <v/>
      </c>
      <c r="E124">
        <f>IF($A124="","",IFERROR(SUMPRODUCT((INDEX(SubMap!$B$2:$AE$12,MATCH($C124,SubMap!$A$2:$A$12,0),0)=1)*Attempts!$AR124:$BU124),0))</f>
        <v/>
      </c>
      <c r="F124">
        <f>IF($A124="","",IFERROR(COUNTIF(INDEX(SubMap!$B$2:$AE$12,MATCH($C124,SubMap!$A$2:$A$12,0),0),1),0))</f>
        <v/>
      </c>
      <c r="G124">
        <f>IF(OR($A124="",F124=0),"",ROUND(E124/F124*100,1))</f>
        <v/>
      </c>
      <c r="H124">
        <f>IF($A124="","",IFERROR(INDEX(Papers!$F$2:$F$12,MATCH($C124,Papers!$A$2:$A$12,0)),""))</f>
        <v/>
      </c>
      <c r="I124">
        <f>IF($A124="","",IFERROR(SUMPRODUCT((INDEX(SubMap!$B$2:$AE$12,MATCH($C124,SubMap!$A$2:$A$12,0),0)=2)*Attempts!$AR124:$BU124),0))</f>
        <v/>
      </c>
      <c r="J124">
        <f>IF($A124="","",IFERROR(COUNTIF(INDEX(SubMap!$B$2:$AE$12,MATCH($C124,SubMap!$A$2:$A$12,0),0),2),0))</f>
        <v/>
      </c>
      <c r="K124">
        <f>IF(OR($A124="",J124=0),"",ROUND(I124/J124*100,1))</f>
        <v/>
      </c>
      <c r="L124">
        <f>IF($A124="","",IFERROR(INDEX(Papers!$G$2:$G$12,MATCH($C124,Papers!$A$2:$A$12,0)),""))</f>
        <v/>
      </c>
      <c r="M124">
        <f>IF($A124="","",IFERROR(SUMPRODUCT((INDEX(SubMap!$B$2:$AE$12,MATCH($C124,SubMap!$A$2:$A$12,0),0)=3)*Attempts!$AR124:$BU124),0))</f>
        <v/>
      </c>
      <c r="N124">
        <f>IF($A124="","",IFERROR(COUNTIF(INDEX(SubMap!$B$2:$AE$12,MATCH($C124,SubMap!$A$2:$A$12,0),0),3),0))</f>
        <v/>
      </c>
      <c r="O124">
        <f>IF(OR($A124="",N124=0),"",ROUND(M124/N124*100,1))</f>
        <v/>
      </c>
      <c r="P124">
        <f>IF($A124="","",IFERROR(INDEX(Papers!$H$2:$H$12,MATCH($C124,Papers!$A$2:$A$12,0)),""))</f>
        <v/>
      </c>
      <c r="Q124">
        <f>IF($A124="","",IFERROR(SUMPRODUCT((INDEX(SubMap!$B$2:$AE$12,MATCH($C124,SubMap!$A$2:$A$12,0),0)=4)*Attempts!$AR124:$BU124),0))</f>
        <v/>
      </c>
      <c r="R124">
        <f>IF($A124="","",IFERROR(COUNTIF(INDEX(SubMap!$B$2:$AE$12,MATCH($C124,SubMap!$A$2:$A$12,0),0),4),0))</f>
        <v/>
      </c>
      <c r="S124">
        <f>IF(OR($A124="",R124=0),"",ROUND(Q124/R124*100,1))</f>
        <v/>
      </c>
      <c r="T124">
        <f>IF($A124="","",IFERROR(INDEX(Papers!$I$2:$I$12,MATCH($C124,Papers!$A$2:$A$12,0)),""))</f>
        <v/>
      </c>
      <c r="U124">
        <f>IF($A124="","",IFERROR(SUMPRODUCT((INDEX(SubMap!$B$2:$AE$12,MATCH($C124,SubMap!$A$2:$A$12,0),0)=5)*Attempts!$AR124:$BU124),0))</f>
        <v/>
      </c>
      <c r="V124">
        <f>IF($A124="","",IFERROR(COUNTIF(INDEX(SubMap!$B$2:$AE$12,MATCH($C124,SubMap!$A$2:$A$12,0),0),5),0))</f>
        <v/>
      </c>
      <c r="W124">
        <f>IF(OR($A124="",V124=0),"",ROUND(U124/V124*100,1))</f>
        <v/>
      </c>
      <c r="X124">
        <f>IF($A124="","",IFERROR(INDEX(Papers!$J$2:$J$12,MATCH($C124,Papers!$A$2:$A$12,0)),""))</f>
        <v/>
      </c>
      <c r="Y124">
        <f>IF($A124="","",IFERROR(SUMPRODUCT((INDEX(SubMap!$B$2:$AE$12,MATCH($C124,SubMap!$A$2:$A$12,0),0)=6)*Attempts!$AR124:$BU124),0))</f>
        <v/>
      </c>
      <c r="Z124">
        <f>IF($A124="","",IFERROR(COUNTIF(INDEX(SubMap!$B$2:$AE$12,MATCH($C124,SubMap!$A$2:$A$12,0),0),6),0))</f>
        <v/>
      </c>
      <c r="AA124">
        <f>IF(OR($A124="",Z124=0),"",ROUND(Y124/Z124*100,1))</f>
        <v/>
      </c>
      <c r="AB124">
        <f>IF($A124="","",IFERROR(INDEX(CHOOSE({1,2,3,4,5,6},D124,H124,L124,P124,T124,X124),MATCH(MIN(G124,K124,O124,S124,W124,AA124),CHOOSE({1,2,3,4,5,6},G124,K124,O124,S124,W124,AA124),0)),""))</f>
        <v/>
      </c>
      <c r="AC124">
        <f>IF($A124="","",IF(COUNT(G124,K124,O124,S124,W124,AA124)=0,"",MIN(G124,K124,O124,S124,W124,AA124)))</f>
        <v/>
      </c>
      <c r="AD124">
        <f>IF($A124="","",IFERROR(INDEX(CHOOSE({1,2,3,4,5,6},IFERROR(INDEX(Papers!$K$2:$K$12,MATCH($C124,Papers!$A$2:$A$12,0)),""),IFERROR(INDEX(Papers!$L$2:$L$12,MATCH($C124,Papers!$A$2:$A$12,0)),""),IFERROR(INDEX(Papers!$M$2:$M$12,MATCH($C124,Papers!$A$2:$A$12,0)),""),IFERROR(INDEX(Papers!$N$2:$N$12,MATCH($C124,Papers!$A$2:$A$12,0)),""),IFERROR(INDEX(Papers!$O$2:$O$12,MATCH($C124,Papers!$A$2:$A$12,0)),""),IFERROR(INDEX(Papers!$P$2:$P$12,MATCH($C124,Papers!$A$2:$A$12,0)),"")),MATCH(MIN(G124,K124,O124,S124,W124,AA124),CHOOSE({1,2,3,4,5,6},G124,K124,O124,S124,W124,AA124),0)),""))</f>
        <v/>
      </c>
      <c r="AE124">
        <f>IF(AC124="","",IF(AC124&lt;50,"Re-teach",IF(AC124&lt;75,"Practice more","Relatively secure")))</f>
        <v/>
      </c>
    </row>
    <row r="125">
      <c r="A125">
        <f>IF(Attempts!A125="","",Attempts!A125)</f>
        <v/>
      </c>
      <c r="B125">
        <f>IF(Attempts!A125="","",Attempts!B125)</f>
        <v/>
      </c>
      <c r="C125">
        <f>IF(Attempts!A125="","",Attempts!D125)</f>
        <v/>
      </c>
      <c r="D125">
        <f>IF($A125="","",IFERROR(INDEX(Papers!$E$2:$E$12,MATCH($C125,Papers!$A$2:$A$12,0)),""))</f>
        <v/>
      </c>
      <c r="E125">
        <f>IF($A125="","",IFERROR(SUMPRODUCT((INDEX(SubMap!$B$2:$AE$12,MATCH($C125,SubMap!$A$2:$A$12,0),0)=1)*Attempts!$AR125:$BU125),0))</f>
        <v/>
      </c>
      <c r="F125">
        <f>IF($A125="","",IFERROR(COUNTIF(INDEX(SubMap!$B$2:$AE$12,MATCH($C125,SubMap!$A$2:$A$12,0),0),1),0))</f>
        <v/>
      </c>
      <c r="G125">
        <f>IF(OR($A125="",F125=0),"",ROUND(E125/F125*100,1))</f>
        <v/>
      </c>
      <c r="H125">
        <f>IF($A125="","",IFERROR(INDEX(Papers!$F$2:$F$12,MATCH($C125,Papers!$A$2:$A$12,0)),""))</f>
        <v/>
      </c>
      <c r="I125">
        <f>IF($A125="","",IFERROR(SUMPRODUCT((INDEX(SubMap!$B$2:$AE$12,MATCH($C125,SubMap!$A$2:$A$12,0),0)=2)*Attempts!$AR125:$BU125),0))</f>
        <v/>
      </c>
      <c r="J125">
        <f>IF($A125="","",IFERROR(COUNTIF(INDEX(SubMap!$B$2:$AE$12,MATCH($C125,SubMap!$A$2:$A$12,0),0),2),0))</f>
        <v/>
      </c>
      <c r="K125">
        <f>IF(OR($A125="",J125=0),"",ROUND(I125/J125*100,1))</f>
        <v/>
      </c>
      <c r="L125">
        <f>IF($A125="","",IFERROR(INDEX(Papers!$G$2:$G$12,MATCH($C125,Papers!$A$2:$A$12,0)),""))</f>
        <v/>
      </c>
      <c r="M125">
        <f>IF($A125="","",IFERROR(SUMPRODUCT((INDEX(SubMap!$B$2:$AE$12,MATCH($C125,SubMap!$A$2:$A$12,0),0)=3)*Attempts!$AR125:$BU125),0))</f>
        <v/>
      </c>
      <c r="N125">
        <f>IF($A125="","",IFERROR(COUNTIF(INDEX(SubMap!$B$2:$AE$12,MATCH($C125,SubMap!$A$2:$A$12,0),0),3),0))</f>
        <v/>
      </c>
      <c r="O125">
        <f>IF(OR($A125="",N125=0),"",ROUND(M125/N125*100,1))</f>
        <v/>
      </c>
      <c r="P125">
        <f>IF($A125="","",IFERROR(INDEX(Papers!$H$2:$H$12,MATCH($C125,Papers!$A$2:$A$12,0)),""))</f>
        <v/>
      </c>
      <c r="Q125">
        <f>IF($A125="","",IFERROR(SUMPRODUCT((INDEX(SubMap!$B$2:$AE$12,MATCH($C125,SubMap!$A$2:$A$12,0),0)=4)*Attempts!$AR125:$BU125),0))</f>
        <v/>
      </c>
      <c r="R125">
        <f>IF($A125="","",IFERROR(COUNTIF(INDEX(SubMap!$B$2:$AE$12,MATCH($C125,SubMap!$A$2:$A$12,0),0),4),0))</f>
        <v/>
      </c>
      <c r="S125">
        <f>IF(OR($A125="",R125=0),"",ROUND(Q125/R125*100,1))</f>
        <v/>
      </c>
      <c r="T125">
        <f>IF($A125="","",IFERROR(INDEX(Papers!$I$2:$I$12,MATCH($C125,Papers!$A$2:$A$12,0)),""))</f>
        <v/>
      </c>
      <c r="U125">
        <f>IF($A125="","",IFERROR(SUMPRODUCT((INDEX(SubMap!$B$2:$AE$12,MATCH($C125,SubMap!$A$2:$A$12,0),0)=5)*Attempts!$AR125:$BU125),0))</f>
        <v/>
      </c>
      <c r="V125">
        <f>IF($A125="","",IFERROR(COUNTIF(INDEX(SubMap!$B$2:$AE$12,MATCH($C125,SubMap!$A$2:$A$12,0),0),5),0))</f>
        <v/>
      </c>
      <c r="W125">
        <f>IF(OR($A125="",V125=0),"",ROUND(U125/V125*100,1))</f>
        <v/>
      </c>
      <c r="X125">
        <f>IF($A125="","",IFERROR(INDEX(Papers!$J$2:$J$12,MATCH($C125,Papers!$A$2:$A$12,0)),""))</f>
        <v/>
      </c>
      <c r="Y125">
        <f>IF($A125="","",IFERROR(SUMPRODUCT((INDEX(SubMap!$B$2:$AE$12,MATCH($C125,SubMap!$A$2:$A$12,0),0)=6)*Attempts!$AR125:$BU125),0))</f>
        <v/>
      </c>
      <c r="Z125">
        <f>IF($A125="","",IFERROR(COUNTIF(INDEX(SubMap!$B$2:$AE$12,MATCH($C125,SubMap!$A$2:$A$12,0),0),6),0))</f>
        <v/>
      </c>
      <c r="AA125">
        <f>IF(OR($A125="",Z125=0),"",ROUND(Y125/Z125*100,1))</f>
        <v/>
      </c>
      <c r="AB125">
        <f>IF($A125="","",IFERROR(INDEX(CHOOSE({1,2,3,4,5,6},D125,H125,L125,P125,T125,X125),MATCH(MIN(G125,K125,O125,S125,W125,AA125),CHOOSE({1,2,3,4,5,6},G125,K125,O125,S125,W125,AA125),0)),""))</f>
        <v/>
      </c>
      <c r="AC125">
        <f>IF($A125="","",IF(COUNT(G125,K125,O125,S125,W125,AA125)=0,"",MIN(G125,K125,O125,S125,W125,AA125)))</f>
        <v/>
      </c>
      <c r="AD125">
        <f>IF($A125="","",IFERROR(INDEX(CHOOSE({1,2,3,4,5,6},IFERROR(INDEX(Papers!$K$2:$K$12,MATCH($C125,Papers!$A$2:$A$12,0)),""),IFERROR(INDEX(Papers!$L$2:$L$12,MATCH($C125,Papers!$A$2:$A$12,0)),""),IFERROR(INDEX(Papers!$M$2:$M$12,MATCH($C125,Papers!$A$2:$A$12,0)),""),IFERROR(INDEX(Papers!$N$2:$N$12,MATCH($C125,Papers!$A$2:$A$12,0)),""),IFERROR(INDEX(Papers!$O$2:$O$12,MATCH($C125,Papers!$A$2:$A$12,0)),""),IFERROR(INDEX(Papers!$P$2:$P$12,MATCH($C125,Papers!$A$2:$A$12,0)),"")),MATCH(MIN(G125,K125,O125,S125,W125,AA125),CHOOSE({1,2,3,4,5,6},G125,K125,O125,S125,W125,AA125),0)),""))</f>
        <v/>
      </c>
      <c r="AE125">
        <f>IF(AC125="","",IF(AC125&lt;50,"Re-teach",IF(AC125&lt;75,"Practice more","Relatively secure")))</f>
        <v/>
      </c>
    </row>
    <row r="126">
      <c r="A126">
        <f>IF(Attempts!A126="","",Attempts!A126)</f>
        <v/>
      </c>
      <c r="B126">
        <f>IF(Attempts!A126="","",Attempts!B126)</f>
        <v/>
      </c>
      <c r="C126">
        <f>IF(Attempts!A126="","",Attempts!D126)</f>
        <v/>
      </c>
      <c r="D126">
        <f>IF($A126="","",IFERROR(INDEX(Papers!$E$2:$E$12,MATCH($C126,Papers!$A$2:$A$12,0)),""))</f>
        <v/>
      </c>
      <c r="E126">
        <f>IF($A126="","",IFERROR(SUMPRODUCT((INDEX(SubMap!$B$2:$AE$12,MATCH($C126,SubMap!$A$2:$A$12,0),0)=1)*Attempts!$AR126:$BU126),0))</f>
        <v/>
      </c>
      <c r="F126">
        <f>IF($A126="","",IFERROR(COUNTIF(INDEX(SubMap!$B$2:$AE$12,MATCH($C126,SubMap!$A$2:$A$12,0),0),1),0))</f>
        <v/>
      </c>
      <c r="G126">
        <f>IF(OR($A126="",F126=0),"",ROUND(E126/F126*100,1))</f>
        <v/>
      </c>
      <c r="H126">
        <f>IF($A126="","",IFERROR(INDEX(Papers!$F$2:$F$12,MATCH($C126,Papers!$A$2:$A$12,0)),""))</f>
        <v/>
      </c>
      <c r="I126">
        <f>IF($A126="","",IFERROR(SUMPRODUCT((INDEX(SubMap!$B$2:$AE$12,MATCH($C126,SubMap!$A$2:$A$12,0),0)=2)*Attempts!$AR126:$BU126),0))</f>
        <v/>
      </c>
      <c r="J126">
        <f>IF($A126="","",IFERROR(COUNTIF(INDEX(SubMap!$B$2:$AE$12,MATCH($C126,SubMap!$A$2:$A$12,0),0),2),0))</f>
        <v/>
      </c>
      <c r="K126">
        <f>IF(OR($A126="",J126=0),"",ROUND(I126/J126*100,1))</f>
        <v/>
      </c>
      <c r="L126">
        <f>IF($A126="","",IFERROR(INDEX(Papers!$G$2:$G$12,MATCH($C126,Papers!$A$2:$A$12,0)),""))</f>
        <v/>
      </c>
      <c r="M126">
        <f>IF($A126="","",IFERROR(SUMPRODUCT((INDEX(SubMap!$B$2:$AE$12,MATCH($C126,SubMap!$A$2:$A$12,0),0)=3)*Attempts!$AR126:$BU126),0))</f>
        <v/>
      </c>
      <c r="N126">
        <f>IF($A126="","",IFERROR(COUNTIF(INDEX(SubMap!$B$2:$AE$12,MATCH($C126,SubMap!$A$2:$A$12,0),0),3),0))</f>
        <v/>
      </c>
      <c r="O126">
        <f>IF(OR($A126="",N126=0),"",ROUND(M126/N126*100,1))</f>
        <v/>
      </c>
      <c r="P126">
        <f>IF($A126="","",IFERROR(INDEX(Papers!$H$2:$H$12,MATCH($C126,Papers!$A$2:$A$12,0)),""))</f>
        <v/>
      </c>
      <c r="Q126">
        <f>IF($A126="","",IFERROR(SUMPRODUCT((INDEX(SubMap!$B$2:$AE$12,MATCH($C126,SubMap!$A$2:$A$12,0),0)=4)*Attempts!$AR126:$BU126),0))</f>
        <v/>
      </c>
      <c r="R126">
        <f>IF($A126="","",IFERROR(COUNTIF(INDEX(SubMap!$B$2:$AE$12,MATCH($C126,SubMap!$A$2:$A$12,0),0),4),0))</f>
        <v/>
      </c>
      <c r="S126">
        <f>IF(OR($A126="",R126=0),"",ROUND(Q126/R126*100,1))</f>
        <v/>
      </c>
      <c r="T126">
        <f>IF($A126="","",IFERROR(INDEX(Papers!$I$2:$I$12,MATCH($C126,Papers!$A$2:$A$12,0)),""))</f>
        <v/>
      </c>
      <c r="U126">
        <f>IF($A126="","",IFERROR(SUMPRODUCT((INDEX(SubMap!$B$2:$AE$12,MATCH($C126,SubMap!$A$2:$A$12,0),0)=5)*Attempts!$AR126:$BU126),0))</f>
        <v/>
      </c>
      <c r="V126">
        <f>IF($A126="","",IFERROR(COUNTIF(INDEX(SubMap!$B$2:$AE$12,MATCH($C126,SubMap!$A$2:$A$12,0),0),5),0))</f>
        <v/>
      </c>
      <c r="W126">
        <f>IF(OR($A126="",V126=0),"",ROUND(U126/V126*100,1))</f>
        <v/>
      </c>
      <c r="X126">
        <f>IF($A126="","",IFERROR(INDEX(Papers!$J$2:$J$12,MATCH($C126,Papers!$A$2:$A$12,0)),""))</f>
        <v/>
      </c>
      <c r="Y126">
        <f>IF($A126="","",IFERROR(SUMPRODUCT((INDEX(SubMap!$B$2:$AE$12,MATCH($C126,SubMap!$A$2:$A$12,0),0)=6)*Attempts!$AR126:$BU126),0))</f>
        <v/>
      </c>
      <c r="Z126">
        <f>IF($A126="","",IFERROR(COUNTIF(INDEX(SubMap!$B$2:$AE$12,MATCH($C126,SubMap!$A$2:$A$12,0),0),6),0))</f>
        <v/>
      </c>
      <c r="AA126">
        <f>IF(OR($A126="",Z126=0),"",ROUND(Y126/Z126*100,1))</f>
        <v/>
      </c>
      <c r="AB126">
        <f>IF($A126="","",IFERROR(INDEX(CHOOSE({1,2,3,4,5,6},D126,H126,L126,P126,T126,X126),MATCH(MIN(G126,K126,O126,S126,W126,AA126),CHOOSE({1,2,3,4,5,6},G126,K126,O126,S126,W126,AA126),0)),""))</f>
        <v/>
      </c>
      <c r="AC126">
        <f>IF($A126="","",IF(COUNT(G126,K126,O126,S126,W126,AA126)=0,"",MIN(G126,K126,O126,S126,W126,AA126)))</f>
        <v/>
      </c>
      <c r="AD126">
        <f>IF($A126="","",IFERROR(INDEX(CHOOSE({1,2,3,4,5,6},IFERROR(INDEX(Papers!$K$2:$K$12,MATCH($C126,Papers!$A$2:$A$12,0)),""),IFERROR(INDEX(Papers!$L$2:$L$12,MATCH($C126,Papers!$A$2:$A$12,0)),""),IFERROR(INDEX(Papers!$M$2:$M$12,MATCH($C126,Papers!$A$2:$A$12,0)),""),IFERROR(INDEX(Papers!$N$2:$N$12,MATCH($C126,Papers!$A$2:$A$12,0)),""),IFERROR(INDEX(Papers!$O$2:$O$12,MATCH($C126,Papers!$A$2:$A$12,0)),""),IFERROR(INDEX(Papers!$P$2:$P$12,MATCH($C126,Papers!$A$2:$A$12,0)),"")),MATCH(MIN(G126,K126,O126,S126,W126,AA126),CHOOSE({1,2,3,4,5,6},G126,K126,O126,S126,W126,AA126),0)),""))</f>
        <v/>
      </c>
      <c r="AE126">
        <f>IF(AC126="","",IF(AC126&lt;50,"Re-teach",IF(AC126&lt;75,"Practice more","Relatively secure")))</f>
        <v/>
      </c>
    </row>
    <row r="127">
      <c r="A127">
        <f>IF(Attempts!A127="","",Attempts!A127)</f>
        <v/>
      </c>
      <c r="B127">
        <f>IF(Attempts!A127="","",Attempts!B127)</f>
        <v/>
      </c>
      <c r="C127">
        <f>IF(Attempts!A127="","",Attempts!D127)</f>
        <v/>
      </c>
      <c r="D127">
        <f>IF($A127="","",IFERROR(INDEX(Papers!$E$2:$E$12,MATCH($C127,Papers!$A$2:$A$12,0)),""))</f>
        <v/>
      </c>
      <c r="E127">
        <f>IF($A127="","",IFERROR(SUMPRODUCT((INDEX(SubMap!$B$2:$AE$12,MATCH($C127,SubMap!$A$2:$A$12,0),0)=1)*Attempts!$AR127:$BU127),0))</f>
        <v/>
      </c>
      <c r="F127">
        <f>IF($A127="","",IFERROR(COUNTIF(INDEX(SubMap!$B$2:$AE$12,MATCH($C127,SubMap!$A$2:$A$12,0),0),1),0))</f>
        <v/>
      </c>
      <c r="G127">
        <f>IF(OR($A127="",F127=0),"",ROUND(E127/F127*100,1))</f>
        <v/>
      </c>
      <c r="H127">
        <f>IF($A127="","",IFERROR(INDEX(Papers!$F$2:$F$12,MATCH($C127,Papers!$A$2:$A$12,0)),""))</f>
        <v/>
      </c>
      <c r="I127">
        <f>IF($A127="","",IFERROR(SUMPRODUCT((INDEX(SubMap!$B$2:$AE$12,MATCH($C127,SubMap!$A$2:$A$12,0),0)=2)*Attempts!$AR127:$BU127),0))</f>
        <v/>
      </c>
      <c r="J127">
        <f>IF($A127="","",IFERROR(COUNTIF(INDEX(SubMap!$B$2:$AE$12,MATCH($C127,SubMap!$A$2:$A$12,0),0),2),0))</f>
        <v/>
      </c>
      <c r="K127">
        <f>IF(OR($A127="",J127=0),"",ROUND(I127/J127*100,1))</f>
        <v/>
      </c>
      <c r="L127">
        <f>IF($A127="","",IFERROR(INDEX(Papers!$G$2:$G$12,MATCH($C127,Papers!$A$2:$A$12,0)),""))</f>
        <v/>
      </c>
      <c r="M127">
        <f>IF($A127="","",IFERROR(SUMPRODUCT((INDEX(SubMap!$B$2:$AE$12,MATCH($C127,SubMap!$A$2:$A$12,0),0)=3)*Attempts!$AR127:$BU127),0))</f>
        <v/>
      </c>
      <c r="N127">
        <f>IF($A127="","",IFERROR(COUNTIF(INDEX(SubMap!$B$2:$AE$12,MATCH($C127,SubMap!$A$2:$A$12,0),0),3),0))</f>
        <v/>
      </c>
      <c r="O127">
        <f>IF(OR($A127="",N127=0),"",ROUND(M127/N127*100,1))</f>
        <v/>
      </c>
      <c r="P127">
        <f>IF($A127="","",IFERROR(INDEX(Papers!$H$2:$H$12,MATCH($C127,Papers!$A$2:$A$12,0)),""))</f>
        <v/>
      </c>
      <c r="Q127">
        <f>IF($A127="","",IFERROR(SUMPRODUCT((INDEX(SubMap!$B$2:$AE$12,MATCH($C127,SubMap!$A$2:$A$12,0),0)=4)*Attempts!$AR127:$BU127),0))</f>
        <v/>
      </c>
      <c r="R127">
        <f>IF($A127="","",IFERROR(COUNTIF(INDEX(SubMap!$B$2:$AE$12,MATCH($C127,SubMap!$A$2:$A$12,0),0),4),0))</f>
        <v/>
      </c>
      <c r="S127">
        <f>IF(OR($A127="",R127=0),"",ROUND(Q127/R127*100,1))</f>
        <v/>
      </c>
      <c r="T127">
        <f>IF($A127="","",IFERROR(INDEX(Papers!$I$2:$I$12,MATCH($C127,Papers!$A$2:$A$12,0)),""))</f>
        <v/>
      </c>
      <c r="U127">
        <f>IF($A127="","",IFERROR(SUMPRODUCT((INDEX(SubMap!$B$2:$AE$12,MATCH($C127,SubMap!$A$2:$A$12,0),0)=5)*Attempts!$AR127:$BU127),0))</f>
        <v/>
      </c>
      <c r="V127">
        <f>IF($A127="","",IFERROR(COUNTIF(INDEX(SubMap!$B$2:$AE$12,MATCH($C127,SubMap!$A$2:$A$12,0),0),5),0))</f>
        <v/>
      </c>
      <c r="W127">
        <f>IF(OR($A127="",V127=0),"",ROUND(U127/V127*100,1))</f>
        <v/>
      </c>
      <c r="X127">
        <f>IF($A127="","",IFERROR(INDEX(Papers!$J$2:$J$12,MATCH($C127,Papers!$A$2:$A$12,0)),""))</f>
        <v/>
      </c>
      <c r="Y127">
        <f>IF($A127="","",IFERROR(SUMPRODUCT((INDEX(SubMap!$B$2:$AE$12,MATCH($C127,SubMap!$A$2:$A$12,0),0)=6)*Attempts!$AR127:$BU127),0))</f>
        <v/>
      </c>
      <c r="Z127">
        <f>IF($A127="","",IFERROR(COUNTIF(INDEX(SubMap!$B$2:$AE$12,MATCH($C127,SubMap!$A$2:$A$12,0),0),6),0))</f>
        <v/>
      </c>
      <c r="AA127">
        <f>IF(OR($A127="",Z127=0),"",ROUND(Y127/Z127*100,1))</f>
        <v/>
      </c>
      <c r="AB127">
        <f>IF($A127="","",IFERROR(INDEX(CHOOSE({1,2,3,4,5,6},D127,H127,L127,P127,T127,X127),MATCH(MIN(G127,K127,O127,S127,W127,AA127),CHOOSE({1,2,3,4,5,6},G127,K127,O127,S127,W127,AA127),0)),""))</f>
        <v/>
      </c>
      <c r="AC127">
        <f>IF($A127="","",IF(COUNT(G127,K127,O127,S127,W127,AA127)=0,"",MIN(G127,K127,O127,S127,W127,AA127)))</f>
        <v/>
      </c>
      <c r="AD127">
        <f>IF($A127="","",IFERROR(INDEX(CHOOSE({1,2,3,4,5,6},IFERROR(INDEX(Papers!$K$2:$K$12,MATCH($C127,Papers!$A$2:$A$12,0)),""),IFERROR(INDEX(Papers!$L$2:$L$12,MATCH($C127,Papers!$A$2:$A$12,0)),""),IFERROR(INDEX(Papers!$M$2:$M$12,MATCH($C127,Papers!$A$2:$A$12,0)),""),IFERROR(INDEX(Papers!$N$2:$N$12,MATCH($C127,Papers!$A$2:$A$12,0)),""),IFERROR(INDEX(Papers!$O$2:$O$12,MATCH($C127,Papers!$A$2:$A$12,0)),""),IFERROR(INDEX(Papers!$P$2:$P$12,MATCH($C127,Papers!$A$2:$A$12,0)),"")),MATCH(MIN(G127,K127,O127,S127,W127,AA127),CHOOSE({1,2,3,4,5,6},G127,K127,O127,S127,W127,AA127),0)),""))</f>
        <v/>
      </c>
      <c r="AE127">
        <f>IF(AC127="","",IF(AC127&lt;50,"Re-teach",IF(AC127&lt;75,"Practice more","Relatively secure")))</f>
        <v/>
      </c>
    </row>
    <row r="128">
      <c r="A128">
        <f>IF(Attempts!A128="","",Attempts!A128)</f>
        <v/>
      </c>
      <c r="B128">
        <f>IF(Attempts!A128="","",Attempts!B128)</f>
        <v/>
      </c>
      <c r="C128">
        <f>IF(Attempts!A128="","",Attempts!D128)</f>
        <v/>
      </c>
      <c r="D128">
        <f>IF($A128="","",IFERROR(INDEX(Papers!$E$2:$E$12,MATCH($C128,Papers!$A$2:$A$12,0)),""))</f>
        <v/>
      </c>
      <c r="E128">
        <f>IF($A128="","",IFERROR(SUMPRODUCT((INDEX(SubMap!$B$2:$AE$12,MATCH($C128,SubMap!$A$2:$A$12,0),0)=1)*Attempts!$AR128:$BU128),0))</f>
        <v/>
      </c>
      <c r="F128">
        <f>IF($A128="","",IFERROR(COUNTIF(INDEX(SubMap!$B$2:$AE$12,MATCH($C128,SubMap!$A$2:$A$12,0),0),1),0))</f>
        <v/>
      </c>
      <c r="G128">
        <f>IF(OR($A128="",F128=0),"",ROUND(E128/F128*100,1))</f>
        <v/>
      </c>
      <c r="H128">
        <f>IF($A128="","",IFERROR(INDEX(Papers!$F$2:$F$12,MATCH($C128,Papers!$A$2:$A$12,0)),""))</f>
        <v/>
      </c>
      <c r="I128">
        <f>IF($A128="","",IFERROR(SUMPRODUCT((INDEX(SubMap!$B$2:$AE$12,MATCH($C128,SubMap!$A$2:$A$12,0),0)=2)*Attempts!$AR128:$BU128),0))</f>
        <v/>
      </c>
      <c r="J128">
        <f>IF($A128="","",IFERROR(COUNTIF(INDEX(SubMap!$B$2:$AE$12,MATCH($C128,SubMap!$A$2:$A$12,0),0),2),0))</f>
        <v/>
      </c>
      <c r="K128">
        <f>IF(OR($A128="",J128=0),"",ROUND(I128/J128*100,1))</f>
        <v/>
      </c>
      <c r="L128">
        <f>IF($A128="","",IFERROR(INDEX(Papers!$G$2:$G$12,MATCH($C128,Papers!$A$2:$A$12,0)),""))</f>
        <v/>
      </c>
      <c r="M128">
        <f>IF($A128="","",IFERROR(SUMPRODUCT((INDEX(SubMap!$B$2:$AE$12,MATCH($C128,SubMap!$A$2:$A$12,0),0)=3)*Attempts!$AR128:$BU128),0))</f>
        <v/>
      </c>
      <c r="N128">
        <f>IF($A128="","",IFERROR(COUNTIF(INDEX(SubMap!$B$2:$AE$12,MATCH($C128,SubMap!$A$2:$A$12,0),0),3),0))</f>
        <v/>
      </c>
      <c r="O128">
        <f>IF(OR($A128="",N128=0),"",ROUND(M128/N128*100,1))</f>
        <v/>
      </c>
      <c r="P128">
        <f>IF($A128="","",IFERROR(INDEX(Papers!$H$2:$H$12,MATCH($C128,Papers!$A$2:$A$12,0)),""))</f>
        <v/>
      </c>
      <c r="Q128">
        <f>IF($A128="","",IFERROR(SUMPRODUCT((INDEX(SubMap!$B$2:$AE$12,MATCH($C128,SubMap!$A$2:$A$12,0),0)=4)*Attempts!$AR128:$BU128),0))</f>
        <v/>
      </c>
      <c r="R128">
        <f>IF($A128="","",IFERROR(COUNTIF(INDEX(SubMap!$B$2:$AE$12,MATCH($C128,SubMap!$A$2:$A$12,0),0),4),0))</f>
        <v/>
      </c>
      <c r="S128">
        <f>IF(OR($A128="",R128=0),"",ROUND(Q128/R128*100,1))</f>
        <v/>
      </c>
      <c r="T128">
        <f>IF($A128="","",IFERROR(INDEX(Papers!$I$2:$I$12,MATCH($C128,Papers!$A$2:$A$12,0)),""))</f>
        <v/>
      </c>
      <c r="U128">
        <f>IF($A128="","",IFERROR(SUMPRODUCT((INDEX(SubMap!$B$2:$AE$12,MATCH($C128,SubMap!$A$2:$A$12,0),0)=5)*Attempts!$AR128:$BU128),0))</f>
        <v/>
      </c>
      <c r="V128">
        <f>IF($A128="","",IFERROR(COUNTIF(INDEX(SubMap!$B$2:$AE$12,MATCH($C128,SubMap!$A$2:$A$12,0),0),5),0))</f>
        <v/>
      </c>
      <c r="W128">
        <f>IF(OR($A128="",V128=0),"",ROUND(U128/V128*100,1))</f>
        <v/>
      </c>
      <c r="X128">
        <f>IF($A128="","",IFERROR(INDEX(Papers!$J$2:$J$12,MATCH($C128,Papers!$A$2:$A$12,0)),""))</f>
        <v/>
      </c>
      <c r="Y128">
        <f>IF($A128="","",IFERROR(SUMPRODUCT((INDEX(SubMap!$B$2:$AE$12,MATCH($C128,SubMap!$A$2:$A$12,0),0)=6)*Attempts!$AR128:$BU128),0))</f>
        <v/>
      </c>
      <c r="Z128">
        <f>IF($A128="","",IFERROR(COUNTIF(INDEX(SubMap!$B$2:$AE$12,MATCH($C128,SubMap!$A$2:$A$12,0),0),6),0))</f>
        <v/>
      </c>
      <c r="AA128">
        <f>IF(OR($A128="",Z128=0),"",ROUND(Y128/Z128*100,1))</f>
        <v/>
      </c>
      <c r="AB128">
        <f>IF($A128="","",IFERROR(INDEX(CHOOSE({1,2,3,4,5,6},D128,H128,L128,P128,T128,X128),MATCH(MIN(G128,K128,O128,S128,W128,AA128),CHOOSE({1,2,3,4,5,6},G128,K128,O128,S128,W128,AA128),0)),""))</f>
        <v/>
      </c>
      <c r="AC128">
        <f>IF($A128="","",IF(COUNT(G128,K128,O128,S128,W128,AA128)=0,"",MIN(G128,K128,O128,S128,W128,AA128)))</f>
        <v/>
      </c>
      <c r="AD128">
        <f>IF($A128="","",IFERROR(INDEX(CHOOSE({1,2,3,4,5,6},IFERROR(INDEX(Papers!$K$2:$K$12,MATCH($C128,Papers!$A$2:$A$12,0)),""),IFERROR(INDEX(Papers!$L$2:$L$12,MATCH($C128,Papers!$A$2:$A$12,0)),""),IFERROR(INDEX(Papers!$M$2:$M$12,MATCH($C128,Papers!$A$2:$A$12,0)),""),IFERROR(INDEX(Papers!$N$2:$N$12,MATCH($C128,Papers!$A$2:$A$12,0)),""),IFERROR(INDEX(Papers!$O$2:$O$12,MATCH($C128,Papers!$A$2:$A$12,0)),""),IFERROR(INDEX(Papers!$P$2:$P$12,MATCH($C128,Papers!$A$2:$A$12,0)),"")),MATCH(MIN(G128,K128,O128,S128,W128,AA128),CHOOSE({1,2,3,4,5,6},G128,K128,O128,S128,W128,AA128),0)),""))</f>
        <v/>
      </c>
      <c r="AE128">
        <f>IF(AC128="","",IF(AC128&lt;50,"Re-teach",IF(AC128&lt;75,"Practice more","Relatively secure")))</f>
        <v/>
      </c>
    </row>
    <row r="129">
      <c r="A129">
        <f>IF(Attempts!A129="","",Attempts!A129)</f>
        <v/>
      </c>
      <c r="B129">
        <f>IF(Attempts!A129="","",Attempts!B129)</f>
        <v/>
      </c>
      <c r="C129">
        <f>IF(Attempts!A129="","",Attempts!D129)</f>
        <v/>
      </c>
      <c r="D129">
        <f>IF($A129="","",IFERROR(INDEX(Papers!$E$2:$E$12,MATCH($C129,Papers!$A$2:$A$12,0)),""))</f>
        <v/>
      </c>
      <c r="E129">
        <f>IF($A129="","",IFERROR(SUMPRODUCT((INDEX(SubMap!$B$2:$AE$12,MATCH($C129,SubMap!$A$2:$A$12,0),0)=1)*Attempts!$AR129:$BU129),0))</f>
        <v/>
      </c>
      <c r="F129">
        <f>IF($A129="","",IFERROR(COUNTIF(INDEX(SubMap!$B$2:$AE$12,MATCH($C129,SubMap!$A$2:$A$12,0),0),1),0))</f>
        <v/>
      </c>
      <c r="G129">
        <f>IF(OR($A129="",F129=0),"",ROUND(E129/F129*100,1))</f>
        <v/>
      </c>
      <c r="H129">
        <f>IF($A129="","",IFERROR(INDEX(Papers!$F$2:$F$12,MATCH($C129,Papers!$A$2:$A$12,0)),""))</f>
        <v/>
      </c>
      <c r="I129">
        <f>IF($A129="","",IFERROR(SUMPRODUCT((INDEX(SubMap!$B$2:$AE$12,MATCH($C129,SubMap!$A$2:$A$12,0),0)=2)*Attempts!$AR129:$BU129),0))</f>
        <v/>
      </c>
      <c r="J129">
        <f>IF($A129="","",IFERROR(COUNTIF(INDEX(SubMap!$B$2:$AE$12,MATCH($C129,SubMap!$A$2:$A$12,0),0),2),0))</f>
        <v/>
      </c>
      <c r="K129">
        <f>IF(OR($A129="",J129=0),"",ROUND(I129/J129*100,1))</f>
        <v/>
      </c>
      <c r="L129">
        <f>IF($A129="","",IFERROR(INDEX(Papers!$G$2:$G$12,MATCH($C129,Papers!$A$2:$A$12,0)),""))</f>
        <v/>
      </c>
      <c r="M129">
        <f>IF($A129="","",IFERROR(SUMPRODUCT((INDEX(SubMap!$B$2:$AE$12,MATCH($C129,SubMap!$A$2:$A$12,0),0)=3)*Attempts!$AR129:$BU129),0))</f>
        <v/>
      </c>
      <c r="N129">
        <f>IF($A129="","",IFERROR(COUNTIF(INDEX(SubMap!$B$2:$AE$12,MATCH($C129,SubMap!$A$2:$A$12,0),0),3),0))</f>
        <v/>
      </c>
      <c r="O129">
        <f>IF(OR($A129="",N129=0),"",ROUND(M129/N129*100,1))</f>
        <v/>
      </c>
      <c r="P129">
        <f>IF($A129="","",IFERROR(INDEX(Papers!$H$2:$H$12,MATCH($C129,Papers!$A$2:$A$12,0)),""))</f>
        <v/>
      </c>
      <c r="Q129">
        <f>IF($A129="","",IFERROR(SUMPRODUCT((INDEX(SubMap!$B$2:$AE$12,MATCH($C129,SubMap!$A$2:$A$12,0),0)=4)*Attempts!$AR129:$BU129),0))</f>
        <v/>
      </c>
      <c r="R129">
        <f>IF($A129="","",IFERROR(COUNTIF(INDEX(SubMap!$B$2:$AE$12,MATCH($C129,SubMap!$A$2:$A$12,0),0),4),0))</f>
        <v/>
      </c>
      <c r="S129">
        <f>IF(OR($A129="",R129=0),"",ROUND(Q129/R129*100,1))</f>
        <v/>
      </c>
      <c r="T129">
        <f>IF($A129="","",IFERROR(INDEX(Papers!$I$2:$I$12,MATCH($C129,Papers!$A$2:$A$12,0)),""))</f>
        <v/>
      </c>
      <c r="U129">
        <f>IF($A129="","",IFERROR(SUMPRODUCT((INDEX(SubMap!$B$2:$AE$12,MATCH($C129,SubMap!$A$2:$A$12,0),0)=5)*Attempts!$AR129:$BU129),0))</f>
        <v/>
      </c>
      <c r="V129">
        <f>IF($A129="","",IFERROR(COUNTIF(INDEX(SubMap!$B$2:$AE$12,MATCH($C129,SubMap!$A$2:$A$12,0),0),5),0))</f>
        <v/>
      </c>
      <c r="W129">
        <f>IF(OR($A129="",V129=0),"",ROUND(U129/V129*100,1))</f>
        <v/>
      </c>
      <c r="X129">
        <f>IF($A129="","",IFERROR(INDEX(Papers!$J$2:$J$12,MATCH($C129,Papers!$A$2:$A$12,0)),""))</f>
        <v/>
      </c>
      <c r="Y129">
        <f>IF($A129="","",IFERROR(SUMPRODUCT((INDEX(SubMap!$B$2:$AE$12,MATCH($C129,SubMap!$A$2:$A$12,0),0)=6)*Attempts!$AR129:$BU129),0))</f>
        <v/>
      </c>
      <c r="Z129">
        <f>IF($A129="","",IFERROR(COUNTIF(INDEX(SubMap!$B$2:$AE$12,MATCH($C129,SubMap!$A$2:$A$12,0),0),6),0))</f>
        <v/>
      </c>
      <c r="AA129">
        <f>IF(OR($A129="",Z129=0),"",ROUND(Y129/Z129*100,1))</f>
        <v/>
      </c>
      <c r="AB129">
        <f>IF($A129="","",IFERROR(INDEX(CHOOSE({1,2,3,4,5,6},D129,H129,L129,P129,T129,X129),MATCH(MIN(G129,K129,O129,S129,W129,AA129),CHOOSE({1,2,3,4,5,6},G129,K129,O129,S129,W129,AA129),0)),""))</f>
        <v/>
      </c>
      <c r="AC129">
        <f>IF($A129="","",IF(COUNT(G129,K129,O129,S129,W129,AA129)=0,"",MIN(G129,K129,O129,S129,W129,AA129)))</f>
        <v/>
      </c>
      <c r="AD129">
        <f>IF($A129="","",IFERROR(INDEX(CHOOSE({1,2,3,4,5,6},IFERROR(INDEX(Papers!$K$2:$K$12,MATCH($C129,Papers!$A$2:$A$12,0)),""),IFERROR(INDEX(Papers!$L$2:$L$12,MATCH($C129,Papers!$A$2:$A$12,0)),""),IFERROR(INDEX(Papers!$M$2:$M$12,MATCH($C129,Papers!$A$2:$A$12,0)),""),IFERROR(INDEX(Papers!$N$2:$N$12,MATCH($C129,Papers!$A$2:$A$12,0)),""),IFERROR(INDEX(Papers!$O$2:$O$12,MATCH($C129,Papers!$A$2:$A$12,0)),""),IFERROR(INDEX(Papers!$P$2:$P$12,MATCH($C129,Papers!$A$2:$A$12,0)),"")),MATCH(MIN(G129,K129,O129,S129,W129,AA129),CHOOSE({1,2,3,4,5,6},G129,K129,O129,S129,W129,AA129),0)),""))</f>
        <v/>
      </c>
      <c r="AE129">
        <f>IF(AC129="","",IF(AC129&lt;50,"Re-teach",IF(AC129&lt;75,"Practice more","Relatively secure")))</f>
        <v/>
      </c>
    </row>
    <row r="130">
      <c r="A130">
        <f>IF(Attempts!A130="","",Attempts!A130)</f>
        <v/>
      </c>
      <c r="B130">
        <f>IF(Attempts!A130="","",Attempts!B130)</f>
        <v/>
      </c>
      <c r="C130">
        <f>IF(Attempts!A130="","",Attempts!D130)</f>
        <v/>
      </c>
      <c r="D130">
        <f>IF($A130="","",IFERROR(INDEX(Papers!$E$2:$E$12,MATCH($C130,Papers!$A$2:$A$12,0)),""))</f>
        <v/>
      </c>
      <c r="E130">
        <f>IF($A130="","",IFERROR(SUMPRODUCT((INDEX(SubMap!$B$2:$AE$12,MATCH($C130,SubMap!$A$2:$A$12,0),0)=1)*Attempts!$AR130:$BU130),0))</f>
        <v/>
      </c>
      <c r="F130">
        <f>IF($A130="","",IFERROR(COUNTIF(INDEX(SubMap!$B$2:$AE$12,MATCH($C130,SubMap!$A$2:$A$12,0),0),1),0))</f>
        <v/>
      </c>
      <c r="G130">
        <f>IF(OR($A130="",F130=0),"",ROUND(E130/F130*100,1))</f>
        <v/>
      </c>
      <c r="H130">
        <f>IF($A130="","",IFERROR(INDEX(Papers!$F$2:$F$12,MATCH($C130,Papers!$A$2:$A$12,0)),""))</f>
        <v/>
      </c>
      <c r="I130">
        <f>IF($A130="","",IFERROR(SUMPRODUCT((INDEX(SubMap!$B$2:$AE$12,MATCH($C130,SubMap!$A$2:$A$12,0),0)=2)*Attempts!$AR130:$BU130),0))</f>
        <v/>
      </c>
      <c r="J130">
        <f>IF($A130="","",IFERROR(COUNTIF(INDEX(SubMap!$B$2:$AE$12,MATCH($C130,SubMap!$A$2:$A$12,0),0),2),0))</f>
        <v/>
      </c>
      <c r="K130">
        <f>IF(OR($A130="",J130=0),"",ROUND(I130/J130*100,1))</f>
        <v/>
      </c>
      <c r="L130">
        <f>IF($A130="","",IFERROR(INDEX(Papers!$G$2:$G$12,MATCH($C130,Papers!$A$2:$A$12,0)),""))</f>
        <v/>
      </c>
      <c r="M130">
        <f>IF($A130="","",IFERROR(SUMPRODUCT((INDEX(SubMap!$B$2:$AE$12,MATCH($C130,SubMap!$A$2:$A$12,0),0)=3)*Attempts!$AR130:$BU130),0))</f>
        <v/>
      </c>
      <c r="N130">
        <f>IF($A130="","",IFERROR(COUNTIF(INDEX(SubMap!$B$2:$AE$12,MATCH($C130,SubMap!$A$2:$A$12,0),0),3),0))</f>
        <v/>
      </c>
      <c r="O130">
        <f>IF(OR($A130="",N130=0),"",ROUND(M130/N130*100,1))</f>
        <v/>
      </c>
      <c r="P130">
        <f>IF($A130="","",IFERROR(INDEX(Papers!$H$2:$H$12,MATCH($C130,Papers!$A$2:$A$12,0)),""))</f>
        <v/>
      </c>
      <c r="Q130">
        <f>IF($A130="","",IFERROR(SUMPRODUCT((INDEX(SubMap!$B$2:$AE$12,MATCH($C130,SubMap!$A$2:$A$12,0),0)=4)*Attempts!$AR130:$BU130),0))</f>
        <v/>
      </c>
      <c r="R130">
        <f>IF($A130="","",IFERROR(COUNTIF(INDEX(SubMap!$B$2:$AE$12,MATCH($C130,SubMap!$A$2:$A$12,0),0),4),0))</f>
        <v/>
      </c>
      <c r="S130">
        <f>IF(OR($A130="",R130=0),"",ROUND(Q130/R130*100,1))</f>
        <v/>
      </c>
      <c r="T130">
        <f>IF($A130="","",IFERROR(INDEX(Papers!$I$2:$I$12,MATCH($C130,Papers!$A$2:$A$12,0)),""))</f>
        <v/>
      </c>
      <c r="U130">
        <f>IF($A130="","",IFERROR(SUMPRODUCT((INDEX(SubMap!$B$2:$AE$12,MATCH($C130,SubMap!$A$2:$A$12,0),0)=5)*Attempts!$AR130:$BU130),0))</f>
        <v/>
      </c>
      <c r="V130">
        <f>IF($A130="","",IFERROR(COUNTIF(INDEX(SubMap!$B$2:$AE$12,MATCH($C130,SubMap!$A$2:$A$12,0),0),5),0))</f>
        <v/>
      </c>
      <c r="W130">
        <f>IF(OR($A130="",V130=0),"",ROUND(U130/V130*100,1))</f>
        <v/>
      </c>
      <c r="X130">
        <f>IF($A130="","",IFERROR(INDEX(Papers!$J$2:$J$12,MATCH($C130,Papers!$A$2:$A$12,0)),""))</f>
        <v/>
      </c>
      <c r="Y130">
        <f>IF($A130="","",IFERROR(SUMPRODUCT((INDEX(SubMap!$B$2:$AE$12,MATCH($C130,SubMap!$A$2:$A$12,0),0)=6)*Attempts!$AR130:$BU130),0))</f>
        <v/>
      </c>
      <c r="Z130">
        <f>IF($A130="","",IFERROR(COUNTIF(INDEX(SubMap!$B$2:$AE$12,MATCH($C130,SubMap!$A$2:$A$12,0),0),6),0))</f>
        <v/>
      </c>
      <c r="AA130">
        <f>IF(OR($A130="",Z130=0),"",ROUND(Y130/Z130*100,1))</f>
        <v/>
      </c>
      <c r="AB130">
        <f>IF($A130="","",IFERROR(INDEX(CHOOSE({1,2,3,4,5,6},D130,H130,L130,P130,T130,X130),MATCH(MIN(G130,K130,O130,S130,W130,AA130),CHOOSE({1,2,3,4,5,6},G130,K130,O130,S130,W130,AA130),0)),""))</f>
        <v/>
      </c>
      <c r="AC130">
        <f>IF($A130="","",IF(COUNT(G130,K130,O130,S130,W130,AA130)=0,"",MIN(G130,K130,O130,S130,W130,AA130)))</f>
        <v/>
      </c>
      <c r="AD130">
        <f>IF($A130="","",IFERROR(INDEX(CHOOSE({1,2,3,4,5,6},IFERROR(INDEX(Papers!$K$2:$K$12,MATCH($C130,Papers!$A$2:$A$12,0)),""),IFERROR(INDEX(Papers!$L$2:$L$12,MATCH($C130,Papers!$A$2:$A$12,0)),""),IFERROR(INDEX(Papers!$M$2:$M$12,MATCH($C130,Papers!$A$2:$A$12,0)),""),IFERROR(INDEX(Papers!$N$2:$N$12,MATCH($C130,Papers!$A$2:$A$12,0)),""),IFERROR(INDEX(Papers!$O$2:$O$12,MATCH($C130,Papers!$A$2:$A$12,0)),""),IFERROR(INDEX(Papers!$P$2:$P$12,MATCH($C130,Papers!$A$2:$A$12,0)),"")),MATCH(MIN(G130,K130,O130,S130,W130,AA130),CHOOSE({1,2,3,4,5,6},G130,K130,O130,S130,W130,AA130),0)),""))</f>
        <v/>
      </c>
      <c r="AE130">
        <f>IF(AC130="","",IF(AC130&lt;50,"Re-teach",IF(AC130&lt;75,"Practice more","Relatively secure")))</f>
        <v/>
      </c>
    </row>
    <row r="131">
      <c r="A131">
        <f>IF(Attempts!A131="","",Attempts!A131)</f>
        <v/>
      </c>
      <c r="B131">
        <f>IF(Attempts!A131="","",Attempts!B131)</f>
        <v/>
      </c>
      <c r="C131">
        <f>IF(Attempts!A131="","",Attempts!D131)</f>
        <v/>
      </c>
      <c r="D131">
        <f>IF($A131="","",IFERROR(INDEX(Papers!$E$2:$E$12,MATCH($C131,Papers!$A$2:$A$12,0)),""))</f>
        <v/>
      </c>
      <c r="E131">
        <f>IF($A131="","",IFERROR(SUMPRODUCT((INDEX(SubMap!$B$2:$AE$12,MATCH($C131,SubMap!$A$2:$A$12,0),0)=1)*Attempts!$AR131:$BU131),0))</f>
        <v/>
      </c>
      <c r="F131">
        <f>IF($A131="","",IFERROR(COUNTIF(INDEX(SubMap!$B$2:$AE$12,MATCH($C131,SubMap!$A$2:$A$12,0),0),1),0))</f>
        <v/>
      </c>
      <c r="G131">
        <f>IF(OR($A131="",F131=0),"",ROUND(E131/F131*100,1))</f>
        <v/>
      </c>
      <c r="H131">
        <f>IF($A131="","",IFERROR(INDEX(Papers!$F$2:$F$12,MATCH($C131,Papers!$A$2:$A$12,0)),""))</f>
        <v/>
      </c>
      <c r="I131">
        <f>IF($A131="","",IFERROR(SUMPRODUCT((INDEX(SubMap!$B$2:$AE$12,MATCH($C131,SubMap!$A$2:$A$12,0),0)=2)*Attempts!$AR131:$BU131),0))</f>
        <v/>
      </c>
      <c r="J131">
        <f>IF($A131="","",IFERROR(COUNTIF(INDEX(SubMap!$B$2:$AE$12,MATCH($C131,SubMap!$A$2:$A$12,0),0),2),0))</f>
        <v/>
      </c>
      <c r="K131">
        <f>IF(OR($A131="",J131=0),"",ROUND(I131/J131*100,1))</f>
        <v/>
      </c>
      <c r="L131">
        <f>IF($A131="","",IFERROR(INDEX(Papers!$G$2:$G$12,MATCH($C131,Papers!$A$2:$A$12,0)),""))</f>
        <v/>
      </c>
      <c r="M131">
        <f>IF($A131="","",IFERROR(SUMPRODUCT((INDEX(SubMap!$B$2:$AE$12,MATCH($C131,SubMap!$A$2:$A$12,0),0)=3)*Attempts!$AR131:$BU131),0))</f>
        <v/>
      </c>
      <c r="N131">
        <f>IF($A131="","",IFERROR(COUNTIF(INDEX(SubMap!$B$2:$AE$12,MATCH($C131,SubMap!$A$2:$A$12,0),0),3),0))</f>
        <v/>
      </c>
      <c r="O131">
        <f>IF(OR($A131="",N131=0),"",ROUND(M131/N131*100,1))</f>
        <v/>
      </c>
      <c r="P131">
        <f>IF($A131="","",IFERROR(INDEX(Papers!$H$2:$H$12,MATCH($C131,Papers!$A$2:$A$12,0)),""))</f>
        <v/>
      </c>
      <c r="Q131">
        <f>IF($A131="","",IFERROR(SUMPRODUCT((INDEX(SubMap!$B$2:$AE$12,MATCH($C131,SubMap!$A$2:$A$12,0),0)=4)*Attempts!$AR131:$BU131),0))</f>
        <v/>
      </c>
      <c r="R131">
        <f>IF($A131="","",IFERROR(COUNTIF(INDEX(SubMap!$B$2:$AE$12,MATCH($C131,SubMap!$A$2:$A$12,0),0),4),0))</f>
        <v/>
      </c>
      <c r="S131">
        <f>IF(OR($A131="",R131=0),"",ROUND(Q131/R131*100,1))</f>
        <v/>
      </c>
      <c r="T131">
        <f>IF($A131="","",IFERROR(INDEX(Papers!$I$2:$I$12,MATCH($C131,Papers!$A$2:$A$12,0)),""))</f>
        <v/>
      </c>
      <c r="U131">
        <f>IF($A131="","",IFERROR(SUMPRODUCT((INDEX(SubMap!$B$2:$AE$12,MATCH($C131,SubMap!$A$2:$A$12,0),0)=5)*Attempts!$AR131:$BU131),0))</f>
        <v/>
      </c>
      <c r="V131">
        <f>IF($A131="","",IFERROR(COUNTIF(INDEX(SubMap!$B$2:$AE$12,MATCH($C131,SubMap!$A$2:$A$12,0),0),5),0))</f>
        <v/>
      </c>
      <c r="W131">
        <f>IF(OR($A131="",V131=0),"",ROUND(U131/V131*100,1))</f>
        <v/>
      </c>
      <c r="X131">
        <f>IF($A131="","",IFERROR(INDEX(Papers!$J$2:$J$12,MATCH($C131,Papers!$A$2:$A$12,0)),""))</f>
        <v/>
      </c>
      <c r="Y131">
        <f>IF($A131="","",IFERROR(SUMPRODUCT((INDEX(SubMap!$B$2:$AE$12,MATCH($C131,SubMap!$A$2:$A$12,0),0)=6)*Attempts!$AR131:$BU131),0))</f>
        <v/>
      </c>
      <c r="Z131">
        <f>IF($A131="","",IFERROR(COUNTIF(INDEX(SubMap!$B$2:$AE$12,MATCH($C131,SubMap!$A$2:$A$12,0),0),6),0))</f>
        <v/>
      </c>
      <c r="AA131">
        <f>IF(OR($A131="",Z131=0),"",ROUND(Y131/Z131*100,1))</f>
        <v/>
      </c>
      <c r="AB131">
        <f>IF($A131="","",IFERROR(INDEX(CHOOSE({1,2,3,4,5,6},D131,H131,L131,P131,T131,X131),MATCH(MIN(G131,K131,O131,S131,W131,AA131),CHOOSE({1,2,3,4,5,6},G131,K131,O131,S131,W131,AA131),0)),""))</f>
        <v/>
      </c>
      <c r="AC131">
        <f>IF($A131="","",IF(COUNT(G131,K131,O131,S131,W131,AA131)=0,"",MIN(G131,K131,O131,S131,W131,AA131)))</f>
        <v/>
      </c>
      <c r="AD131">
        <f>IF($A131="","",IFERROR(INDEX(CHOOSE({1,2,3,4,5,6},IFERROR(INDEX(Papers!$K$2:$K$12,MATCH($C131,Papers!$A$2:$A$12,0)),""),IFERROR(INDEX(Papers!$L$2:$L$12,MATCH($C131,Papers!$A$2:$A$12,0)),""),IFERROR(INDEX(Papers!$M$2:$M$12,MATCH($C131,Papers!$A$2:$A$12,0)),""),IFERROR(INDEX(Papers!$N$2:$N$12,MATCH($C131,Papers!$A$2:$A$12,0)),""),IFERROR(INDEX(Papers!$O$2:$O$12,MATCH($C131,Papers!$A$2:$A$12,0)),""),IFERROR(INDEX(Papers!$P$2:$P$12,MATCH($C131,Papers!$A$2:$A$12,0)),"")),MATCH(MIN(G131,K131,O131,S131,W131,AA131),CHOOSE({1,2,3,4,5,6},G131,K131,O131,S131,W131,AA131),0)),""))</f>
        <v/>
      </c>
      <c r="AE131">
        <f>IF(AC131="","",IF(AC131&lt;50,"Re-teach",IF(AC131&lt;75,"Practice more","Relatively secure")))</f>
        <v/>
      </c>
    </row>
    <row r="132">
      <c r="A132">
        <f>IF(Attempts!A132="","",Attempts!A132)</f>
        <v/>
      </c>
      <c r="B132">
        <f>IF(Attempts!A132="","",Attempts!B132)</f>
        <v/>
      </c>
      <c r="C132">
        <f>IF(Attempts!A132="","",Attempts!D132)</f>
        <v/>
      </c>
      <c r="D132">
        <f>IF($A132="","",IFERROR(INDEX(Papers!$E$2:$E$12,MATCH($C132,Papers!$A$2:$A$12,0)),""))</f>
        <v/>
      </c>
      <c r="E132">
        <f>IF($A132="","",IFERROR(SUMPRODUCT((INDEX(SubMap!$B$2:$AE$12,MATCH($C132,SubMap!$A$2:$A$12,0),0)=1)*Attempts!$AR132:$BU132),0))</f>
        <v/>
      </c>
      <c r="F132">
        <f>IF($A132="","",IFERROR(COUNTIF(INDEX(SubMap!$B$2:$AE$12,MATCH($C132,SubMap!$A$2:$A$12,0),0),1),0))</f>
        <v/>
      </c>
      <c r="G132">
        <f>IF(OR($A132="",F132=0),"",ROUND(E132/F132*100,1))</f>
        <v/>
      </c>
      <c r="H132">
        <f>IF($A132="","",IFERROR(INDEX(Papers!$F$2:$F$12,MATCH($C132,Papers!$A$2:$A$12,0)),""))</f>
        <v/>
      </c>
      <c r="I132">
        <f>IF($A132="","",IFERROR(SUMPRODUCT((INDEX(SubMap!$B$2:$AE$12,MATCH($C132,SubMap!$A$2:$A$12,0),0)=2)*Attempts!$AR132:$BU132),0))</f>
        <v/>
      </c>
      <c r="J132">
        <f>IF($A132="","",IFERROR(COUNTIF(INDEX(SubMap!$B$2:$AE$12,MATCH($C132,SubMap!$A$2:$A$12,0),0),2),0))</f>
        <v/>
      </c>
      <c r="K132">
        <f>IF(OR($A132="",J132=0),"",ROUND(I132/J132*100,1))</f>
        <v/>
      </c>
      <c r="L132">
        <f>IF($A132="","",IFERROR(INDEX(Papers!$G$2:$G$12,MATCH($C132,Papers!$A$2:$A$12,0)),""))</f>
        <v/>
      </c>
      <c r="M132">
        <f>IF($A132="","",IFERROR(SUMPRODUCT((INDEX(SubMap!$B$2:$AE$12,MATCH($C132,SubMap!$A$2:$A$12,0),0)=3)*Attempts!$AR132:$BU132),0))</f>
        <v/>
      </c>
      <c r="N132">
        <f>IF($A132="","",IFERROR(COUNTIF(INDEX(SubMap!$B$2:$AE$12,MATCH($C132,SubMap!$A$2:$A$12,0),0),3),0))</f>
        <v/>
      </c>
      <c r="O132">
        <f>IF(OR($A132="",N132=0),"",ROUND(M132/N132*100,1))</f>
        <v/>
      </c>
      <c r="P132">
        <f>IF($A132="","",IFERROR(INDEX(Papers!$H$2:$H$12,MATCH($C132,Papers!$A$2:$A$12,0)),""))</f>
        <v/>
      </c>
      <c r="Q132">
        <f>IF($A132="","",IFERROR(SUMPRODUCT((INDEX(SubMap!$B$2:$AE$12,MATCH($C132,SubMap!$A$2:$A$12,0),0)=4)*Attempts!$AR132:$BU132),0))</f>
        <v/>
      </c>
      <c r="R132">
        <f>IF($A132="","",IFERROR(COUNTIF(INDEX(SubMap!$B$2:$AE$12,MATCH($C132,SubMap!$A$2:$A$12,0),0),4),0))</f>
        <v/>
      </c>
      <c r="S132">
        <f>IF(OR($A132="",R132=0),"",ROUND(Q132/R132*100,1))</f>
        <v/>
      </c>
      <c r="T132">
        <f>IF($A132="","",IFERROR(INDEX(Papers!$I$2:$I$12,MATCH($C132,Papers!$A$2:$A$12,0)),""))</f>
        <v/>
      </c>
      <c r="U132">
        <f>IF($A132="","",IFERROR(SUMPRODUCT((INDEX(SubMap!$B$2:$AE$12,MATCH($C132,SubMap!$A$2:$A$12,0),0)=5)*Attempts!$AR132:$BU132),0))</f>
        <v/>
      </c>
      <c r="V132">
        <f>IF($A132="","",IFERROR(COUNTIF(INDEX(SubMap!$B$2:$AE$12,MATCH($C132,SubMap!$A$2:$A$12,0),0),5),0))</f>
        <v/>
      </c>
      <c r="W132">
        <f>IF(OR($A132="",V132=0),"",ROUND(U132/V132*100,1))</f>
        <v/>
      </c>
      <c r="X132">
        <f>IF($A132="","",IFERROR(INDEX(Papers!$J$2:$J$12,MATCH($C132,Papers!$A$2:$A$12,0)),""))</f>
        <v/>
      </c>
      <c r="Y132">
        <f>IF($A132="","",IFERROR(SUMPRODUCT((INDEX(SubMap!$B$2:$AE$12,MATCH($C132,SubMap!$A$2:$A$12,0),0)=6)*Attempts!$AR132:$BU132),0))</f>
        <v/>
      </c>
      <c r="Z132">
        <f>IF($A132="","",IFERROR(COUNTIF(INDEX(SubMap!$B$2:$AE$12,MATCH($C132,SubMap!$A$2:$A$12,0),0),6),0))</f>
        <v/>
      </c>
      <c r="AA132">
        <f>IF(OR($A132="",Z132=0),"",ROUND(Y132/Z132*100,1))</f>
        <v/>
      </c>
      <c r="AB132">
        <f>IF($A132="","",IFERROR(INDEX(CHOOSE({1,2,3,4,5,6},D132,H132,L132,P132,T132,X132),MATCH(MIN(G132,K132,O132,S132,W132,AA132),CHOOSE({1,2,3,4,5,6},G132,K132,O132,S132,W132,AA132),0)),""))</f>
        <v/>
      </c>
      <c r="AC132">
        <f>IF($A132="","",IF(COUNT(G132,K132,O132,S132,W132,AA132)=0,"",MIN(G132,K132,O132,S132,W132,AA132)))</f>
        <v/>
      </c>
      <c r="AD132">
        <f>IF($A132="","",IFERROR(INDEX(CHOOSE({1,2,3,4,5,6},IFERROR(INDEX(Papers!$K$2:$K$12,MATCH($C132,Papers!$A$2:$A$12,0)),""),IFERROR(INDEX(Papers!$L$2:$L$12,MATCH($C132,Papers!$A$2:$A$12,0)),""),IFERROR(INDEX(Papers!$M$2:$M$12,MATCH($C132,Papers!$A$2:$A$12,0)),""),IFERROR(INDEX(Papers!$N$2:$N$12,MATCH($C132,Papers!$A$2:$A$12,0)),""),IFERROR(INDEX(Papers!$O$2:$O$12,MATCH($C132,Papers!$A$2:$A$12,0)),""),IFERROR(INDEX(Papers!$P$2:$P$12,MATCH($C132,Papers!$A$2:$A$12,0)),"")),MATCH(MIN(G132,K132,O132,S132,W132,AA132),CHOOSE({1,2,3,4,5,6},G132,K132,O132,S132,W132,AA132),0)),""))</f>
        <v/>
      </c>
      <c r="AE132">
        <f>IF(AC132="","",IF(AC132&lt;50,"Re-teach",IF(AC132&lt;75,"Practice more","Relatively secure")))</f>
        <v/>
      </c>
    </row>
    <row r="133">
      <c r="A133">
        <f>IF(Attempts!A133="","",Attempts!A133)</f>
        <v/>
      </c>
      <c r="B133">
        <f>IF(Attempts!A133="","",Attempts!B133)</f>
        <v/>
      </c>
      <c r="C133">
        <f>IF(Attempts!A133="","",Attempts!D133)</f>
        <v/>
      </c>
      <c r="D133">
        <f>IF($A133="","",IFERROR(INDEX(Papers!$E$2:$E$12,MATCH($C133,Papers!$A$2:$A$12,0)),""))</f>
        <v/>
      </c>
      <c r="E133">
        <f>IF($A133="","",IFERROR(SUMPRODUCT((INDEX(SubMap!$B$2:$AE$12,MATCH($C133,SubMap!$A$2:$A$12,0),0)=1)*Attempts!$AR133:$BU133),0))</f>
        <v/>
      </c>
      <c r="F133">
        <f>IF($A133="","",IFERROR(COUNTIF(INDEX(SubMap!$B$2:$AE$12,MATCH($C133,SubMap!$A$2:$A$12,0),0),1),0))</f>
        <v/>
      </c>
      <c r="G133">
        <f>IF(OR($A133="",F133=0),"",ROUND(E133/F133*100,1))</f>
        <v/>
      </c>
      <c r="H133">
        <f>IF($A133="","",IFERROR(INDEX(Papers!$F$2:$F$12,MATCH($C133,Papers!$A$2:$A$12,0)),""))</f>
        <v/>
      </c>
      <c r="I133">
        <f>IF($A133="","",IFERROR(SUMPRODUCT((INDEX(SubMap!$B$2:$AE$12,MATCH($C133,SubMap!$A$2:$A$12,0),0)=2)*Attempts!$AR133:$BU133),0))</f>
        <v/>
      </c>
      <c r="J133">
        <f>IF($A133="","",IFERROR(COUNTIF(INDEX(SubMap!$B$2:$AE$12,MATCH($C133,SubMap!$A$2:$A$12,0),0),2),0))</f>
        <v/>
      </c>
      <c r="K133">
        <f>IF(OR($A133="",J133=0),"",ROUND(I133/J133*100,1))</f>
        <v/>
      </c>
      <c r="L133">
        <f>IF($A133="","",IFERROR(INDEX(Papers!$G$2:$G$12,MATCH($C133,Papers!$A$2:$A$12,0)),""))</f>
        <v/>
      </c>
      <c r="M133">
        <f>IF($A133="","",IFERROR(SUMPRODUCT((INDEX(SubMap!$B$2:$AE$12,MATCH($C133,SubMap!$A$2:$A$12,0),0)=3)*Attempts!$AR133:$BU133),0))</f>
        <v/>
      </c>
      <c r="N133">
        <f>IF($A133="","",IFERROR(COUNTIF(INDEX(SubMap!$B$2:$AE$12,MATCH($C133,SubMap!$A$2:$A$12,0),0),3),0))</f>
        <v/>
      </c>
      <c r="O133">
        <f>IF(OR($A133="",N133=0),"",ROUND(M133/N133*100,1))</f>
        <v/>
      </c>
      <c r="P133">
        <f>IF($A133="","",IFERROR(INDEX(Papers!$H$2:$H$12,MATCH($C133,Papers!$A$2:$A$12,0)),""))</f>
        <v/>
      </c>
      <c r="Q133">
        <f>IF($A133="","",IFERROR(SUMPRODUCT((INDEX(SubMap!$B$2:$AE$12,MATCH($C133,SubMap!$A$2:$A$12,0),0)=4)*Attempts!$AR133:$BU133),0))</f>
        <v/>
      </c>
      <c r="R133">
        <f>IF($A133="","",IFERROR(COUNTIF(INDEX(SubMap!$B$2:$AE$12,MATCH($C133,SubMap!$A$2:$A$12,0),0),4),0))</f>
        <v/>
      </c>
      <c r="S133">
        <f>IF(OR($A133="",R133=0),"",ROUND(Q133/R133*100,1))</f>
        <v/>
      </c>
      <c r="T133">
        <f>IF($A133="","",IFERROR(INDEX(Papers!$I$2:$I$12,MATCH($C133,Papers!$A$2:$A$12,0)),""))</f>
        <v/>
      </c>
      <c r="U133">
        <f>IF($A133="","",IFERROR(SUMPRODUCT((INDEX(SubMap!$B$2:$AE$12,MATCH($C133,SubMap!$A$2:$A$12,0),0)=5)*Attempts!$AR133:$BU133),0))</f>
        <v/>
      </c>
      <c r="V133">
        <f>IF($A133="","",IFERROR(COUNTIF(INDEX(SubMap!$B$2:$AE$12,MATCH($C133,SubMap!$A$2:$A$12,0),0),5),0))</f>
        <v/>
      </c>
      <c r="W133">
        <f>IF(OR($A133="",V133=0),"",ROUND(U133/V133*100,1))</f>
        <v/>
      </c>
      <c r="X133">
        <f>IF($A133="","",IFERROR(INDEX(Papers!$J$2:$J$12,MATCH($C133,Papers!$A$2:$A$12,0)),""))</f>
        <v/>
      </c>
      <c r="Y133">
        <f>IF($A133="","",IFERROR(SUMPRODUCT((INDEX(SubMap!$B$2:$AE$12,MATCH($C133,SubMap!$A$2:$A$12,0),0)=6)*Attempts!$AR133:$BU133),0))</f>
        <v/>
      </c>
      <c r="Z133">
        <f>IF($A133="","",IFERROR(COUNTIF(INDEX(SubMap!$B$2:$AE$12,MATCH($C133,SubMap!$A$2:$A$12,0),0),6),0))</f>
        <v/>
      </c>
      <c r="AA133">
        <f>IF(OR($A133="",Z133=0),"",ROUND(Y133/Z133*100,1))</f>
        <v/>
      </c>
      <c r="AB133">
        <f>IF($A133="","",IFERROR(INDEX(CHOOSE({1,2,3,4,5,6},D133,H133,L133,P133,T133,X133),MATCH(MIN(G133,K133,O133,S133,W133,AA133),CHOOSE({1,2,3,4,5,6},G133,K133,O133,S133,W133,AA133),0)),""))</f>
        <v/>
      </c>
      <c r="AC133">
        <f>IF($A133="","",IF(COUNT(G133,K133,O133,S133,W133,AA133)=0,"",MIN(G133,K133,O133,S133,W133,AA133)))</f>
        <v/>
      </c>
      <c r="AD133">
        <f>IF($A133="","",IFERROR(INDEX(CHOOSE({1,2,3,4,5,6},IFERROR(INDEX(Papers!$K$2:$K$12,MATCH($C133,Papers!$A$2:$A$12,0)),""),IFERROR(INDEX(Papers!$L$2:$L$12,MATCH($C133,Papers!$A$2:$A$12,0)),""),IFERROR(INDEX(Papers!$M$2:$M$12,MATCH($C133,Papers!$A$2:$A$12,0)),""),IFERROR(INDEX(Papers!$N$2:$N$12,MATCH($C133,Papers!$A$2:$A$12,0)),""),IFERROR(INDEX(Papers!$O$2:$O$12,MATCH($C133,Papers!$A$2:$A$12,0)),""),IFERROR(INDEX(Papers!$P$2:$P$12,MATCH($C133,Papers!$A$2:$A$12,0)),"")),MATCH(MIN(G133,K133,O133,S133,W133,AA133),CHOOSE({1,2,3,4,5,6},G133,K133,O133,S133,W133,AA133),0)),""))</f>
        <v/>
      </c>
      <c r="AE133">
        <f>IF(AC133="","",IF(AC133&lt;50,"Re-teach",IF(AC133&lt;75,"Practice more","Relatively secure")))</f>
        <v/>
      </c>
    </row>
    <row r="134">
      <c r="A134">
        <f>IF(Attempts!A134="","",Attempts!A134)</f>
        <v/>
      </c>
      <c r="B134">
        <f>IF(Attempts!A134="","",Attempts!B134)</f>
        <v/>
      </c>
      <c r="C134">
        <f>IF(Attempts!A134="","",Attempts!D134)</f>
        <v/>
      </c>
      <c r="D134">
        <f>IF($A134="","",IFERROR(INDEX(Papers!$E$2:$E$12,MATCH($C134,Papers!$A$2:$A$12,0)),""))</f>
        <v/>
      </c>
      <c r="E134">
        <f>IF($A134="","",IFERROR(SUMPRODUCT((INDEX(SubMap!$B$2:$AE$12,MATCH($C134,SubMap!$A$2:$A$12,0),0)=1)*Attempts!$AR134:$BU134),0))</f>
        <v/>
      </c>
      <c r="F134">
        <f>IF($A134="","",IFERROR(COUNTIF(INDEX(SubMap!$B$2:$AE$12,MATCH($C134,SubMap!$A$2:$A$12,0),0),1),0))</f>
        <v/>
      </c>
      <c r="G134">
        <f>IF(OR($A134="",F134=0),"",ROUND(E134/F134*100,1))</f>
        <v/>
      </c>
      <c r="H134">
        <f>IF($A134="","",IFERROR(INDEX(Papers!$F$2:$F$12,MATCH($C134,Papers!$A$2:$A$12,0)),""))</f>
        <v/>
      </c>
      <c r="I134">
        <f>IF($A134="","",IFERROR(SUMPRODUCT((INDEX(SubMap!$B$2:$AE$12,MATCH($C134,SubMap!$A$2:$A$12,0),0)=2)*Attempts!$AR134:$BU134),0))</f>
        <v/>
      </c>
      <c r="J134">
        <f>IF($A134="","",IFERROR(COUNTIF(INDEX(SubMap!$B$2:$AE$12,MATCH($C134,SubMap!$A$2:$A$12,0),0),2),0))</f>
        <v/>
      </c>
      <c r="K134">
        <f>IF(OR($A134="",J134=0),"",ROUND(I134/J134*100,1))</f>
        <v/>
      </c>
      <c r="L134">
        <f>IF($A134="","",IFERROR(INDEX(Papers!$G$2:$G$12,MATCH($C134,Papers!$A$2:$A$12,0)),""))</f>
        <v/>
      </c>
      <c r="M134">
        <f>IF($A134="","",IFERROR(SUMPRODUCT((INDEX(SubMap!$B$2:$AE$12,MATCH($C134,SubMap!$A$2:$A$12,0),0)=3)*Attempts!$AR134:$BU134),0))</f>
        <v/>
      </c>
      <c r="N134">
        <f>IF($A134="","",IFERROR(COUNTIF(INDEX(SubMap!$B$2:$AE$12,MATCH($C134,SubMap!$A$2:$A$12,0),0),3),0))</f>
        <v/>
      </c>
      <c r="O134">
        <f>IF(OR($A134="",N134=0),"",ROUND(M134/N134*100,1))</f>
        <v/>
      </c>
      <c r="P134">
        <f>IF($A134="","",IFERROR(INDEX(Papers!$H$2:$H$12,MATCH($C134,Papers!$A$2:$A$12,0)),""))</f>
        <v/>
      </c>
      <c r="Q134">
        <f>IF($A134="","",IFERROR(SUMPRODUCT((INDEX(SubMap!$B$2:$AE$12,MATCH($C134,SubMap!$A$2:$A$12,0),0)=4)*Attempts!$AR134:$BU134),0))</f>
        <v/>
      </c>
      <c r="R134">
        <f>IF($A134="","",IFERROR(COUNTIF(INDEX(SubMap!$B$2:$AE$12,MATCH($C134,SubMap!$A$2:$A$12,0),0),4),0))</f>
        <v/>
      </c>
      <c r="S134">
        <f>IF(OR($A134="",R134=0),"",ROUND(Q134/R134*100,1))</f>
        <v/>
      </c>
      <c r="T134">
        <f>IF($A134="","",IFERROR(INDEX(Papers!$I$2:$I$12,MATCH($C134,Papers!$A$2:$A$12,0)),""))</f>
        <v/>
      </c>
      <c r="U134">
        <f>IF($A134="","",IFERROR(SUMPRODUCT((INDEX(SubMap!$B$2:$AE$12,MATCH($C134,SubMap!$A$2:$A$12,0),0)=5)*Attempts!$AR134:$BU134),0))</f>
        <v/>
      </c>
      <c r="V134">
        <f>IF($A134="","",IFERROR(COUNTIF(INDEX(SubMap!$B$2:$AE$12,MATCH($C134,SubMap!$A$2:$A$12,0),0),5),0))</f>
        <v/>
      </c>
      <c r="W134">
        <f>IF(OR($A134="",V134=0),"",ROUND(U134/V134*100,1))</f>
        <v/>
      </c>
      <c r="X134">
        <f>IF($A134="","",IFERROR(INDEX(Papers!$J$2:$J$12,MATCH($C134,Papers!$A$2:$A$12,0)),""))</f>
        <v/>
      </c>
      <c r="Y134">
        <f>IF($A134="","",IFERROR(SUMPRODUCT((INDEX(SubMap!$B$2:$AE$12,MATCH($C134,SubMap!$A$2:$A$12,0),0)=6)*Attempts!$AR134:$BU134),0))</f>
        <v/>
      </c>
      <c r="Z134">
        <f>IF($A134="","",IFERROR(COUNTIF(INDEX(SubMap!$B$2:$AE$12,MATCH($C134,SubMap!$A$2:$A$12,0),0),6),0))</f>
        <v/>
      </c>
      <c r="AA134">
        <f>IF(OR($A134="",Z134=0),"",ROUND(Y134/Z134*100,1))</f>
        <v/>
      </c>
      <c r="AB134">
        <f>IF($A134="","",IFERROR(INDEX(CHOOSE({1,2,3,4,5,6},D134,H134,L134,P134,T134,X134),MATCH(MIN(G134,K134,O134,S134,W134,AA134),CHOOSE({1,2,3,4,5,6},G134,K134,O134,S134,W134,AA134),0)),""))</f>
        <v/>
      </c>
      <c r="AC134">
        <f>IF($A134="","",IF(COUNT(G134,K134,O134,S134,W134,AA134)=0,"",MIN(G134,K134,O134,S134,W134,AA134)))</f>
        <v/>
      </c>
      <c r="AD134">
        <f>IF($A134="","",IFERROR(INDEX(CHOOSE({1,2,3,4,5,6},IFERROR(INDEX(Papers!$K$2:$K$12,MATCH($C134,Papers!$A$2:$A$12,0)),""),IFERROR(INDEX(Papers!$L$2:$L$12,MATCH($C134,Papers!$A$2:$A$12,0)),""),IFERROR(INDEX(Papers!$M$2:$M$12,MATCH($C134,Papers!$A$2:$A$12,0)),""),IFERROR(INDEX(Papers!$N$2:$N$12,MATCH($C134,Papers!$A$2:$A$12,0)),""),IFERROR(INDEX(Papers!$O$2:$O$12,MATCH($C134,Papers!$A$2:$A$12,0)),""),IFERROR(INDEX(Papers!$P$2:$P$12,MATCH($C134,Papers!$A$2:$A$12,0)),"")),MATCH(MIN(G134,K134,O134,S134,W134,AA134),CHOOSE({1,2,3,4,5,6},G134,K134,O134,S134,W134,AA134),0)),""))</f>
        <v/>
      </c>
      <c r="AE134">
        <f>IF(AC134="","",IF(AC134&lt;50,"Re-teach",IF(AC134&lt;75,"Practice more","Relatively secure")))</f>
        <v/>
      </c>
    </row>
    <row r="135">
      <c r="A135">
        <f>IF(Attempts!A135="","",Attempts!A135)</f>
        <v/>
      </c>
      <c r="B135">
        <f>IF(Attempts!A135="","",Attempts!B135)</f>
        <v/>
      </c>
      <c r="C135">
        <f>IF(Attempts!A135="","",Attempts!D135)</f>
        <v/>
      </c>
      <c r="D135">
        <f>IF($A135="","",IFERROR(INDEX(Papers!$E$2:$E$12,MATCH($C135,Papers!$A$2:$A$12,0)),""))</f>
        <v/>
      </c>
      <c r="E135">
        <f>IF($A135="","",IFERROR(SUMPRODUCT((INDEX(SubMap!$B$2:$AE$12,MATCH($C135,SubMap!$A$2:$A$12,0),0)=1)*Attempts!$AR135:$BU135),0))</f>
        <v/>
      </c>
      <c r="F135">
        <f>IF($A135="","",IFERROR(COUNTIF(INDEX(SubMap!$B$2:$AE$12,MATCH($C135,SubMap!$A$2:$A$12,0),0),1),0))</f>
        <v/>
      </c>
      <c r="G135">
        <f>IF(OR($A135="",F135=0),"",ROUND(E135/F135*100,1))</f>
        <v/>
      </c>
      <c r="H135">
        <f>IF($A135="","",IFERROR(INDEX(Papers!$F$2:$F$12,MATCH($C135,Papers!$A$2:$A$12,0)),""))</f>
        <v/>
      </c>
      <c r="I135">
        <f>IF($A135="","",IFERROR(SUMPRODUCT((INDEX(SubMap!$B$2:$AE$12,MATCH($C135,SubMap!$A$2:$A$12,0),0)=2)*Attempts!$AR135:$BU135),0))</f>
        <v/>
      </c>
      <c r="J135">
        <f>IF($A135="","",IFERROR(COUNTIF(INDEX(SubMap!$B$2:$AE$12,MATCH($C135,SubMap!$A$2:$A$12,0),0),2),0))</f>
        <v/>
      </c>
      <c r="K135">
        <f>IF(OR($A135="",J135=0),"",ROUND(I135/J135*100,1))</f>
        <v/>
      </c>
      <c r="L135">
        <f>IF($A135="","",IFERROR(INDEX(Papers!$G$2:$G$12,MATCH($C135,Papers!$A$2:$A$12,0)),""))</f>
        <v/>
      </c>
      <c r="M135">
        <f>IF($A135="","",IFERROR(SUMPRODUCT((INDEX(SubMap!$B$2:$AE$12,MATCH($C135,SubMap!$A$2:$A$12,0),0)=3)*Attempts!$AR135:$BU135),0))</f>
        <v/>
      </c>
      <c r="N135">
        <f>IF($A135="","",IFERROR(COUNTIF(INDEX(SubMap!$B$2:$AE$12,MATCH($C135,SubMap!$A$2:$A$12,0),0),3),0))</f>
        <v/>
      </c>
      <c r="O135">
        <f>IF(OR($A135="",N135=0),"",ROUND(M135/N135*100,1))</f>
        <v/>
      </c>
      <c r="P135">
        <f>IF($A135="","",IFERROR(INDEX(Papers!$H$2:$H$12,MATCH($C135,Papers!$A$2:$A$12,0)),""))</f>
        <v/>
      </c>
      <c r="Q135">
        <f>IF($A135="","",IFERROR(SUMPRODUCT((INDEX(SubMap!$B$2:$AE$12,MATCH($C135,SubMap!$A$2:$A$12,0),0)=4)*Attempts!$AR135:$BU135),0))</f>
        <v/>
      </c>
      <c r="R135">
        <f>IF($A135="","",IFERROR(COUNTIF(INDEX(SubMap!$B$2:$AE$12,MATCH($C135,SubMap!$A$2:$A$12,0),0),4),0))</f>
        <v/>
      </c>
      <c r="S135">
        <f>IF(OR($A135="",R135=0),"",ROUND(Q135/R135*100,1))</f>
        <v/>
      </c>
      <c r="T135">
        <f>IF($A135="","",IFERROR(INDEX(Papers!$I$2:$I$12,MATCH($C135,Papers!$A$2:$A$12,0)),""))</f>
        <v/>
      </c>
      <c r="U135">
        <f>IF($A135="","",IFERROR(SUMPRODUCT((INDEX(SubMap!$B$2:$AE$12,MATCH($C135,SubMap!$A$2:$A$12,0),0)=5)*Attempts!$AR135:$BU135),0))</f>
        <v/>
      </c>
      <c r="V135">
        <f>IF($A135="","",IFERROR(COUNTIF(INDEX(SubMap!$B$2:$AE$12,MATCH($C135,SubMap!$A$2:$A$12,0),0),5),0))</f>
        <v/>
      </c>
      <c r="W135">
        <f>IF(OR($A135="",V135=0),"",ROUND(U135/V135*100,1))</f>
        <v/>
      </c>
      <c r="X135">
        <f>IF($A135="","",IFERROR(INDEX(Papers!$J$2:$J$12,MATCH($C135,Papers!$A$2:$A$12,0)),""))</f>
        <v/>
      </c>
      <c r="Y135">
        <f>IF($A135="","",IFERROR(SUMPRODUCT((INDEX(SubMap!$B$2:$AE$12,MATCH($C135,SubMap!$A$2:$A$12,0),0)=6)*Attempts!$AR135:$BU135),0))</f>
        <v/>
      </c>
      <c r="Z135">
        <f>IF($A135="","",IFERROR(COUNTIF(INDEX(SubMap!$B$2:$AE$12,MATCH($C135,SubMap!$A$2:$A$12,0),0),6),0))</f>
        <v/>
      </c>
      <c r="AA135">
        <f>IF(OR($A135="",Z135=0),"",ROUND(Y135/Z135*100,1))</f>
        <v/>
      </c>
      <c r="AB135">
        <f>IF($A135="","",IFERROR(INDEX(CHOOSE({1,2,3,4,5,6},D135,H135,L135,P135,T135,X135),MATCH(MIN(G135,K135,O135,S135,W135,AA135),CHOOSE({1,2,3,4,5,6},G135,K135,O135,S135,W135,AA135),0)),""))</f>
        <v/>
      </c>
      <c r="AC135">
        <f>IF($A135="","",IF(COUNT(G135,K135,O135,S135,W135,AA135)=0,"",MIN(G135,K135,O135,S135,W135,AA135)))</f>
        <v/>
      </c>
      <c r="AD135">
        <f>IF($A135="","",IFERROR(INDEX(CHOOSE({1,2,3,4,5,6},IFERROR(INDEX(Papers!$K$2:$K$12,MATCH($C135,Papers!$A$2:$A$12,0)),""),IFERROR(INDEX(Papers!$L$2:$L$12,MATCH($C135,Papers!$A$2:$A$12,0)),""),IFERROR(INDEX(Papers!$M$2:$M$12,MATCH($C135,Papers!$A$2:$A$12,0)),""),IFERROR(INDEX(Papers!$N$2:$N$12,MATCH($C135,Papers!$A$2:$A$12,0)),""),IFERROR(INDEX(Papers!$O$2:$O$12,MATCH($C135,Papers!$A$2:$A$12,0)),""),IFERROR(INDEX(Papers!$P$2:$P$12,MATCH($C135,Papers!$A$2:$A$12,0)),"")),MATCH(MIN(G135,K135,O135,S135,W135,AA135),CHOOSE({1,2,3,4,5,6},G135,K135,O135,S135,W135,AA135),0)),""))</f>
        <v/>
      </c>
      <c r="AE135">
        <f>IF(AC135="","",IF(AC135&lt;50,"Re-teach",IF(AC135&lt;75,"Practice more","Relatively secure")))</f>
        <v/>
      </c>
    </row>
    <row r="136">
      <c r="A136">
        <f>IF(Attempts!A136="","",Attempts!A136)</f>
        <v/>
      </c>
      <c r="B136">
        <f>IF(Attempts!A136="","",Attempts!B136)</f>
        <v/>
      </c>
      <c r="C136">
        <f>IF(Attempts!A136="","",Attempts!D136)</f>
        <v/>
      </c>
      <c r="D136">
        <f>IF($A136="","",IFERROR(INDEX(Papers!$E$2:$E$12,MATCH($C136,Papers!$A$2:$A$12,0)),""))</f>
        <v/>
      </c>
      <c r="E136">
        <f>IF($A136="","",IFERROR(SUMPRODUCT((INDEX(SubMap!$B$2:$AE$12,MATCH($C136,SubMap!$A$2:$A$12,0),0)=1)*Attempts!$AR136:$BU136),0))</f>
        <v/>
      </c>
      <c r="F136">
        <f>IF($A136="","",IFERROR(COUNTIF(INDEX(SubMap!$B$2:$AE$12,MATCH($C136,SubMap!$A$2:$A$12,0),0),1),0))</f>
        <v/>
      </c>
      <c r="G136">
        <f>IF(OR($A136="",F136=0),"",ROUND(E136/F136*100,1))</f>
        <v/>
      </c>
      <c r="H136">
        <f>IF($A136="","",IFERROR(INDEX(Papers!$F$2:$F$12,MATCH($C136,Papers!$A$2:$A$12,0)),""))</f>
        <v/>
      </c>
      <c r="I136">
        <f>IF($A136="","",IFERROR(SUMPRODUCT((INDEX(SubMap!$B$2:$AE$12,MATCH($C136,SubMap!$A$2:$A$12,0),0)=2)*Attempts!$AR136:$BU136),0))</f>
        <v/>
      </c>
      <c r="J136">
        <f>IF($A136="","",IFERROR(COUNTIF(INDEX(SubMap!$B$2:$AE$12,MATCH($C136,SubMap!$A$2:$A$12,0),0),2),0))</f>
        <v/>
      </c>
      <c r="K136">
        <f>IF(OR($A136="",J136=0),"",ROUND(I136/J136*100,1))</f>
        <v/>
      </c>
      <c r="L136">
        <f>IF($A136="","",IFERROR(INDEX(Papers!$G$2:$G$12,MATCH($C136,Papers!$A$2:$A$12,0)),""))</f>
        <v/>
      </c>
      <c r="M136">
        <f>IF($A136="","",IFERROR(SUMPRODUCT((INDEX(SubMap!$B$2:$AE$12,MATCH($C136,SubMap!$A$2:$A$12,0),0)=3)*Attempts!$AR136:$BU136),0))</f>
        <v/>
      </c>
      <c r="N136">
        <f>IF($A136="","",IFERROR(COUNTIF(INDEX(SubMap!$B$2:$AE$12,MATCH($C136,SubMap!$A$2:$A$12,0),0),3),0))</f>
        <v/>
      </c>
      <c r="O136">
        <f>IF(OR($A136="",N136=0),"",ROUND(M136/N136*100,1))</f>
        <v/>
      </c>
      <c r="P136">
        <f>IF($A136="","",IFERROR(INDEX(Papers!$H$2:$H$12,MATCH($C136,Papers!$A$2:$A$12,0)),""))</f>
        <v/>
      </c>
      <c r="Q136">
        <f>IF($A136="","",IFERROR(SUMPRODUCT((INDEX(SubMap!$B$2:$AE$12,MATCH($C136,SubMap!$A$2:$A$12,0),0)=4)*Attempts!$AR136:$BU136),0))</f>
        <v/>
      </c>
      <c r="R136">
        <f>IF($A136="","",IFERROR(COUNTIF(INDEX(SubMap!$B$2:$AE$12,MATCH($C136,SubMap!$A$2:$A$12,0),0),4),0))</f>
        <v/>
      </c>
      <c r="S136">
        <f>IF(OR($A136="",R136=0),"",ROUND(Q136/R136*100,1))</f>
        <v/>
      </c>
      <c r="T136">
        <f>IF($A136="","",IFERROR(INDEX(Papers!$I$2:$I$12,MATCH($C136,Papers!$A$2:$A$12,0)),""))</f>
        <v/>
      </c>
      <c r="U136">
        <f>IF($A136="","",IFERROR(SUMPRODUCT((INDEX(SubMap!$B$2:$AE$12,MATCH($C136,SubMap!$A$2:$A$12,0),0)=5)*Attempts!$AR136:$BU136),0))</f>
        <v/>
      </c>
      <c r="V136">
        <f>IF($A136="","",IFERROR(COUNTIF(INDEX(SubMap!$B$2:$AE$12,MATCH($C136,SubMap!$A$2:$A$12,0),0),5),0))</f>
        <v/>
      </c>
      <c r="W136">
        <f>IF(OR($A136="",V136=0),"",ROUND(U136/V136*100,1))</f>
        <v/>
      </c>
      <c r="X136">
        <f>IF($A136="","",IFERROR(INDEX(Papers!$J$2:$J$12,MATCH($C136,Papers!$A$2:$A$12,0)),""))</f>
        <v/>
      </c>
      <c r="Y136">
        <f>IF($A136="","",IFERROR(SUMPRODUCT((INDEX(SubMap!$B$2:$AE$12,MATCH($C136,SubMap!$A$2:$A$12,0),0)=6)*Attempts!$AR136:$BU136),0))</f>
        <v/>
      </c>
      <c r="Z136">
        <f>IF($A136="","",IFERROR(COUNTIF(INDEX(SubMap!$B$2:$AE$12,MATCH($C136,SubMap!$A$2:$A$12,0),0),6),0))</f>
        <v/>
      </c>
      <c r="AA136">
        <f>IF(OR($A136="",Z136=0),"",ROUND(Y136/Z136*100,1))</f>
        <v/>
      </c>
      <c r="AB136">
        <f>IF($A136="","",IFERROR(INDEX(CHOOSE({1,2,3,4,5,6},D136,H136,L136,P136,T136,X136),MATCH(MIN(G136,K136,O136,S136,W136,AA136),CHOOSE({1,2,3,4,5,6},G136,K136,O136,S136,W136,AA136),0)),""))</f>
        <v/>
      </c>
      <c r="AC136">
        <f>IF($A136="","",IF(COUNT(G136,K136,O136,S136,W136,AA136)=0,"",MIN(G136,K136,O136,S136,W136,AA136)))</f>
        <v/>
      </c>
      <c r="AD136">
        <f>IF($A136="","",IFERROR(INDEX(CHOOSE({1,2,3,4,5,6},IFERROR(INDEX(Papers!$K$2:$K$12,MATCH($C136,Papers!$A$2:$A$12,0)),""),IFERROR(INDEX(Papers!$L$2:$L$12,MATCH($C136,Papers!$A$2:$A$12,0)),""),IFERROR(INDEX(Papers!$M$2:$M$12,MATCH($C136,Papers!$A$2:$A$12,0)),""),IFERROR(INDEX(Papers!$N$2:$N$12,MATCH($C136,Papers!$A$2:$A$12,0)),""),IFERROR(INDEX(Papers!$O$2:$O$12,MATCH($C136,Papers!$A$2:$A$12,0)),""),IFERROR(INDEX(Papers!$P$2:$P$12,MATCH($C136,Papers!$A$2:$A$12,0)),"")),MATCH(MIN(G136,K136,O136,S136,W136,AA136),CHOOSE({1,2,3,4,5,6},G136,K136,O136,S136,W136,AA136),0)),""))</f>
        <v/>
      </c>
      <c r="AE136">
        <f>IF(AC136="","",IF(AC136&lt;50,"Re-teach",IF(AC136&lt;75,"Practice more","Relatively secure")))</f>
        <v/>
      </c>
    </row>
    <row r="137">
      <c r="A137">
        <f>IF(Attempts!A137="","",Attempts!A137)</f>
        <v/>
      </c>
      <c r="B137">
        <f>IF(Attempts!A137="","",Attempts!B137)</f>
        <v/>
      </c>
      <c r="C137">
        <f>IF(Attempts!A137="","",Attempts!D137)</f>
        <v/>
      </c>
      <c r="D137">
        <f>IF($A137="","",IFERROR(INDEX(Papers!$E$2:$E$12,MATCH($C137,Papers!$A$2:$A$12,0)),""))</f>
        <v/>
      </c>
      <c r="E137">
        <f>IF($A137="","",IFERROR(SUMPRODUCT((INDEX(SubMap!$B$2:$AE$12,MATCH($C137,SubMap!$A$2:$A$12,0),0)=1)*Attempts!$AR137:$BU137),0))</f>
        <v/>
      </c>
      <c r="F137">
        <f>IF($A137="","",IFERROR(COUNTIF(INDEX(SubMap!$B$2:$AE$12,MATCH($C137,SubMap!$A$2:$A$12,0),0),1),0))</f>
        <v/>
      </c>
      <c r="G137">
        <f>IF(OR($A137="",F137=0),"",ROUND(E137/F137*100,1))</f>
        <v/>
      </c>
      <c r="H137">
        <f>IF($A137="","",IFERROR(INDEX(Papers!$F$2:$F$12,MATCH($C137,Papers!$A$2:$A$12,0)),""))</f>
        <v/>
      </c>
      <c r="I137">
        <f>IF($A137="","",IFERROR(SUMPRODUCT((INDEX(SubMap!$B$2:$AE$12,MATCH($C137,SubMap!$A$2:$A$12,0),0)=2)*Attempts!$AR137:$BU137),0))</f>
        <v/>
      </c>
      <c r="J137">
        <f>IF($A137="","",IFERROR(COUNTIF(INDEX(SubMap!$B$2:$AE$12,MATCH($C137,SubMap!$A$2:$A$12,0),0),2),0))</f>
        <v/>
      </c>
      <c r="K137">
        <f>IF(OR($A137="",J137=0),"",ROUND(I137/J137*100,1))</f>
        <v/>
      </c>
      <c r="L137">
        <f>IF($A137="","",IFERROR(INDEX(Papers!$G$2:$G$12,MATCH($C137,Papers!$A$2:$A$12,0)),""))</f>
        <v/>
      </c>
      <c r="M137">
        <f>IF($A137="","",IFERROR(SUMPRODUCT((INDEX(SubMap!$B$2:$AE$12,MATCH($C137,SubMap!$A$2:$A$12,0),0)=3)*Attempts!$AR137:$BU137),0))</f>
        <v/>
      </c>
      <c r="N137">
        <f>IF($A137="","",IFERROR(COUNTIF(INDEX(SubMap!$B$2:$AE$12,MATCH($C137,SubMap!$A$2:$A$12,0),0),3),0))</f>
        <v/>
      </c>
      <c r="O137">
        <f>IF(OR($A137="",N137=0),"",ROUND(M137/N137*100,1))</f>
        <v/>
      </c>
      <c r="P137">
        <f>IF($A137="","",IFERROR(INDEX(Papers!$H$2:$H$12,MATCH($C137,Papers!$A$2:$A$12,0)),""))</f>
        <v/>
      </c>
      <c r="Q137">
        <f>IF($A137="","",IFERROR(SUMPRODUCT((INDEX(SubMap!$B$2:$AE$12,MATCH($C137,SubMap!$A$2:$A$12,0),0)=4)*Attempts!$AR137:$BU137),0))</f>
        <v/>
      </c>
      <c r="R137">
        <f>IF($A137="","",IFERROR(COUNTIF(INDEX(SubMap!$B$2:$AE$12,MATCH($C137,SubMap!$A$2:$A$12,0),0),4),0))</f>
        <v/>
      </c>
      <c r="S137">
        <f>IF(OR($A137="",R137=0),"",ROUND(Q137/R137*100,1))</f>
        <v/>
      </c>
      <c r="T137">
        <f>IF($A137="","",IFERROR(INDEX(Papers!$I$2:$I$12,MATCH($C137,Papers!$A$2:$A$12,0)),""))</f>
        <v/>
      </c>
      <c r="U137">
        <f>IF($A137="","",IFERROR(SUMPRODUCT((INDEX(SubMap!$B$2:$AE$12,MATCH($C137,SubMap!$A$2:$A$12,0),0)=5)*Attempts!$AR137:$BU137),0))</f>
        <v/>
      </c>
      <c r="V137">
        <f>IF($A137="","",IFERROR(COUNTIF(INDEX(SubMap!$B$2:$AE$12,MATCH($C137,SubMap!$A$2:$A$12,0),0),5),0))</f>
        <v/>
      </c>
      <c r="W137">
        <f>IF(OR($A137="",V137=0),"",ROUND(U137/V137*100,1))</f>
        <v/>
      </c>
      <c r="X137">
        <f>IF($A137="","",IFERROR(INDEX(Papers!$J$2:$J$12,MATCH($C137,Papers!$A$2:$A$12,0)),""))</f>
        <v/>
      </c>
      <c r="Y137">
        <f>IF($A137="","",IFERROR(SUMPRODUCT((INDEX(SubMap!$B$2:$AE$12,MATCH($C137,SubMap!$A$2:$A$12,0),0)=6)*Attempts!$AR137:$BU137),0))</f>
        <v/>
      </c>
      <c r="Z137">
        <f>IF($A137="","",IFERROR(COUNTIF(INDEX(SubMap!$B$2:$AE$12,MATCH($C137,SubMap!$A$2:$A$12,0),0),6),0))</f>
        <v/>
      </c>
      <c r="AA137">
        <f>IF(OR($A137="",Z137=0),"",ROUND(Y137/Z137*100,1))</f>
        <v/>
      </c>
      <c r="AB137">
        <f>IF($A137="","",IFERROR(INDEX(CHOOSE({1,2,3,4,5,6},D137,H137,L137,P137,T137,X137),MATCH(MIN(G137,K137,O137,S137,W137,AA137),CHOOSE({1,2,3,4,5,6},G137,K137,O137,S137,W137,AA137),0)),""))</f>
        <v/>
      </c>
      <c r="AC137">
        <f>IF($A137="","",IF(COUNT(G137,K137,O137,S137,W137,AA137)=0,"",MIN(G137,K137,O137,S137,W137,AA137)))</f>
        <v/>
      </c>
      <c r="AD137">
        <f>IF($A137="","",IFERROR(INDEX(CHOOSE({1,2,3,4,5,6},IFERROR(INDEX(Papers!$K$2:$K$12,MATCH($C137,Papers!$A$2:$A$12,0)),""),IFERROR(INDEX(Papers!$L$2:$L$12,MATCH($C137,Papers!$A$2:$A$12,0)),""),IFERROR(INDEX(Papers!$M$2:$M$12,MATCH($C137,Papers!$A$2:$A$12,0)),""),IFERROR(INDEX(Papers!$N$2:$N$12,MATCH($C137,Papers!$A$2:$A$12,0)),""),IFERROR(INDEX(Papers!$O$2:$O$12,MATCH($C137,Papers!$A$2:$A$12,0)),""),IFERROR(INDEX(Papers!$P$2:$P$12,MATCH($C137,Papers!$A$2:$A$12,0)),"")),MATCH(MIN(G137,K137,O137,S137,W137,AA137),CHOOSE({1,2,3,4,5,6},G137,K137,O137,S137,W137,AA137),0)),""))</f>
        <v/>
      </c>
      <c r="AE137">
        <f>IF(AC137="","",IF(AC137&lt;50,"Re-teach",IF(AC137&lt;75,"Practice more","Relatively secure")))</f>
        <v/>
      </c>
    </row>
    <row r="138">
      <c r="A138">
        <f>IF(Attempts!A138="","",Attempts!A138)</f>
        <v/>
      </c>
      <c r="B138">
        <f>IF(Attempts!A138="","",Attempts!B138)</f>
        <v/>
      </c>
      <c r="C138">
        <f>IF(Attempts!A138="","",Attempts!D138)</f>
        <v/>
      </c>
      <c r="D138">
        <f>IF($A138="","",IFERROR(INDEX(Papers!$E$2:$E$12,MATCH($C138,Papers!$A$2:$A$12,0)),""))</f>
        <v/>
      </c>
      <c r="E138">
        <f>IF($A138="","",IFERROR(SUMPRODUCT((INDEX(SubMap!$B$2:$AE$12,MATCH($C138,SubMap!$A$2:$A$12,0),0)=1)*Attempts!$AR138:$BU138),0))</f>
        <v/>
      </c>
      <c r="F138">
        <f>IF($A138="","",IFERROR(COUNTIF(INDEX(SubMap!$B$2:$AE$12,MATCH($C138,SubMap!$A$2:$A$12,0),0),1),0))</f>
        <v/>
      </c>
      <c r="G138">
        <f>IF(OR($A138="",F138=0),"",ROUND(E138/F138*100,1))</f>
        <v/>
      </c>
      <c r="H138">
        <f>IF($A138="","",IFERROR(INDEX(Papers!$F$2:$F$12,MATCH($C138,Papers!$A$2:$A$12,0)),""))</f>
        <v/>
      </c>
      <c r="I138">
        <f>IF($A138="","",IFERROR(SUMPRODUCT((INDEX(SubMap!$B$2:$AE$12,MATCH($C138,SubMap!$A$2:$A$12,0),0)=2)*Attempts!$AR138:$BU138),0))</f>
        <v/>
      </c>
      <c r="J138">
        <f>IF($A138="","",IFERROR(COUNTIF(INDEX(SubMap!$B$2:$AE$12,MATCH($C138,SubMap!$A$2:$A$12,0),0),2),0))</f>
        <v/>
      </c>
      <c r="K138">
        <f>IF(OR($A138="",J138=0),"",ROUND(I138/J138*100,1))</f>
        <v/>
      </c>
      <c r="L138">
        <f>IF($A138="","",IFERROR(INDEX(Papers!$G$2:$G$12,MATCH($C138,Papers!$A$2:$A$12,0)),""))</f>
        <v/>
      </c>
      <c r="M138">
        <f>IF($A138="","",IFERROR(SUMPRODUCT((INDEX(SubMap!$B$2:$AE$12,MATCH($C138,SubMap!$A$2:$A$12,0),0)=3)*Attempts!$AR138:$BU138),0))</f>
        <v/>
      </c>
      <c r="N138">
        <f>IF($A138="","",IFERROR(COUNTIF(INDEX(SubMap!$B$2:$AE$12,MATCH($C138,SubMap!$A$2:$A$12,0),0),3),0))</f>
        <v/>
      </c>
      <c r="O138">
        <f>IF(OR($A138="",N138=0),"",ROUND(M138/N138*100,1))</f>
        <v/>
      </c>
      <c r="P138">
        <f>IF($A138="","",IFERROR(INDEX(Papers!$H$2:$H$12,MATCH($C138,Papers!$A$2:$A$12,0)),""))</f>
        <v/>
      </c>
      <c r="Q138">
        <f>IF($A138="","",IFERROR(SUMPRODUCT((INDEX(SubMap!$B$2:$AE$12,MATCH($C138,SubMap!$A$2:$A$12,0),0)=4)*Attempts!$AR138:$BU138),0))</f>
        <v/>
      </c>
      <c r="R138">
        <f>IF($A138="","",IFERROR(COUNTIF(INDEX(SubMap!$B$2:$AE$12,MATCH($C138,SubMap!$A$2:$A$12,0),0),4),0))</f>
        <v/>
      </c>
      <c r="S138">
        <f>IF(OR($A138="",R138=0),"",ROUND(Q138/R138*100,1))</f>
        <v/>
      </c>
      <c r="T138">
        <f>IF($A138="","",IFERROR(INDEX(Papers!$I$2:$I$12,MATCH($C138,Papers!$A$2:$A$12,0)),""))</f>
        <v/>
      </c>
      <c r="U138">
        <f>IF($A138="","",IFERROR(SUMPRODUCT((INDEX(SubMap!$B$2:$AE$12,MATCH($C138,SubMap!$A$2:$A$12,0),0)=5)*Attempts!$AR138:$BU138),0))</f>
        <v/>
      </c>
      <c r="V138">
        <f>IF($A138="","",IFERROR(COUNTIF(INDEX(SubMap!$B$2:$AE$12,MATCH($C138,SubMap!$A$2:$A$12,0),0),5),0))</f>
        <v/>
      </c>
      <c r="W138">
        <f>IF(OR($A138="",V138=0),"",ROUND(U138/V138*100,1))</f>
        <v/>
      </c>
      <c r="X138">
        <f>IF($A138="","",IFERROR(INDEX(Papers!$J$2:$J$12,MATCH($C138,Papers!$A$2:$A$12,0)),""))</f>
        <v/>
      </c>
      <c r="Y138">
        <f>IF($A138="","",IFERROR(SUMPRODUCT((INDEX(SubMap!$B$2:$AE$12,MATCH($C138,SubMap!$A$2:$A$12,0),0)=6)*Attempts!$AR138:$BU138),0))</f>
        <v/>
      </c>
      <c r="Z138">
        <f>IF($A138="","",IFERROR(COUNTIF(INDEX(SubMap!$B$2:$AE$12,MATCH($C138,SubMap!$A$2:$A$12,0),0),6),0))</f>
        <v/>
      </c>
      <c r="AA138">
        <f>IF(OR($A138="",Z138=0),"",ROUND(Y138/Z138*100,1))</f>
        <v/>
      </c>
      <c r="AB138">
        <f>IF($A138="","",IFERROR(INDEX(CHOOSE({1,2,3,4,5,6},D138,H138,L138,P138,T138,X138),MATCH(MIN(G138,K138,O138,S138,W138,AA138),CHOOSE({1,2,3,4,5,6},G138,K138,O138,S138,W138,AA138),0)),""))</f>
        <v/>
      </c>
      <c r="AC138">
        <f>IF($A138="","",IF(COUNT(G138,K138,O138,S138,W138,AA138)=0,"",MIN(G138,K138,O138,S138,W138,AA138)))</f>
        <v/>
      </c>
      <c r="AD138">
        <f>IF($A138="","",IFERROR(INDEX(CHOOSE({1,2,3,4,5,6},IFERROR(INDEX(Papers!$K$2:$K$12,MATCH($C138,Papers!$A$2:$A$12,0)),""),IFERROR(INDEX(Papers!$L$2:$L$12,MATCH($C138,Papers!$A$2:$A$12,0)),""),IFERROR(INDEX(Papers!$M$2:$M$12,MATCH($C138,Papers!$A$2:$A$12,0)),""),IFERROR(INDEX(Papers!$N$2:$N$12,MATCH($C138,Papers!$A$2:$A$12,0)),""),IFERROR(INDEX(Papers!$O$2:$O$12,MATCH($C138,Papers!$A$2:$A$12,0)),""),IFERROR(INDEX(Papers!$P$2:$P$12,MATCH($C138,Papers!$A$2:$A$12,0)),"")),MATCH(MIN(G138,K138,O138,S138,W138,AA138),CHOOSE({1,2,3,4,5,6},G138,K138,O138,S138,W138,AA138),0)),""))</f>
        <v/>
      </c>
      <c r="AE138">
        <f>IF(AC138="","",IF(AC138&lt;50,"Re-teach",IF(AC138&lt;75,"Practice more","Relatively secure")))</f>
        <v/>
      </c>
    </row>
    <row r="139">
      <c r="A139">
        <f>IF(Attempts!A139="","",Attempts!A139)</f>
        <v/>
      </c>
      <c r="B139">
        <f>IF(Attempts!A139="","",Attempts!B139)</f>
        <v/>
      </c>
      <c r="C139">
        <f>IF(Attempts!A139="","",Attempts!D139)</f>
        <v/>
      </c>
      <c r="D139">
        <f>IF($A139="","",IFERROR(INDEX(Papers!$E$2:$E$12,MATCH($C139,Papers!$A$2:$A$12,0)),""))</f>
        <v/>
      </c>
      <c r="E139">
        <f>IF($A139="","",IFERROR(SUMPRODUCT((INDEX(SubMap!$B$2:$AE$12,MATCH($C139,SubMap!$A$2:$A$12,0),0)=1)*Attempts!$AR139:$BU139),0))</f>
        <v/>
      </c>
      <c r="F139">
        <f>IF($A139="","",IFERROR(COUNTIF(INDEX(SubMap!$B$2:$AE$12,MATCH($C139,SubMap!$A$2:$A$12,0),0),1),0))</f>
        <v/>
      </c>
      <c r="G139">
        <f>IF(OR($A139="",F139=0),"",ROUND(E139/F139*100,1))</f>
        <v/>
      </c>
      <c r="H139">
        <f>IF($A139="","",IFERROR(INDEX(Papers!$F$2:$F$12,MATCH($C139,Papers!$A$2:$A$12,0)),""))</f>
        <v/>
      </c>
      <c r="I139">
        <f>IF($A139="","",IFERROR(SUMPRODUCT((INDEX(SubMap!$B$2:$AE$12,MATCH($C139,SubMap!$A$2:$A$12,0),0)=2)*Attempts!$AR139:$BU139),0))</f>
        <v/>
      </c>
      <c r="J139">
        <f>IF($A139="","",IFERROR(COUNTIF(INDEX(SubMap!$B$2:$AE$12,MATCH($C139,SubMap!$A$2:$A$12,0),0),2),0))</f>
        <v/>
      </c>
      <c r="K139">
        <f>IF(OR($A139="",J139=0),"",ROUND(I139/J139*100,1))</f>
        <v/>
      </c>
      <c r="L139">
        <f>IF($A139="","",IFERROR(INDEX(Papers!$G$2:$G$12,MATCH($C139,Papers!$A$2:$A$12,0)),""))</f>
        <v/>
      </c>
      <c r="M139">
        <f>IF($A139="","",IFERROR(SUMPRODUCT((INDEX(SubMap!$B$2:$AE$12,MATCH($C139,SubMap!$A$2:$A$12,0),0)=3)*Attempts!$AR139:$BU139),0))</f>
        <v/>
      </c>
      <c r="N139">
        <f>IF($A139="","",IFERROR(COUNTIF(INDEX(SubMap!$B$2:$AE$12,MATCH($C139,SubMap!$A$2:$A$12,0),0),3),0))</f>
        <v/>
      </c>
      <c r="O139">
        <f>IF(OR($A139="",N139=0),"",ROUND(M139/N139*100,1))</f>
        <v/>
      </c>
      <c r="P139">
        <f>IF($A139="","",IFERROR(INDEX(Papers!$H$2:$H$12,MATCH($C139,Papers!$A$2:$A$12,0)),""))</f>
        <v/>
      </c>
      <c r="Q139">
        <f>IF($A139="","",IFERROR(SUMPRODUCT((INDEX(SubMap!$B$2:$AE$12,MATCH($C139,SubMap!$A$2:$A$12,0),0)=4)*Attempts!$AR139:$BU139),0))</f>
        <v/>
      </c>
      <c r="R139">
        <f>IF($A139="","",IFERROR(COUNTIF(INDEX(SubMap!$B$2:$AE$12,MATCH($C139,SubMap!$A$2:$A$12,0),0),4),0))</f>
        <v/>
      </c>
      <c r="S139">
        <f>IF(OR($A139="",R139=0),"",ROUND(Q139/R139*100,1))</f>
        <v/>
      </c>
      <c r="T139">
        <f>IF($A139="","",IFERROR(INDEX(Papers!$I$2:$I$12,MATCH($C139,Papers!$A$2:$A$12,0)),""))</f>
        <v/>
      </c>
      <c r="U139">
        <f>IF($A139="","",IFERROR(SUMPRODUCT((INDEX(SubMap!$B$2:$AE$12,MATCH($C139,SubMap!$A$2:$A$12,0),0)=5)*Attempts!$AR139:$BU139),0))</f>
        <v/>
      </c>
      <c r="V139">
        <f>IF($A139="","",IFERROR(COUNTIF(INDEX(SubMap!$B$2:$AE$12,MATCH($C139,SubMap!$A$2:$A$12,0),0),5),0))</f>
        <v/>
      </c>
      <c r="W139">
        <f>IF(OR($A139="",V139=0),"",ROUND(U139/V139*100,1))</f>
        <v/>
      </c>
      <c r="X139">
        <f>IF($A139="","",IFERROR(INDEX(Papers!$J$2:$J$12,MATCH($C139,Papers!$A$2:$A$12,0)),""))</f>
        <v/>
      </c>
      <c r="Y139">
        <f>IF($A139="","",IFERROR(SUMPRODUCT((INDEX(SubMap!$B$2:$AE$12,MATCH($C139,SubMap!$A$2:$A$12,0),0)=6)*Attempts!$AR139:$BU139),0))</f>
        <v/>
      </c>
      <c r="Z139">
        <f>IF($A139="","",IFERROR(COUNTIF(INDEX(SubMap!$B$2:$AE$12,MATCH($C139,SubMap!$A$2:$A$12,0),0),6),0))</f>
        <v/>
      </c>
      <c r="AA139">
        <f>IF(OR($A139="",Z139=0),"",ROUND(Y139/Z139*100,1))</f>
        <v/>
      </c>
      <c r="AB139">
        <f>IF($A139="","",IFERROR(INDEX(CHOOSE({1,2,3,4,5,6},D139,H139,L139,P139,T139,X139),MATCH(MIN(G139,K139,O139,S139,W139,AA139),CHOOSE({1,2,3,4,5,6},G139,K139,O139,S139,W139,AA139),0)),""))</f>
        <v/>
      </c>
      <c r="AC139">
        <f>IF($A139="","",IF(COUNT(G139,K139,O139,S139,W139,AA139)=0,"",MIN(G139,K139,O139,S139,W139,AA139)))</f>
        <v/>
      </c>
      <c r="AD139">
        <f>IF($A139="","",IFERROR(INDEX(CHOOSE({1,2,3,4,5,6},IFERROR(INDEX(Papers!$K$2:$K$12,MATCH($C139,Papers!$A$2:$A$12,0)),""),IFERROR(INDEX(Papers!$L$2:$L$12,MATCH($C139,Papers!$A$2:$A$12,0)),""),IFERROR(INDEX(Papers!$M$2:$M$12,MATCH($C139,Papers!$A$2:$A$12,0)),""),IFERROR(INDEX(Papers!$N$2:$N$12,MATCH($C139,Papers!$A$2:$A$12,0)),""),IFERROR(INDEX(Papers!$O$2:$O$12,MATCH($C139,Papers!$A$2:$A$12,0)),""),IFERROR(INDEX(Papers!$P$2:$P$12,MATCH($C139,Papers!$A$2:$A$12,0)),"")),MATCH(MIN(G139,K139,O139,S139,W139,AA139),CHOOSE({1,2,3,4,5,6},G139,K139,O139,S139,W139,AA139),0)),""))</f>
        <v/>
      </c>
      <c r="AE139">
        <f>IF(AC139="","",IF(AC139&lt;50,"Re-teach",IF(AC139&lt;75,"Practice more","Relatively secure")))</f>
        <v/>
      </c>
    </row>
    <row r="140">
      <c r="A140">
        <f>IF(Attempts!A140="","",Attempts!A140)</f>
        <v/>
      </c>
      <c r="B140">
        <f>IF(Attempts!A140="","",Attempts!B140)</f>
        <v/>
      </c>
      <c r="C140">
        <f>IF(Attempts!A140="","",Attempts!D140)</f>
        <v/>
      </c>
      <c r="D140">
        <f>IF($A140="","",IFERROR(INDEX(Papers!$E$2:$E$12,MATCH($C140,Papers!$A$2:$A$12,0)),""))</f>
        <v/>
      </c>
      <c r="E140">
        <f>IF($A140="","",IFERROR(SUMPRODUCT((INDEX(SubMap!$B$2:$AE$12,MATCH($C140,SubMap!$A$2:$A$12,0),0)=1)*Attempts!$AR140:$BU140),0))</f>
        <v/>
      </c>
      <c r="F140">
        <f>IF($A140="","",IFERROR(COUNTIF(INDEX(SubMap!$B$2:$AE$12,MATCH($C140,SubMap!$A$2:$A$12,0),0),1),0))</f>
        <v/>
      </c>
      <c r="G140">
        <f>IF(OR($A140="",F140=0),"",ROUND(E140/F140*100,1))</f>
        <v/>
      </c>
      <c r="H140">
        <f>IF($A140="","",IFERROR(INDEX(Papers!$F$2:$F$12,MATCH($C140,Papers!$A$2:$A$12,0)),""))</f>
        <v/>
      </c>
      <c r="I140">
        <f>IF($A140="","",IFERROR(SUMPRODUCT((INDEX(SubMap!$B$2:$AE$12,MATCH($C140,SubMap!$A$2:$A$12,0),0)=2)*Attempts!$AR140:$BU140),0))</f>
        <v/>
      </c>
      <c r="J140">
        <f>IF($A140="","",IFERROR(COUNTIF(INDEX(SubMap!$B$2:$AE$12,MATCH($C140,SubMap!$A$2:$A$12,0),0),2),0))</f>
        <v/>
      </c>
      <c r="K140">
        <f>IF(OR($A140="",J140=0),"",ROUND(I140/J140*100,1))</f>
        <v/>
      </c>
      <c r="L140">
        <f>IF($A140="","",IFERROR(INDEX(Papers!$G$2:$G$12,MATCH($C140,Papers!$A$2:$A$12,0)),""))</f>
        <v/>
      </c>
      <c r="M140">
        <f>IF($A140="","",IFERROR(SUMPRODUCT((INDEX(SubMap!$B$2:$AE$12,MATCH($C140,SubMap!$A$2:$A$12,0),0)=3)*Attempts!$AR140:$BU140),0))</f>
        <v/>
      </c>
      <c r="N140">
        <f>IF($A140="","",IFERROR(COUNTIF(INDEX(SubMap!$B$2:$AE$12,MATCH($C140,SubMap!$A$2:$A$12,0),0),3),0))</f>
        <v/>
      </c>
      <c r="O140">
        <f>IF(OR($A140="",N140=0),"",ROUND(M140/N140*100,1))</f>
        <v/>
      </c>
      <c r="P140">
        <f>IF($A140="","",IFERROR(INDEX(Papers!$H$2:$H$12,MATCH($C140,Papers!$A$2:$A$12,0)),""))</f>
        <v/>
      </c>
      <c r="Q140">
        <f>IF($A140="","",IFERROR(SUMPRODUCT((INDEX(SubMap!$B$2:$AE$12,MATCH($C140,SubMap!$A$2:$A$12,0),0)=4)*Attempts!$AR140:$BU140),0))</f>
        <v/>
      </c>
      <c r="R140">
        <f>IF($A140="","",IFERROR(COUNTIF(INDEX(SubMap!$B$2:$AE$12,MATCH($C140,SubMap!$A$2:$A$12,0),0),4),0))</f>
        <v/>
      </c>
      <c r="S140">
        <f>IF(OR($A140="",R140=0),"",ROUND(Q140/R140*100,1))</f>
        <v/>
      </c>
      <c r="T140">
        <f>IF($A140="","",IFERROR(INDEX(Papers!$I$2:$I$12,MATCH($C140,Papers!$A$2:$A$12,0)),""))</f>
        <v/>
      </c>
      <c r="U140">
        <f>IF($A140="","",IFERROR(SUMPRODUCT((INDEX(SubMap!$B$2:$AE$12,MATCH($C140,SubMap!$A$2:$A$12,0),0)=5)*Attempts!$AR140:$BU140),0))</f>
        <v/>
      </c>
      <c r="V140">
        <f>IF($A140="","",IFERROR(COUNTIF(INDEX(SubMap!$B$2:$AE$12,MATCH($C140,SubMap!$A$2:$A$12,0),0),5),0))</f>
        <v/>
      </c>
      <c r="W140">
        <f>IF(OR($A140="",V140=0),"",ROUND(U140/V140*100,1))</f>
        <v/>
      </c>
      <c r="X140">
        <f>IF($A140="","",IFERROR(INDEX(Papers!$J$2:$J$12,MATCH($C140,Papers!$A$2:$A$12,0)),""))</f>
        <v/>
      </c>
      <c r="Y140">
        <f>IF($A140="","",IFERROR(SUMPRODUCT((INDEX(SubMap!$B$2:$AE$12,MATCH($C140,SubMap!$A$2:$A$12,0),0)=6)*Attempts!$AR140:$BU140),0))</f>
        <v/>
      </c>
      <c r="Z140">
        <f>IF($A140="","",IFERROR(COUNTIF(INDEX(SubMap!$B$2:$AE$12,MATCH($C140,SubMap!$A$2:$A$12,0),0),6),0))</f>
        <v/>
      </c>
      <c r="AA140">
        <f>IF(OR($A140="",Z140=0),"",ROUND(Y140/Z140*100,1))</f>
        <v/>
      </c>
      <c r="AB140">
        <f>IF($A140="","",IFERROR(INDEX(CHOOSE({1,2,3,4,5,6},D140,H140,L140,P140,T140,X140),MATCH(MIN(G140,K140,O140,S140,W140,AA140),CHOOSE({1,2,3,4,5,6},G140,K140,O140,S140,W140,AA140),0)),""))</f>
        <v/>
      </c>
      <c r="AC140">
        <f>IF($A140="","",IF(COUNT(G140,K140,O140,S140,W140,AA140)=0,"",MIN(G140,K140,O140,S140,W140,AA140)))</f>
        <v/>
      </c>
      <c r="AD140">
        <f>IF($A140="","",IFERROR(INDEX(CHOOSE({1,2,3,4,5,6},IFERROR(INDEX(Papers!$K$2:$K$12,MATCH($C140,Papers!$A$2:$A$12,0)),""),IFERROR(INDEX(Papers!$L$2:$L$12,MATCH($C140,Papers!$A$2:$A$12,0)),""),IFERROR(INDEX(Papers!$M$2:$M$12,MATCH($C140,Papers!$A$2:$A$12,0)),""),IFERROR(INDEX(Papers!$N$2:$N$12,MATCH($C140,Papers!$A$2:$A$12,0)),""),IFERROR(INDEX(Papers!$O$2:$O$12,MATCH($C140,Papers!$A$2:$A$12,0)),""),IFERROR(INDEX(Papers!$P$2:$P$12,MATCH($C140,Papers!$A$2:$A$12,0)),"")),MATCH(MIN(G140,K140,O140,S140,W140,AA140),CHOOSE({1,2,3,4,5,6},G140,K140,O140,S140,W140,AA140),0)),""))</f>
        <v/>
      </c>
      <c r="AE140">
        <f>IF(AC140="","",IF(AC140&lt;50,"Re-teach",IF(AC140&lt;75,"Practice more","Relatively secure")))</f>
        <v/>
      </c>
    </row>
    <row r="141">
      <c r="A141">
        <f>IF(Attempts!A141="","",Attempts!A141)</f>
        <v/>
      </c>
      <c r="B141">
        <f>IF(Attempts!A141="","",Attempts!B141)</f>
        <v/>
      </c>
      <c r="C141">
        <f>IF(Attempts!A141="","",Attempts!D141)</f>
        <v/>
      </c>
      <c r="D141">
        <f>IF($A141="","",IFERROR(INDEX(Papers!$E$2:$E$12,MATCH($C141,Papers!$A$2:$A$12,0)),""))</f>
        <v/>
      </c>
      <c r="E141">
        <f>IF($A141="","",IFERROR(SUMPRODUCT((INDEX(SubMap!$B$2:$AE$12,MATCH($C141,SubMap!$A$2:$A$12,0),0)=1)*Attempts!$AR141:$BU141),0))</f>
        <v/>
      </c>
      <c r="F141">
        <f>IF($A141="","",IFERROR(COUNTIF(INDEX(SubMap!$B$2:$AE$12,MATCH($C141,SubMap!$A$2:$A$12,0),0),1),0))</f>
        <v/>
      </c>
      <c r="G141">
        <f>IF(OR($A141="",F141=0),"",ROUND(E141/F141*100,1))</f>
        <v/>
      </c>
      <c r="H141">
        <f>IF($A141="","",IFERROR(INDEX(Papers!$F$2:$F$12,MATCH($C141,Papers!$A$2:$A$12,0)),""))</f>
        <v/>
      </c>
      <c r="I141">
        <f>IF($A141="","",IFERROR(SUMPRODUCT((INDEX(SubMap!$B$2:$AE$12,MATCH($C141,SubMap!$A$2:$A$12,0),0)=2)*Attempts!$AR141:$BU141),0))</f>
        <v/>
      </c>
      <c r="J141">
        <f>IF($A141="","",IFERROR(COUNTIF(INDEX(SubMap!$B$2:$AE$12,MATCH($C141,SubMap!$A$2:$A$12,0),0),2),0))</f>
        <v/>
      </c>
      <c r="K141">
        <f>IF(OR($A141="",J141=0),"",ROUND(I141/J141*100,1))</f>
        <v/>
      </c>
      <c r="L141">
        <f>IF($A141="","",IFERROR(INDEX(Papers!$G$2:$G$12,MATCH($C141,Papers!$A$2:$A$12,0)),""))</f>
        <v/>
      </c>
      <c r="M141">
        <f>IF($A141="","",IFERROR(SUMPRODUCT((INDEX(SubMap!$B$2:$AE$12,MATCH($C141,SubMap!$A$2:$A$12,0),0)=3)*Attempts!$AR141:$BU141),0))</f>
        <v/>
      </c>
      <c r="N141">
        <f>IF($A141="","",IFERROR(COUNTIF(INDEX(SubMap!$B$2:$AE$12,MATCH($C141,SubMap!$A$2:$A$12,0),0),3),0))</f>
        <v/>
      </c>
      <c r="O141">
        <f>IF(OR($A141="",N141=0),"",ROUND(M141/N141*100,1))</f>
        <v/>
      </c>
      <c r="P141">
        <f>IF($A141="","",IFERROR(INDEX(Papers!$H$2:$H$12,MATCH($C141,Papers!$A$2:$A$12,0)),""))</f>
        <v/>
      </c>
      <c r="Q141">
        <f>IF($A141="","",IFERROR(SUMPRODUCT((INDEX(SubMap!$B$2:$AE$12,MATCH($C141,SubMap!$A$2:$A$12,0),0)=4)*Attempts!$AR141:$BU141),0))</f>
        <v/>
      </c>
      <c r="R141">
        <f>IF($A141="","",IFERROR(COUNTIF(INDEX(SubMap!$B$2:$AE$12,MATCH($C141,SubMap!$A$2:$A$12,0),0),4),0))</f>
        <v/>
      </c>
      <c r="S141">
        <f>IF(OR($A141="",R141=0),"",ROUND(Q141/R141*100,1))</f>
        <v/>
      </c>
      <c r="T141">
        <f>IF($A141="","",IFERROR(INDEX(Papers!$I$2:$I$12,MATCH($C141,Papers!$A$2:$A$12,0)),""))</f>
        <v/>
      </c>
      <c r="U141">
        <f>IF($A141="","",IFERROR(SUMPRODUCT((INDEX(SubMap!$B$2:$AE$12,MATCH($C141,SubMap!$A$2:$A$12,0),0)=5)*Attempts!$AR141:$BU141),0))</f>
        <v/>
      </c>
      <c r="V141">
        <f>IF($A141="","",IFERROR(COUNTIF(INDEX(SubMap!$B$2:$AE$12,MATCH($C141,SubMap!$A$2:$A$12,0),0),5),0))</f>
        <v/>
      </c>
      <c r="W141">
        <f>IF(OR($A141="",V141=0),"",ROUND(U141/V141*100,1))</f>
        <v/>
      </c>
      <c r="X141">
        <f>IF($A141="","",IFERROR(INDEX(Papers!$J$2:$J$12,MATCH($C141,Papers!$A$2:$A$12,0)),""))</f>
        <v/>
      </c>
      <c r="Y141">
        <f>IF($A141="","",IFERROR(SUMPRODUCT((INDEX(SubMap!$B$2:$AE$12,MATCH($C141,SubMap!$A$2:$A$12,0),0)=6)*Attempts!$AR141:$BU141),0))</f>
        <v/>
      </c>
      <c r="Z141">
        <f>IF($A141="","",IFERROR(COUNTIF(INDEX(SubMap!$B$2:$AE$12,MATCH($C141,SubMap!$A$2:$A$12,0),0),6),0))</f>
        <v/>
      </c>
      <c r="AA141">
        <f>IF(OR($A141="",Z141=0),"",ROUND(Y141/Z141*100,1))</f>
        <v/>
      </c>
      <c r="AB141">
        <f>IF($A141="","",IFERROR(INDEX(CHOOSE({1,2,3,4,5,6},D141,H141,L141,P141,T141,X141),MATCH(MIN(G141,K141,O141,S141,W141,AA141),CHOOSE({1,2,3,4,5,6},G141,K141,O141,S141,W141,AA141),0)),""))</f>
        <v/>
      </c>
      <c r="AC141">
        <f>IF($A141="","",IF(COUNT(G141,K141,O141,S141,W141,AA141)=0,"",MIN(G141,K141,O141,S141,W141,AA141)))</f>
        <v/>
      </c>
      <c r="AD141">
        <f>IF($A141="","",IFERROR(INDEX(CHOOSE({1,2,3,4,5,6},IFERROR(INDEX(Papers!$K$2:$K$12,MATCH($C141,Papers!$A$2:$A$12,0)),""),IFERROR(INDEX(Papers!$L$2:$L$12,MATCH($C141,Papers!$A$2:$A$12,0)),""),IFERROR(INDEX(Papers!$M$2:$M$12,MATCH($C141,Papers!$A$2:$A$12,0)),""),IFERROR(INDEX(Papers!$N$2:$N$12,MATCH($C141,Papers!$A$2:$A$12,0)),""),IFERROR(INDEX(Papers!$O$2:$O$12,MATCH($C141,Papers!$A$2:$A$12,0)),""),IFERROR(INDEX(Papers!$P$2:$P$12,MATCH($C141,Papers!$A$2:$A$12,0)),"")),MATCH(MIN(G141,K141,O141,S141,W141,AA141),CHOOSE({1,2,3,4,5,6},G141,K141,O141,S141,W141,AA141),0)),""))</f>
        <v/>
      </c>
      <c r="AE141">
        <f>IF(AC141="","",IF(AC141&lt;50,"Re-teach",IF(AC141&lt;75,"Practice more","Relatively secure")))</f>
        <v/>
      </c>
    </row>
    <row r="142">
      <c r="A142">
        <f>IF(Attempts!A142="","",Attempts!A142)</f>
        <v/>
      </c>
      <c r="B142">
        <f>IF(Attempts!A142="","",Attempts!B142)</f>
        <v/>
      </c>
      <c r="C142">
        <f>IF(Attempts!A142="","",Attempts!D142)</f>
        <v/>
      </c>
      <c r="D142">
        <f>IF($A142="","",IFERROR(INDEX(Papers!$E$2:$E$12,MATCH($C142,Papers!$A$2:$A$12,0)),""))</f>
        <v/>
      </c>
      <c r="E142">
        <f>IF($A142="","",IFERROR(SUMPRODUCT((INDEX(SubMap!$B$2:$AE$12,MATCH($C142,SubMap!$A$2:$A$12,0),0)=1)*Attempts!$AR142:$BU142),0))</f>
        <v/>
      </c>
      <c r="F142">
        <f>IF($A142="","",IFERROR(COUNTIF(INDEX(SubMap!$B$2:$AE$12,MATCH($C142,SubMap!$A$2:$A$12,0),0),1),0))</f>
        <v/>
      </c>
      <c r="G142">
        <f>IF(OR($A142="",F142=0),"",ROUND(E142/F142*100,1))</f>
        <v/>
      </c>
      <c r="H142">
        <f>IF($A142="","",IFERROR(INDEX(Papers!$F$2:$F$12,MATCH($C142,Papers!$A$2:$A$12,0)),""))</f>
        <v/>
      </c>
      <c r="I142">
        <f>IF($A142="","",IFERROR(SUMPRODUCT((INDEX(SubMap!$B$2:$AE$12,MATCH($C142,SubMap!$A$2:$A$12,0),0)=2)*Attempts!$AR142:$BU142),0))</f>
        <v/>
      </c>
      <c r="J142">
        <f>IF($A142="","",IFERROR(COUNTIF(INDEX(SubMap!$B$2:$AE$12,MATCH($C142,SubMap!$A$2:$A$12,0),0),2),0))</f>
        <v/>
      </c>
      <c r="K142">
        <f>IF(OR($A142="",J142=0),"",ROUND(I142/J142*100,1))</f>
        <v/>
      </c>
      <c r="L142">
        <f>IF($A142="","",IFERROR(INDEX(Papers!$G$2:$G$12,MATCH($C142,Papers!$A$2:$A$12,0)),""))</f>
        <v/>
      </c>
      <c r="M142">
        <f>IF($A142="","",IFERROR(SUMPRODUCT((INDEX(SubMap!$B$2:$AE$12,MATCH($C142,SubMap!$A$2:$A$12,0),0)=3)*Attempts!$AR142:$BU142),0))</f>
        <v/>
      </c>
      <c r="N142">
        <f>IF($A142="","",IFERROR(COUNTIF(INDEX(SubMap!$B$2:$AE$12,MATCH($C142,SubMap!$A$2:$A$12,0),0),3),0))</f>
        <v/>
      </c>
      <c r="O142">
        <f>IF(OR($A142="",N142=0),"",ROUND(M142/N142*100,1))</f>
        <v/>
      </c>
      <c r="P142">
        <f>IF($A142="","",IFERROR(INDEX(Papers!$H$2:$H$12,MATCH($C142,Papers!$A$2:$A$12,0)),""))</f>
        <v/>
      </c>
      <c r="Q142">
        <f>IF($A142="","",IFERROR(SUMPRODUCT((INDEX(SubMap!$B$2:$AE$12,MATCH($C142,SubMap!$A$2:$A$12,0),0)=4)*Attempts!$AR142:$BU142),0))</f>
        <v/>
      </c>
      <c r="R142">
        <f>IF($A142="","",IFERROR(COUNTIF(INDEX(SubMap!$B$2:$AE$12,MATCH($C142,SubMap!$A$2:$A$12,0),0),4),0))</f>
        <v/>
      </c>
      <c r="S142">
        <f>IF(OR($A142="",R142=0),"",ROUND(Q142/R142*100,1))</f>
        <v/>
      </c>
      <c r="T142">
        <f>IF($A142="","",IFERROR(INDEX(Papers!$I$2:$I$12,MATCH($C142,Papers!$A$2:$A$12,0)),""))</f>
        <v/>
      </c>
      <c r="U142">
        <f>IF($A142="","",IFERROR(SUMPRODUCT((INDEX(SubMap!$B$2:$AE$12,MATCH($C142,SubMap!$A$2:$A$12,0),0)=5)*Attempts!$AR142:$BU142),0))</f>
        <v/>
      </c>
      <c r="V142">
        <f>IF($A142="","",IFERROR(COUNTIF(INDEX(SubMap!$B$2:$AE$12,MATCH($C142,SubMap!$A$2:$A$12,0),0),5),0))</f>
        <v/>
      </c>
      <c r="W142">
        <f>IF(OR($A142="",V142=0),"",ROUND(U142/V142*100,1))</f>
        <v/>
      </c>
      <c r="X142">
        <f>IF($A142="","",IFERROR(INDEX(Papers!$J$2:$J$12,MATCH($C142,Papers!$A$2:$A$12,0)),""))</f>
        <v/>
      </c>
      <c r="Y142">
        <f>IF($A142="","",IFERROR(SUMPRODUCT((INDEX(SubMap!$B$2:$AE$12,MATCH($C142,SubMap!$A$2:$A$12,0),0)=6)*Attempts!$AR142:$BU142),0))</f>
        <v/>
      </c>
      <c r="Z142">
        <f>IF($A142="","",IFERROR(COUNTIF(INDEX(SubMap!$B$2:$AE$12,MATCH($C142,SubMap!$A$2:$A$12,0),0),6),0))</f>
        <v/>
      </c>
      <c r="AA142">
        <f>IF(OR($A142="",Z142=0),"",ROUND(Y142/Z142*100,1))</f>
        <v/>
      </c>
      <c r="AB142">
        <f>IF($A142="","",IFERROR(INDEX(CHOOSE({1,2,3,4,5,6},D142,H142,L142,P142,T142,X142),MATCH(MIN(G142,K142,O142,S142,W142,AA142),CHOOSE({1,2,3,4,5,6},G142,K142,O142,S142,W142,AA142),0)),""))</f>
        <v/>
      </c>
      <c r="AC142">
        <f>IF($A142="","",IF(COUNT(G142,K142,O142,S142,W142,AA142)=0,"",MIN(G142,K142,O142,S142,W142,AA142)))</f>
        <v/>
      </c>
      <c r="AD142">
        <f>IF($A142="","",IFERROR(INDEX(CHOOSE({1,2,3,4,5,6},IFERROR(INDEX(Papers!$K$2:$K$12,MATCH($C142,Papers!$A$2:$A$12,0)),""),IFERROR(INDEX(Papers!$L$2:$L$12,MATCH($C142,Papers!$A$2:$A$12,0)),""),IFERROR(INDEX(Papers!$M$2:$M$12,MATCH($C142,Papers!$A$2:$A$12,0)),""),IFERROR(INDEX(Papers!$N$2:$N$12,MATCH($C142,Papers!$A$2:$A$12,0)),""),IFERROR(INDEX(Papers!$O$2:$O$12,MATCH($C142,Papers!$A$2:$A$12,0)),""),IFERROR(INDEX(Papers!$P$2:$P$12,MATCH($C142,Papers!$A$2:$A$12,0)),"")),MATCH(MIN(G142,K142,O142,S142,W142,AA142),CHOOSE({1,2,3,4,5,6},G142,K142,O142,S142,W142,AA142),0)),""))</f>
        <v/>
      </c>
      <c r="AE142">
        <f>IF(AC142="","",IF(AC142&lt;50,"Re-teach",IF(AC142&lt;75,"Practice more","Relatively secure")))</f>
        <v/>
      </c>
    </row>
    <row r="143">
      <c r="A143">
        <f>IF(Attempts!A143="","",Attempts!A143)</f>
        <v/>
      </c>
      <c r="B143">
        <f>IF(Attempts!A143="","",Attempts!B143)</f>
        <v/>
      </c>
      <c r="C143">
        <f>IF(Attempts!A143="","",Attempts!D143)</f>
        <v/>
      </c>
      <c r="D143">
        <f>IF($A143="","",IFERROR(INDEX(Papers!$E$2:$E$12,MATCH($C143,Papers!$A$2:$A$12,0)),""))</f>
        <v/>
      </c>
      <c r="E143">
        <f>IF($A143="","",IFERROR(SUMPRODUCT((INDEX(SubMap!$B$2:$AE$12,MATCH($C143,SubMap!$A$2:$A$12,0),0)=1)*Attempts!$AR143:$BU143),0))</f>
        <v/>
      </c>
      <c r="F143">
        <f>IF($A143="","",IFERROR(COUNTIF(INDEX(SubMap!$B$2:$AE$12,MATCH($C143,SubMap!$A$2:$A$12,0),0),1),0))</f>
        <v/>
      </c>
      <c r="G143">
        <f>IF(OR($A143="",F143=0),"",ROUND(E143/F143*100,1))</f>
        <v/>
      </c>
      <c r="H143">
        <f>IF($A143="","",IFERROR(INDEX(Papers!$F$2:$F$12,MATCH($C143,Papers!$A$2:$A$12,0)),""))</f>
        <v/>
      </c>
      <c r="I143">
        <f>IF($A143="","",IFERROR(SUMPRODUCT((INDEX(SubMap!$B$2:$AE$12,MATCH($C143,SubMap!$A$2:$A$12,0),0)=2)*Attempts!$AR143:$BU143),0))</f>
        <v/>
      </c>
      <c r="J143">
        <f>IF($A143="","",IFERROR(COUNTIF(INDEX(SubMap!$B$2:$AE$12,MATCH($C143,SubMap!$A$2:$A$12,0),0),2),0))</f>
        <v/>
      </c>
      <c r="K143">
        <f>IF(OR($A143="",J143=0),"",ROUND(I143/J143*100,1))</f>
        <v/>
      </c>
      <c r="L143">
        <f>IF($A143="","",IFERROR(INDEX(Papers!$G$2:$G$12,MATCH($C143,Papers!$A$2:$A$12,0)),""))</f>
        <v/>
      </c>
      <c r="M143">
        <f>IF($A143="","",IFERROR(SUMPRODUCT((INDEX(SubMap!$B$2:$AE$12,MATCH($C143,SubMap!$A$2:$A$12,0),0)=3)*Attempts!$AR143:$BU143),0))</f>
        <v/>
      </c>
      <c r="N143">
        <f>IF($A143="","",IFERROR(COUNTIF(INDEX(SubMap!$B$2:$AE$12,MATCH($C143,SubMap!$A$2:$A$12,0),0),3),0))</f>
        <v/>
      </c>
      <c r="O143">
        <f>IF(OR($A143="",N143=0),"",ROUND(M143/N143*100,1))</f>
        <v/>
      </c>
      <c r="P143">
        <f>IF($A143="","",IFERROR(INDEX(Papers!$H$2:$H$12,MATCH($C143,Papers!$A$2:$A$12,0)),""))</f>
        <v/>
      </c>
      <c r="Q143">
        <f>IF($A143="","",IFERROR(SUMPRODUCT((INDEX(SubMap!$B$2:$AE$12,MATCH($C143,SubMap!$A$2:$A$12,0),0)=4)*Attempts!$AR143:$BU143),0))</f>
        <v/>
      </c>
      <c r="R143">
        <f>IF($A143="","",IFERROR(COUNTIF(INDEX(SubMap!$B$2:$AE$12,MATCH($C143,SubMap!$A$2:$A$12,0),0),4),0))</f>
        <v/>
      </c>
      <c r="S143">
        <f>IF(OR($A143="",R143=0),"",ROUND(Q143/R143*100,1))</f>
        <v/>
      </c>
      <c r="T143">
        <f>IF($A143="","",IFERROR(INDEX(Papers!$I$2:$I$12,MATCH($C143,Papers!$A$2:$A$12,0)),""))</f>
        <v/>
      </c>
      <c r="U143">
        <f>IF($A143="","",IFERROR(SUMPRODUCT((INDEX(SubMap!$B$2:$AE$12,MATCH($C143,SubMap!$A$2:$A$12,0),0)=5)*Attempts!$AR143:$BU143),0))</f>
        <v/>
      </c>
      <c r="V143">
        <f>IF($A143="","",IFERROR(COUNTIF(INDEX(SubMap!$B$2:$AE$12,MATCH($C143,SubMap!$A$2:$A$12,0),0),5),0))</f>
        <v/>
      </c>
      <c r="W143">
        <f>IF(OR($A143="",V143=0),"",ROUND(U143/V143*100,1))</f>
        <v/>
      </c>
      <c r="X143">
        <f>IF($A143="","",IFERROR(INDEX(Papers!$J$2:$J$12,MATCH($C143,Papers!$A$2:$A$12,0)),""))</f>
        <v/>
      </c>
      <c r="Y143">
        <f>IF($A143="","",IFERROR(SUMPRODUCT((INDEX(SubMap!$B$2:$AE$12,MATCH($C143,SubMap!$A$2:$A$12,0),0)=6)*Attempts!$AR143:$BU143),0))</f>
        <v/>
      </c>
      <c r="Z143">
        <f>IF($A143="","",IFERROR(COUNTIF(INDEX(SubMap!$B$2:$AE$12,MATCH($C143,SubMap!$A$2:$A$12,0),0),6),0))</f>
        <v/>
      </c>
      <c r="AA143">
        <f>IF(OR($A143="",Z143=0),"",ROUND(Y143/Z143*100,1))</f>
        <v/>
      </c>
      <c r="AB143">
        <f>IF($A143="","",IFERROR(INDEX(CHOOSE({1,2,3,4,5,6},D143,H143,L143,P143,T143,X143),MATCH(MIN(G143,K143,O143,S143,W143,AA143),CHOOSE({1,2,3,4,5,6},G143,K143,O143,S143,W143,AA143),0)),""))</f>
        <v/>
      </c>
      <c r="AC143">
        <f>IF($A143="","",IF(COUNT(G143,K143,O143,S143,W143,AA143)=0,"",MIN(G143,K143,O143,S143,W143,AA143)))</f>
        <v/>
      </c>
      <c r="AD143">
        <f>IF($A143="","",IFERROR(INDEX(CHOOSE({1,2,3,4,5,6},IFERROR(INDEX(Papers!$K$2:$K$12,MATCH($C143,Papers!$A$2:$A$12,0)),""),IFERROR(INDEX(Papers!$L$2:$L$12,MATCH($C143,Papers!$A$2:$A$12,0)),""),IFERROR(INDEX(Papers!$M$2:$M$12,MATCH($C143,Papers!$A$2:$A$12,0)),""),IFERROR(INDEX(Papers!$N$2:$N$12,MATCH($C143,Papers!$A$2:$A$12,0)),""),IFERROR(INDEX(Papers!$O$2:$O$12,MATCH($C143,Papers!$A$2:$A$12,0)),""),IFERROR(INDEX(Papers!$P$2:$P$12,MATCH($C143,Papers!$A$2:$A$12,0)),"")),MATCH(MIN(G143,K143,O143,S143,W143,AA143),CHOOSE({1,2,3,4,5,6},G143,K143,O143,S143,W143,AA143),0)),""))</f>
        <v/>
      </c>
      <c r="AE143">
        <f>IF(AC143="","",IF(AC143&lt;50,"Re-teach",IF(AC143&lt;75,"Practice more","Relatively secure")))</f>
        <v/>
      </c>
    </row>
    <row r="144">
      <c r="A144">
        <f>IF(Attempts!A144="","",Attempts!A144)</f>
        <v/>
      </c>
      <c r="B144">
        <f>IF(Attempts!A144="","",Attempts!B144)</f>
        <v/>
      </c>
      <c r="C144">
        <f>IF(Attempts!A144="","",Attempts!D144)</f>
        <v/>
      </c>
      <c r="D144">
        <f>IF($A144="","",IFERROR(INDEX(Papers!$E$2:$E$12,MATCH($C144,Papers!$A$2:$A$12,0)),""))</f>
        <v/>
      </c>
      <c r="E144">
        <f>IF($A144="","",IFERROR(SUMPRODUCT((INDEX(SubMap!$B$2:$AE$12,MATCH($C144,SubMap!$A$2:$A$12,0),0)=1)*Attempts!$AR144:$BU144),0))</f>
        <v/>
      </c>
      <c r="F144">
        <f>IF($A144="","",IFERROR(COUNTIF(INDEX(SubMap!$B$2:$AE$12,MATCH($C144,SubMap!$A$2:$A$12,0),0),1),0))</f>
        <v/>
      </c>
      <c r="G144">
        <f>IF(OR($A144="",F144=0),"",ROUND(E144/F144*100,1))</f>
        <v/>
      </c>
      <c r="H144">
        <f>IF($A144="","",IFERROR(INDEX(Papers!$F$2:$F$12,MATCH($C144,Papers!$A$2:$A$12,0)),""))</f>
        <v/>
      </c>
      <c r="I144">
        <f>IF($A144="","",IFERROR(SUMPRODUCT((INDEX(SubMap!$B$2:$AE$12,MATCH($C144,SubMap!$A$2:$A$12,0),0)=2)*Attempts!$AR144:$BU144),0))</f>
        <v/>
      </c>
      <c r="J144">
        <f>IF($A144="","",IFERROR(COUNTIF(INDEX(SubMap!$B$2:$AE$12,MATCH($C144,SubMap!$A$2:$A$12,0),0),2),0))</f>
        <v/>
      </c>
      <c r="K144">
        <f>IF(OR($A144="",J144=0),"",ROUND(I144/J144*100,1))</f>
        <v/>
      </c>
      <c r="L144">
        <f>IF($A144="","",IFERROR(INDEX(Papers!$G$2:$G$12,MATCH($C144,Papers!$A$2:$A$12,0)),""))</f>
        <v/>
      </c>
      <c r="M144">
        <f>IF($A144="","",IFERROR(SUMPRODUCT((INDEX(SubMap!$B$2:$AE$12,MATCH($C144,SubMap!$A$2:$A$12,0),0)=3)*Attempts!$AR144:$BU144),0))</f>
        <v/>
      </c>
      <c r="N144">
        <f>IF($A144="","",IFERROR(COUNTIF(INDEX(SubMap!$B$2:$AE$12,MATCH($C144,SubMap!$A$2:$A$12,0),0),3),0))</f>
        <v/>
      </c>
      <c r="O144">
        <f>IF(OR($A144="",N144=0),"",ROUND(M144/N144*100,1))</f>
        <v/>
      </c>
      <c r="P144">
        <f>IF($A144="","",IFERROR(INDEX(Papers!$H$2:$H$12,MATCH($C144,Papers!$A$2:$A$12,0)),""))</f>
        <v/>
      </c>
      <c r="Q144">
        <f>IF($A144="","",IFERROR(SUMPRODUCT((INDEX(SubMap!$B$2:$AE$12,MATCH($C144,SubMap!$A$2:$A$12,0),0)=4)*Attempts!$AR144:$BU144),0))</f>
        <v/>
      </c>
      <c r="R144">
        <f>IF($A144="","",IFERROR(COUNTIF(INDEX(SubMap!$B$2:$AE$12,MATCH($C144,SubMap!$A$2:$A$12,0),0),4),0))</f>
        <v/>
      </c>
      <c r="S144">
        <f>IF(OR($A144="",R144=0),"",ROUND(Q144/R144*100,1))</f>
        <v/>
      </c>
      <c r="T144">
        <f>IF($A144="","",IFERROR(INDEX(Papers!$I$2:$I$12,MATCH($C144,Papers!$A$2:$A$12,0)),""))</f>
        <v/>
      </c>
      <c r="U144">
        <f>IF($A144="","",IFERROR(SUMPRODUCT((INDEX(SubMap!$B$2:$AE$12,MATCH($C144,SubMap!$A$2:$A$12,0),0)=5)*Attempts!$AR144:$BU144),0))</f>
        <v/>
      </c>
      <c r="V144">
        <f>IF($A144="","",IFERROR(COUNTIF(INDEX(SubMap!$B$2:$AE$12,MATCH($C144,SubMap!$A$2:$A$12,0),0),5),0))</f>
        <v/>
      </c>
      <c r="W144">
        <f>IF(OR($A144="",V144=0),"",ROUND(U144/V144*100,1))</f>
        <v/>
      </c>
      <c r="X144">
        <f>IF($A144="","",IFERROR(INDEX(Papers!$J$2:$J$12,MATCH($C144,Papers!$A$2:$A$12,0)),""))</f>
        <v/>
      </c>
      <c r="Y144">
        <f>IF($A144="","",IFERROR(SUMPRODUCT((INDEX(SubMap!$B$2:$AE$12,MATCH($C144,SubMap!$A$2:$A$12,0),0)=6)*Attempts!$AR144:$BU144),0))</f>
        <v/>
      </c>
      <c r="Z144">
        <f>IF($A144="","",IFERROR(COUNTIF(INDEX(SubMap!$B$2:$AE$12,MATCH($C144,SubMap!$A$2:$A$12,0),0),6),0))</f>
        <v/>
      </c>
      <c r="AA144">
        <f>IF(OR($A144="",Z144=0),"",ROUND(Y144/Z144*100,1))</f>
        <v/>
      </c>
      <c r="AB144">
        <f>IF($A144="","",IFERROR(INDEX(CHOOSE({1,2,3,4,5,6},D144,H144,L144,P144,T144,X144),MATCH(MIN(G144,K144,O144,S144,W144,AA144),CHOOSE({1,2,3,4,5,6},G144,K144,O144,S144,W144,AA144),0)),""))</f>
        <v/>
      </c>
      <c r="AC144">
        <f>IF($A144="","",IF(COUNT(G144,K144,O144,S144,W144,AA144)=0,"",MIN(G144,K144,O144,S144,W144,AA144)))</f>
        <v/>
      </c>
      <c r="AD144">
        <f>IF($A144="","",IFERROR(INDEX(CHOOSE({1,2,3,4,5,6},IFERROR(INDEX(Papers!$K$2:$K$12,MATCH($C144,Papers!$A$2:$A$12,0)),""),IFERROR(INDEX(Papers!$L$2:$L$12,MATCH($C144,Papers!$A$2:$A$12,0)),""),IFERROR(INDEX(Papers!$M$2:$M$12,MATCH($C144,Papers!$A$2:$A$12,0)),""),IFERROR(INDEX(Papers!$N$2:$N$12,MATCH($C144,Papers!$A$2:$A$12,0)),""),IFERROR(INDEX(Papers!$O$2:$O$12,MATCH($C144,Papers!$A$2:$A$12,0)),""),IFERROR(INDEX(Papers!$P$2:$P$12,MATCH($C144,Papers!$A$2:$A$12,0)),"")),MATCH(MIN(G144,K144,O144,S144,W144,AA144),CHOOSE({1,2,3,4,5,6},G144,K144,O144,S144,W144,AA144),0)),""))</f>
        <v/>
      </c>
      <c r="AE144">
        <f>IF(AC144="","",IF(AC144&lt;50,"Re-teach",IF(AC144&lt;75,"Practice more","Relatively secure")))</f>
        <v/>
      </c>
    </row>
    <row r="145">
      <c r="A145">
        <f>IF(Attempts!A145="","",Attempts!A145)</f>
        <v/>
      </c>
      <c r="B145">
        <f>IF(Attempts!A145="","",Attempts!B145)</f>
        <v/>
      </c>
      <c r="C145">
        <f>IF(Attempts!A145="","",Attempts!D145)</f>
        <v/>
      </c>
      <c r="D145">
        <f>IF($A145="","",IFERROR(INDEX(Papers!$E$2:$E$12,MATCH($C145,Papers!$A$2:$A$12,0)),""))</f>
        <v/>
      </c>
      <c r="E145">
        <f>IF($A145="","",IFERROR(SUMPRODUCT((INDEX(SubMap!$B$2:$AE$12,MATCH($C145,SubMap!$A$2:$A$12,0),0)=1)*Attempts!$AR145:$BU145),0))</f>
        <v/>
      </c>
      <c r="F145">
        <f>IF($A145="","",IFERROR(COUNTIF(INDEX(SubMap!$B$2:$AE$12,MATCH($C145,SubMap!$A$2:$A$12,0),0),1),0))</f>
        <v/>
      </c>
      <c r="G145">
        <f>IF(OR($A145="",F145=0),"",ROUND(E145/F145*100,1))</f>
        <v/>
      </c>
      <c r="H145">
        <f>IF($A145="","",IFERROR(INDEX(Papers!$F$2:$F$12,MATCH($C145,Papers!$A$2:$A$12,0)),""))</f>
        <v/>
      </c>
      <c r="I145">
        <f>IF($A145="","",IFERROR(SUMPRODUCT((INDEX(SubMap!$B$2:$AE$12,MATCH($C145,SubMap!$A$2:$A$12,0),0)=2)*Attempts!$AR145:$BU145),0))</f>
        <v/>
      </c>
      <c r="J145">
        <f>IF($A145="","",IFERROR(COUNTIF(INDEX(SubMap!$B$2:$AE$12,MATCH($C145,SubMap!$A$2:$A$12,0),0),2),0))</f>
        <v/>
      </c>
      <c r="K145">
        <f>IF(OR($A145="",J145=0),"",ROUND(I145/J145*100,1))</f>
        <v/>
      </c>
      <c r="L145">
        <f>IF($A145="","",IFERROR(INDEX(Papers!$G$2:$G$12,MATCH($C145,Papers!$A$2:$A$12,0)),""))</f>
        <v/>
      </c>
      <c r="M145">
        <f>IF($A145="","",IFERROR(SUMPRODUCT((INDEX(SubMap!$B$2:$AE$12,MATCH($C145,SubMap!$A$2:$A$12,0),0)=3)*Attempts!$AR145:$BU145),0))</f>
        <v/>
      </c>
      <c r="N145">
        <f>IF($A145="","",IFERROR(COUNTIF(INDEX(SubMap!$B$2:$AE$12,MATCH($C145,SubMap!$A$2:$A$12,0),0),3),0))</f>
        <v/>
      </c>
      <c r="O145">
        <f>IF(OR($A145="",N145=0),"",ROUND(M145/N145*100,1))</f>
        <v/>
      </c>
      <c r="P145">
        <f>IF($A145="","",IFERROR(INDEX(Papers!$H$2:$H$12,MATCH($C145,Papers!$A$2:$A$12,0)),""))</f>
        <v/>
      </c>
      <c r="Q145">
        <f>IF($A145="","",IFERROR(SUMPRODUCT((INDEX(SubMap!$B$2:$AE$12,MATCH($C145,SubMap!$A$2:$A$12,0),0)=4)*Attempts!$AR145:$BU145),0))</f>
        <v/>
      </c>
      <c r="R145">
        <f>IF($A145="","",IFERROR(COUNTIF(INDEX(SubMap!$B$2:$AE$12,MATCH($C145,SubMap!$A$2:$A$12,0),0),4),0))</f>
        <v/>
      </c>
      <c r="S145">
        <f>IF(OR($A145="",R145=0),"",ROUND(Q145/R145*100,1))</f>
        <v/>
      </c>
      <c r="T145">
        <f>IF($A145="","",IFERROR(INDEX(Papers!$I$2:$I$12,MATCH($C145,Papers!$A$2:$A$12,0)),""))</f>
        <v/>
      </c>
      <c r="U145">
        <f>IF($A145="","",IFERROR(SUMPRODUCT((INDEX(SubMap!$B$2:$AE$12,MATCH($C145,SubMap!$A$2:$A$12,0),0)=5)*Attempts!$AR145:$BU145),0))</f>
        <v/>
      </c>
      <c r="V145">
        <f>IF($A145="","",IFERROR(COUNTIF(INDEX(SubMap!$B$2:$AE$12,MATCH($C145,SubMap!$A$2:$A$12,0),0),5),0))</f>
        <v/>
      </c>
      <c r="W145">
        <f>IF(OR($A145="",V145=0),"",ROUND(U145/V145*100,1))</f>
        <v/>
      </c>
      <c r="X145">
        <f>IF($A145="","",IFERROR(INDEX(Papers!$J$2:$J$12,MATCH($C145,Papers!$A$2:$A$12,0)),""))</f>
        <v/>
      </c>
      <c r="Y145">
        <f>IF($A145="","",IFERROR(SUMPRODUCT((INDEX(SubMap!$B$2:$AE$12,MATCH($C145,SubMap!$A$2:$A$12,0),0)=6)*Attempts!$AR145:$BU145),0))</f>
        <v/>
      </c>
      <c r="Z145">
        <f>IF($A145="","",IFERROR(COUNTIF(INDEX(SubMap!$B$2:$AE$12,MATCH($C145,SubMap!$A$2:$A$12,0),0),6),0))</f>
        <v/>
      </c>
      <c r="AA145">
        <f>IF(OR($A145="",Z145=0),"",ROUND(Y145/Z145*100,1))</f>
        <v/>
      </c>
      <c r="AB145">
        <f>IF($A145="","",IFERROR(INDEX(CHOOSE({1,2,3,4,5,6},D145,H145,L145,P145,T145,X145),MATCH(MIN(G145,K145,O145,S145,W145,AA145),CHOOSE({1,2,3,4,5,6},G145,K145,O145,S145,W145,AA145),0)),""))</f>
        <v/>
      </c>
      <c r="AC145">
        <f>IF($A145="","",IF(COUNT(G145,K145,O145,S145,W145,AA145)=0,"",MIN(G145,K145,O145,S145,W145,AA145)))</f>
        <v/>
      </c>
      <c r="AD145">
        <f>IF($A145="","",IFERROR(INDEX(CHOOSE({1,2,3,4,5,6},IFERROR(INDEX(Papers!$K$2:$K$12,MATCH($C145,Papers!$A$2:$A$12,0)),""),IFERROR(INDEX(Papers!$L$2:$L$12,MATCH($C145,Papers!$A$2:$A$12,0)),""),IFERROR(INDEX(Papers!$M$2:$M$12,MATCH($C145,Papers!$A$2:$A$12,0)),""),IFERROR(INDEX(Papers!$N$2:$N$12,MATCH($C145,Papers!$A$2:$A$12,0)),""),IFERROR(INDEX(Papers!$O$2:$O$12,MATCH($C145,Papers!$A$2:$A$12,0)),""),IFERROR(INDEX(Papers!$P$2:$P$12,MATCH($C145,Papers!$A$2:$A$12,0)),"")),MATCH(MIN(G145,K145,O145,S145,W145,AA145),CHOOSE({1,2,3,4,5,6},G145,K145,O145,S145,W145,AA145),0)),""))</f>
        <v/>
      </c>
      <c r="AE145">
        <f>IF(AC145="","",IF(AC145&lt;50,"Re-teach",IF(AC145&lt;75,"Practice more","Relatively secure")))</f>
        <v/>
      </c>
    </row>
    <row r="146">
      <c r="A146">
        <f>IF(Attempts!A146="","",Attempts!A146)</f>
        <v/>
      </c>
      <c r="B146">
        <f>IF(Attempts!A146="","",Attempts!B146)</f>
        <v/>
      </c>
      <c r="C146">
        <f>IF(Attempts!A146="","",Attempts!D146)</f>
        <v/>
      </c>
      <c r="D146">
        <f>IF($A146="","",IFERROR(INDEX(Papers!$E$2:$E$12,MATCH($C146,Papers!$A$2:$A$12,0)),""))</f>
        <v/>
      </c>
      <c r="E146">
        <f>IF($A146="","",IFERROR(SUMPRODUCT((INDEX(SubMap!$B$2:$AE$12,MATCH($C146,SubMap!$A$2:$A$12,0),0)=1)*Attempts!$AR146:$BU146),0))</f>
        <v/>
      </c>
      <c r="F146">
        <f>IF($A146="","",IFERROR(COUNTIF(INDEX(SubMap!$B$2:$AE$12,MATCH($C146,SubMap!$A$2:$A$12,0),0),1),0))</f>
        <v/>
      </c>
      <c r="G146">
        <f>IF(OR($A146="",F146=0),"",ROUND(E146/F146*100,1))</f>
        <v/>
      </c>
      <c r="H146">
        <f>IF($A146="","",IFERROR(INDEX(Papers!$F$2:$F$12,MATCH($C146,Papers!$A$2:$A$12,0)),""))</f>
        <v/>
      </c>
      <c r="I146">
        <f>IF($A146="","",IFERROR(SUMPRODUCT((INDEX(SubMap!$B$2:$AE$12,MATCH($C146,SubMap!$A$2:$A$12,0),0)=2)*Attempts!$AR146:$BU146),0))</f>
        <v/>
      </c>
      <c r="J146">
        <f>IF($A146="","",IFERROR(COUNTIF(INDEX(SubMap!$B$2:$AE$12,MATCH($C146,SubMap!$A$2:$A$12,0),0),2),0))</f>
        <v/>
      </c>
      <c r="K146">
        <f>IF(OR($A146="",J146=0),"",ROUND(I146/J146*100,1))</f>
        <v/>
      </c>
      <c r="L146">
        <f>IF($A146="","",IFERROR(INDEX(Papers!$G$2:$G$12,MATCH($C146,Papers!$A$2:$A$12,0)),""))</f>
        <v/>
      </c>
      <c r="M146">
        <f>IF($A146="","",IFERROR(SUMPRODUCT((INDEX(SubMap!$B$2:$AE$12,MATCH($C146,SubMap!$A$2:$A$12,0),0)=3)*Attempts!$AR146:$BU146),0))</f>
        <v/>
      </c>
      <c r="N146">
        <f>IF($A146="","",IFERROR(COUNTIF(INDEX(SubMap!$B$2:$AE$12,MATCH($C146,SubMap!$A$2:$A$12,0),0),3),0))</f>
        <v/>
      </c>
      <c r="O146">
        <f>IF(OR($A146="",N146=0),"",ROUND(M146/N146*100,1))</f>
        <v/>
      </c>
      <c r="P146">
        <f>IF($A146="","",IFERROR(INDEX(Papers!$H$2:$H$12,MATCH($C146,Papers!$A$2:$A$12,0)),""))</f>
        <v/>
      </c>
      <c r="Q146">
        <f>IF($A146="","",IFERROR(SUMPRODUCT((INDEX(SubMap!$B$2:$AE$12,MATCH($C146,SubMap!$A$2:$A$12,0),0)=4)*Attempts!$AR146:$BU146),0))</f>
        <v/>
      </c>
      <c r="R146">
        <f>IF($A146="","",IFERROR(COUNTIF(INDEX(SubMap!$B$2:$AE$12,MATCH($C146,SubMap!$A$2:$A$12,0),0),4),0))</f>
        <v/>
      </c>
      <c r="S146">
        <f>IF(OR($A146="",R146=0),"",ROUND(Q146/R146*100,1))</f>
        <v/>
      </c>
      <c r="T146">
        <f>IF($A146="","",IFERROR(INDEX(Papers!$I$2:$I$12,MATCH($C146,Papers!$A$2:$A$12,0)),""))</f>
        <v/>
      </c>
      <c r="U146">
        <f>IF($A146="","",IFERROR(SUMPRODUCT((INDEX(SubMap!$B$2:$AE$12,MATCH($C146,SubMap!$A$2:$A$12,0),0)=5)*Attempts!$AR146:$BU146),0))</f>
        <v/>
      </c>
      <c r="V146">
        <f>IF($A146="","",IFERROR(COUNTIF(INDEX(SubMap!$B$2:$AE$12,MATCH($C146,SubMap!$A$2:$A$12,0),0),5),0))</f>
        <v/>
      </c>
      <c r="W146">
        <f>IF(OR($A146="",V146=0),"",ROUND(U146/V146*100,1))</f>
        <v/>
      </c>
      <c r="X146">
        <f>IF($A146="","",IFERROR(INDEX(Papers!$J$2:$J$12,MATCH($C146,Papers!$A$2:$A$12,0)),""))</f>
        <v/>
      </c>
      <c r="Y146">
        <f>IF($A146="","",IFERROR(SUMPRODUCT((INDEX(SubMap!$B$2:$AE$12,MATCH($C146,SubMap!$A$2:$A$12,0),0)=6)*Attempts!$AR146:$BU146),0))</f>
        <v/>
      </c>
      <c r="Z146">
        <f>IF($A146="","",IFERROR(COUNTIF(INDEX(SubMap!$B$2:$AE$12,MATCH($C146,SubMap!$A$2:$A$12,0),0),6),0))</f>
        <v/>
      </c>
      <c r="AA146">
        <f>IF(OR($A146="",Z146=0),"",ROUND(Y146/Z146*100,1))</f>
        <v/>
      </c>
      <c r="AB146">
        <f>IF($A146="","",IFERROR(INDEX(CHOOSE({1,2,3,4,5,6},D146,H146,L146,P146,T146,X146),MATCH(MIN(G146,K146,O146,S146,W146,AA146),CHOOSE({1,2,3,4,5,6},G146,K146,O146,S146,W146,AA146),0)),""))</f>
        <v/>
      </c>
      <c r="AC146">
        <f>IF($A146="","",IF(COUNT(G146,K146,O146,S146,W146,AA146)=0,"",MIN(G146,K146,O146,S146,W146,AA146)))</f>
        <v/>
      </c>
      <c r="AD146">
        <f>IF($A146="","",IFERROR(INDEX(CHOOSE({1,2,3,4,5,6},IFERROR(INDEX(Papers!$K$2:$K$12,MATCH($C146,Papers!$A$2:$A$12,0)),""),IFERROR(INDEX(Papers!$L$2:$L$12,MATCH($C146,Papers!$A$2:$A$12,0)),""),IFERROR(INDEX(Papers!$M$2:$M$12,MATCH($C146,Papers!$A$2:$A$12,0)),""),IFERROR(INDEX(Papers!$N$2:$N$12,MATCH($C146,Papers!$A$2:$A$12,0)),""),IFERROR(INDEX(Papers!$O$2:$O$12,MATCH($C146,Papers!$A$2:$A$12,0)),""),IFERROR(INDEX(Papers!$P$2:$P$12,MATCH($C146,Papers!$A$2:$A$12,0)),"")),MATCH(MIN(G146,K146,O146,S146,W146,AA146),CHOOSE({1,2,3,4,5,6},G146,K146,O146,S146,W146,AA146),0)),""))</f>
        <v/>
      </c>
      <c r="AE146">
        <f>IF(AC146="","",IF(AC146&lt;50,"Re-teach",IF(AC146&lt;75,"Practice more","Relatively secure")))</f>
        <v/>
      </c>
    </row>
    <row r="147">
      <c r="A147">
        <f>IF(Attempts!A147="","",Attempts!A147)</f>
        <v/>
      </c>
      <c r="B147">
        <f>IF(Attempts!A147="","",Attempts!B147)</f>
        <v/>
      </c>
      <c r="C147">
        <f>IF(Attempts!A147="","",Attempts!D147)</f>
        <v/>
      </c>
      <c r="D147">
        <f>IF($A147="","",IFERROR(INDEX(Papers!$E$2:$E$12,MATCH($C147,Papers!$A$2:$A$12,0)),""))</f>
        <v/>
      </c>
      <c r="E147">
        <f>IF($A147="","",IFERROR(SUMPRODUCT((INDEX(SubMap!$B$2:$AE$12,MATCH($C147,SubMap!$A$2:$A$12,0),0)=1)*Attempts!$AR147:$BU147),0))</f>
        <v/>
      </c>
      <c r="F147">
        <f>IF($A147="","",IFERROR(COUNTIF(INDEX(SubMap!$B$2:$AE$12,MATCH($C147,SubMap!$A$2:$A$12,0),0),1),0))</f>
        <v/>
      </c>
      <c r="G147">
        <f>IF(OR($A147="",F147=0),"",ROUND(E147/F147*100,1))</f>
        <v/>
      </c>
      <c r="H147">
        <f>IF($A147="","",IFERROR(INDEX(Papers!$F$2:$F$12,MATCH($C147,Papers!$A$2:$A$12,0)),""))</f>
        <v/>
      </c>
      <c r="I147">
        <f>IF($A147="","",IFERROR(SUMPRODUCT((INDEX(SubMap!$B$2:$AE$12,MATCH($C147,SubMap!$A$2:$A$12,0),0)=2)*Attempts!$AR147:$BU147),0))</f>
        <v/>
      </c>
      <c r="J147">
        <f>IF($A147="","",IFERROR(COUNTIF(INDEX(SubMap!$B$2:$AE$12,MATCH($C147,SubMap!$A$2:$A$12,0),0),2),0))</f>
        <v/>
      </c>
      <c r="K147">
        <f>IF(OR($A147="",J147=0),"",ROUND(I147/J147*100,1))</f>
        <v/>
      </c>
      <c r="L147">
        <f>IF($A147="","",IFERROR(INDEX(Papers!$G$2:$G$12,MATCH($C147,Papers!$A$2:$A$12,0)),""))</f>
        <v/>
      </c>
      <c r="M147">
        <f>IF($A147="","",IFERROR(SUMPRODUCT((INDEX(SubMap!$B$2:$AE$12,MATCH($C147,SubMap!$A$2:$A$12,0),0)=3)*Attempts!$AR147:$BU147),0))</f>
        <v/>
      </c>
      <c r="N147">
        <f>IF($A147="","",IFERROR(COUNTIF(INDEX(SubMap!$B$2:$AE$12,MATCH($C147,SubMap!$A$2:$A$12,0),0),3),0))</f>
        <v/>
      </c>
      <c r="O147">
        <f>IF(OR($A147="",N147=0),"",ROUND(M147/N147*100,1))</f>
        <v/>
      </c>
      <c r="P147">
        <f>IF($A147="","",IFERROR(INDEX(Papers!$H$2:$H$12,MATCH($C147,Papers!$A$2:$A$12,0)),""))</f>
        <v/>
      </c>
      <c r="Q147">
        <f>IF($A147="","",IFERROR(SUMPRODUCT((INDEX(SubMap!$B$2:$AE$12,MATCH($C147,SubMap!$A$2:$A$12,0),0)=4)*Attempts!$AR147:$BU147),0))</f>
        <v/>
      </c>
      <c r="R147">
        <f>IF($A147="","",IFERROR(COUNTIF(INDEX(SubMap!$B$2:$AE$12,MATCH($C147,SubMap!$A$2:$A$12,0),0),4),0))</f>
        <v/>
      </c>
      <c r="S147">
        <f>IF(OR($A147="",R147=0),"",ROUND(Q147/R147*100,1))</f>
        <v/>
      </c>
      <c r="T147">
        <f>IF($A147="","",IFERROR(INDEX(Papers!$I$2:$I$12,MATCH($C147,Papers!$A$2:$A$12,0)),""))</f>
        <v/>
      </c>
      <c r="U147">
        <f>IF($A147="","",IFERROR(SUMPRODUCT((INDEX(SubMap!$B$2:$AE$12,MATCH($C147,SubMap!$A$2:$A$12,0),0)=5)*Attempts!$AR147:$BU147),0))</f>
        <v/>
      </c>
      <c r="V147">
        <f>IF($A147="","",IFERROR(COUNTIF(INDEX(SubMap!$B$2:$AE$12,MATCH($C147,SubMap!$A$2:$A$12,0),0),5),0))</f>
        <v/>
      </c>
      <c r="W147">
        <f>IF(OR($A147="",V147=0),"",ROUND(U147/V147*100,1))</f>
        <v/>
      </c>
      <c r="X147">
        <f>IF($A147="","",IFERROR(INDEX(Papers!$J$2:$J$12,MATCH($C147,Papers!$A$2:$A$12,0)),""))</f>
        <v/>
      </c>
      <c r="Y147">
        <f>IF($A147="","",IFERROR(SUMPRODUCT((INDEX(SubMap!$B$2:$AE$12,MATCH($C147,SubMap!$A$2:$A$12,0),0)=6)*Attempts!$AR147:$BU147),0))</f>
        <v/>
      </c>
      <c r="Z147">
        <f>IF($A147="","",IFERROR(COUNTIF(INDEX(SubMap!$B$2:$AE$12,MATCH($C147,SubMap!$A$2:$A$12,0),0),6),0))</f>
        <v/>
      </c>
      <c r="AA147">
        <f>IF(OR($A147="",Z147=0),"",ROUND(Y147/Z147*100,1))</f>
        <v/>
      </c>
      <c r="AB147">
        <f>IF($A147="","",IFERROR(INDEX(CHOOSE({1,2,3,4,5,6},D147,H147,L147,P147,T147,X147),MATCH(MIN(G147,K147,O147,S147,W147,AA147),CHOOSE({1,2,3,4,5,6},G147,K147,O147,S147,W147,AA147),0)),""))</f>
        <v/>
      </c>
      <c r="AC147">
        <f>IF($A147="","",IF(COUNT(G147,K147,O147,S147,W147,AA147)=0,"",MIN(G147,K147,O147,S147,W147,AA147)))</f>
        <v/>
      </c>
      <c r="AD147">
        <f>IF($A147="","",IFERROR(INDEX(CHOOSE({1,2,3,4,5,6},IFERROR(INDEX(Papers!$K$2:$K$12,MATCH($C147,Papers!$A$2:$A$12,0)),""),IFERROR(INDEX(Papers!$L$2:$L$12,MATCH($C147,Papers!$A$2:$A$12,0)),""),IFERROR(INDEX(Papers!$M$2:$M$12,MATCH($C147,Papers!$A$2:$A$12,0)),""),IFERROR(INDEX(Papers!$N$2:$N$12,MATCH($C147,Papers!$A$2:$A$12,0)),""),IFERROR(INDEX(Papers!$O$2:$O$12,MATCH($C147,Papers!$A$2:$A$12,0)),""),IFERROR(INDEX(Papers!$P$2:$P$12,MATCH($C147,Papers!$A$2:$A$12,0)),"")),MATCH(MIN(G147,K147,O147,S147,W147,AA147),CHOOSE({1,2,3,4,5,6},G147,K147,O147,S147,W147,AA147),0)),""))</f>
        <v/>
      </c>
      <c r="AE147">
        <f>IF(AC147="","",IF(AC147&lt;50,"Re-teach",IF(AC147&lt;75,"Practice more","Relatively secure")))</f>
        <v/>
      </c>
    </row>
    <row r="148">
      <c r="A148">
        <f>IF(Attempts!A148="","",Attempts!A148)</f>
        <v/>
      </c>
      <c r="B148">
        <f>IF(Attempts!A148="","",Attempts!B148)</f>
        <v/>
      </c>
      <c r="C148">
        <f>IF(Attempts!A148="","",Attempts!D148)</f>
        <v/>
      </c>
      <c r="D148">
        <f>IF($A148="","",IFERROR(INDEX(Papers!$E$2:$E$12,MATCH($C148,Papers!$A$2:$A$12,0)),""))</f>
        <v/>
      </c>
      <c r="E148">
        <f>IF($A148="","",IFERROR(SUMPRODUCT((INDEX(SubMap!$B$2:$AE$12,MATCH($C148,SubMap!$A$2:$A$12,0),0)=1)*Attempts!$AR148:$BU148),0))</f>
        <v/>
      </c>
      <c r="F148">
        <f>IF($A148="","",IFERROR(COUNTIF(INDEX(SubMap!$B$2:$AE$12,MATCH($C148,SubMap!$A$2:$A$12,0),0),1),0))</f>
        <v/>
      </c>
      <c r="G148">
        <f>IF(OR($A148="",F148=0),"",ROUND(E148/F148*100,1))</f>
        <v/>
      </c>
      <c r="H148">
        <f>IF($A148="","",IFERROR(INDEX(Papers!$F$2:$F$12,MATCH($C148,Papers!$A$2:$A$12,0)),""))</f>
        <v/>
      </c>
      <c r="I148">
        <f>IF($A148="","",IFERROR(SUMPRODUCT((INDEX(SubMap!$B$2:$AE$12,MATCH($C148,SubMap!$A$2:$A$12,0),0)=2)*Attempts!$AR148:$BU148),0))</f>
        <v/>
      </c>
      <c r="J148">
        <f>IF($A148="","",IFERROR(COUNTIF(INDEX(SubMap!$B$2:$AE$12,MATCH($C148,SubMap!$A$2:$A$12,0),0),2),0))</f>
        <v/>
      </c>
      <c r="K148">
        <f>IF(OR($A148="",J148=0),"",ROUND(I148/J148*100,1))</f>
        <v/>
      </c>
      <c r="L148">
        <f>IF($A148="","",IFERROR(INDEX(Papers!$G$2:$G$12,MATCH($C148,Papers!$A$2:$A$12,0)),""))</f>
        <v/>
      </c>
      <c r="M148">
        <f>IF($A148="","",IFERROR(SUMPRODUCT((INDEX(SubMap!$B$2:$AE$12,MATCH($C148,SubMap!$A$2:$A$12,0),0)=3)*Attempts!$AR148:$BU148),0))</f>
        <v/>
      </c>
      <c r="N148">
        <f>IF($A148="","",IFERROR(COUNTIF(INDEX(SubMap!$B$2:$AE$12,MATCH($C148,SubMap!$A$2:$A$12,0),0),3),0))</f>
        <v/>
      </c>
      <c r="O148">
        <f>IF(OR($A148="",N148=0),"",ROUND(M148/N148*100,1))</f>
        <v/>
      </c>
      <c r="P148">
        <f>IF($A148="","",IFERROR(INDEX(Papers!$H$2:$H$12,MATCH($C148,Papers!$A$2:$A$12,0)),""))</f>
        <v/>
      </c>
      <c r="Q148">
        <f>IF($A148="","",IFERROR(SUMPRODUCT((INDEX(SubMap!$B$2:$AE$12,MATCH($C148,SubMap!$A$2:$A$12,0),0)=4)*Attempts!$AR148:$BU148),0))</f>
        <v/>
      </c>
      <c r="R148">
        <f>IF($A148="","",IFERROR(COUNTIF(INDEX(SubMap!$B$2:$AE$12,MATCH($C148,SubMap!$A$2:$A$12,0),0),4),0))</f>
        <v/>
      </c>
      <c r="S148">
        <f>IF(OR($A148="",R148=0),"",ROUND(Q148/R148*100,1))</f>
        <v/>
      </c>
      <c r="T148">
        <f>IF($A148="","",IFERROR(INDEX(Papers!$I$2:$I$12,MATCH($C148,Papers!$A$2:$A$12,0)),""))</f>
        <v/>
      </c>
      <c r="U148">
        <f>IF($A148="","",IFERROR(SUMPRODUCT((INDEX(SubMap!$B$2:$AE$12,MATCH($C148,SubMap!$A$2:$A$12,0),0)=5)*Attempts!$AR148:$BU148),0))</f>
        <v/>
      </c>
      <c r="V148">
        <f>IF($A148="","",IFERROR(COUNTIF(INDEX(SubMap!$B$2:$AE$12,MATCH($C148,SubMap!$A$2:$A$12,0),0),5),0))</f>
        <v/>
      </c>
      <c r="W148">
        <f>IF(OR($A148="",V148=0),"",ROUND(U148/V148*100,1))</f>
        <v/>
      </c>
      <c r="X148">
        <f>IF($A148="","",IFERROR(INDEX(Papers!$J$2:$J$12,MATCH($C148,Papers!$A$2:$A$12,0)),""))</f>
        <v/>
      </c>
      <c r="Y148">
        <f>IF($A148="","",IFERROR(SUMPRODUCT((INDEX(SubMap!$B$2:$AE$12,MATCH($C148,SubMap!$A$2:$A$12,0),0)=6)*Attempts!$AR148:$BU148),0))</f>
        <v/>
      </c>
      <c r="Z148">
        <f>IF($A148="","",IFERROR(COUNTIF(INDEX(SubMap!$B$2:$AE$12,MATCH($C148,SubMap!$A$2:$A$12,0),0),6),0))</f>
        <v/>
      </c>
      <c r="AA148">
        <f>IF(OR($A148="",Z148=0),"",ROUND(Y148/Z148*100,1))</f>
        <v/>
      </c>
      <c r="AB148">
        <f>IF($A148="","",IFERROR(INDEX(CHOOSE({1,2,3,4,5,6},D148,H148,L148,P148,T148,X148),MATCH(MIN(G148,K148,O148,S148,W148,AA148),CHOOSE({1,2,3,4,5,6},G148,K148,O148,S148,W148,AA148),0)),""))</f>
        <v/>
      </c>
      <c r="AC148">
        <f>IF($A148="","",IF(COUNT(G148,K148,O148,S148,W148,AA148)=0,"",MIN(G148,K148,O148,S148,W148,AA148)))</f>
        <v/>
      </c>
      <c r="AD148">
        <f>IF($A148="","",IFERROR(INDEX(CHOOSE({1,2,3,4,5,6},IFERROR(INDEX(Papers!$K$2:$K$12,MATCH($C148,Papers!$A$2:$A$12,0)),""),IFERROR(INDEX(Papers!$L$2:$L$12,MATCH($C148,Papers!$A$2:$A$12,0)),""),IFERROR(INDEX(Papers!$M$2:$M$12,MATCH($C148,Papers!$A$2:$A$12,0)),""),IFERROR(INDEX(Papers!$N$2:$N$12,MATCH($C148,Papers!$A$2:$A$12,0)),""),IFERROR(INDEX(Papers!$O$2:$O$12,MATCH($C148,Papers!$A$2:$A$12,0)),""),IFERROR(INDEX(Papers!$P$2:$P$12,MATCH($C148,Papers!$A$2:$A$12,0)),"")),MATCH(MIN(G148,K148,O148,S148,W148,AA148),CHOOSE({1,2,3,4,5,6},G148,K148,O148,S148,W148,AA148),0)),""))</f>
        <v/>
      </c>
      <c r="AE148">
        <f>IF(AC148="","",IF(AC148&lt;50,"Re-teach",IF(AC148&lt;75,"Practice more","Relatively secure")))</f>
        <v/>
      </c>
    </row>
    <row r="149">
      <c r="A149">
        <f>IF(Attempts!A149="","",Attempts!A149)</f>
        <v/>
      </c>
      <c r="B149">
        <f>IF(Attempts!A149="","",Attempts!B149)</f>
        <v/>
      </c>
      <c r="C149">
        <f>IF(Attempts!A149="","",Attempts!D149)</f>
        <v/>
      </c>
      <c r="D149">
        <f>IF($A149="","",IFERROR(INDEX(Papers!$E$2:$E$12,MATCH($C149,Papers!$A$2:$A$12,0)),""))</f>
        <v/>
      </c>
      <c r="E149">
        <f>IF($A149="","",IFERROR(SUMPRODUCT((INDEX(SubMap!$B$2:$AE$12,MATCH($C149,SubMap!$A$2:$A$12,0),0)=1)*Attempts!$AR149:$BU149),0))</f>
        <v/>
      </c>
      <c r="F149">
        <f>IF($A149="","",IFERROR(COUNTIF(INDEX(SubMap!$B$2:$AE$12,MATCH($C149,SubMap!$A$2:$A$12,0),0),1),0))</f>
        <v/>
      </c>
      <c r="G149">
        <f>IF(OR($A149="",F149=0),"",ROUND(E149/F149*100,1))</f>
        <v/>
      </c>
      <c r="H149">
        <f>IF($A149="","",IFERROR(INDEX(Papers!$F$2:$F$12,MATCH($C149,Papers!$A$2:$A$12,0)),""))</f>
        <v/>
      </c>
      <c r="I149">
        <f>IF($A149="","",IFERROR(SUMPRODUCT((INDEX(SubMap!$B$2:$AE$12,MATCH($C149,SubMap!$A$2:$A$12,0),0)=2)*Attempts!$AR149:$BU149),0))</f>
        <v/>
      </c>
      <c r="J149">
        <f>IF($A149="","",IFERROR(COUNTIF(INDEX(SubMap!$B$2:$AE$12,MATCH($C149,SubMap!$A$2:$A$12,0),0),2),0))</f>
        <v/>
      </c>
      <c r="K149">
        <f>IF(OR($A149="",J149=0),"",ROUND(I149/J149*100,1))</f>
        <v/>
      </c>
      <c r="L149">
        <f>IF($A149="","",IFERROR(INDEX(Papers!$G$2:$G$12,MATCH($C149,Papers!$A$2:$A$12,0)),""))</f>
        <v/>
      </c>
      <c r="M149">
        <f>IF($A149="","",IFERROR(SUMPRODUCT((INDEX(SubMap!$B$2:$AE$12,MATCH($C149,SubMap!$A$2:$A$12,0),0)=3)*Attempts!$AR149:$BU149),0))</f>
        <v/>
      </c>
      <c r="N149">
        <f>IF($A149="","",IFERROR(COUNTIF(INDEX(SubMap!$B$2:$AE$12,MATCH($C149,SubMap!$A$2:$A$12,0),0),3),0))</f>
        <v/>
      </c>
      <c r="O149">
        <f>IF(OR($A149="",N149=0),"",ROUND(M149/N149*100,1))</f>
        <v/>
      </c>
      <c r="P149">
        <f>IF($A149="","",IFERROR(INDEX(Papers!$H$2:$H$12,MATCH($C149,Papers!$A$2:$A$12,0)),""))</f>
        <v/>
      </c>
      <c r="Q149">
        <f>IF($A149="","",IFERROR(SUMPRODUCT((INDEX(SubMap!$B$2:$AE$12,MATCH($C149,SubMap!$A$2:$A$12,0),0)=4)*Attempts!$AR149:$BU149),0))</f>
        <v/>
      </c>
      <c r="R149">
        <f>IF($A149="","",IFERROR(COUNTIF(INDEX(SubMap!$B$2:$AE$12,MATCH($C149,SubMap!$A$2:$A$12,0),0),4),0))</f>
        <v/>
      </c>
      <c r="S149">
        <f>IF(OR($A149="",R149=0),"",ROUND(Q149/R149*100,1))</f>
        <v/>
      </c>
      <c r="T149">
        <f>IF($A149="","",IFERROR(INDEX(Papers!$I$2:$I$12,MATCH($C149,Papers!$A$2:$A$12,0)),""))</f>
        <v/>
      </c>
      <c r="U149">
        <f>IF($A149="","",IFERROR(SUMPRODUCT((INDEX(SubMap!$B$2:$AE$12,MATCH($C149,SubMap!$A$2:$A$12,0),0)=5)*Attempts!$AR149:$BU149),0))</f>
        <v/>
      </c>
      <c r="V149">
        <f>IF($A149="","",IFERROR(COUNTIF(INDEX(SubMap!$B$2:$AE$12,MATCH($C149,SubMap!$A$2:$A$12,0),0),5),0))</f>
        <v/>
      </c>
      <c r="W149">
        <f>IF(OR($A149="",V149=0),"",ROUND(U149/V149*100,1))</f>
        <v/>
      </c>
      <c r="X149">
        <f>IF($A149="","",IFERROR(INDEX(Papers!$J$2:$J$12,MATCH($C149,Papers!$A$2:$A$12,0)),""))</f>
        <v/>
      </c>
      <c r="Y149">
        <f>IF($A149="","",IFERROR(SUMPRODUCT((INDEX(SubMap!$B$2:$AE$12,MATCH($C149,SubMap!$A$2:$A$12,0),0)=6)*Attempts!$AR149:$BU149),0))</f>
        <v/>
      </c>
      <c r="Z149">
        <f>IF($A149="","",IFERROR(COUNTIF(INDEX(SubMap!$B$2:$AE$12,MATCH($C149,SubMap!$A$2:$A$12,0),0),6),0))</f>
        <v/>
      </c>
      <c r="AA149">
        <f>IF(OR($A149="",Z149=0),"",ROUND(Y149/Z149*100,1))</f>
        <v/>
      </c>
      <c r="AB149">
        <f>IF($A149="","",IFERROR(INDEX(CHOOSE({1,2,3,4,5,6},D149,H149,L149,P149,T149,X149),MATCH(MIN(G149,K149,O149,S149,W149,AA149),CHOOSE({1,2,3,4,5,6},G149,K149,O149,S149,W149,AA149),0)),""))</f>
        <v/>
      </c>
      <c r="AC149">
        <f>IF($A149="","",IF(COUNT(G149,K149,O149,S149,W149,AA149)=0,"",MIN(G149,K149,O149,S149,W149,AA149)))</f>
        <v/>
      </c>
      <c r="AD149">
        <f>IF($A149="","",IFERROR(INDEX(CHOOSE({1,2,3,4,5,6},IFERROR(INDEX(Papers!$K$2:$K$12,MATCH($C149,Papers!$A$2:$A$12,0)),""),IFERROR(INDEX(Papers!$L$2:$L$12,MATCH($C149,Papers!$A$2:$A$12,0)),""),IFERROR(INDEX(Papers!$M$2:$M$12,MATCH($C149,Papers!$A$2:$A$12,0)),""),IFERROR(INDEX(Papers!$N$2:$N$12,MATCH($C149,Papers!$A$2:$A$12,0)),""),IFERROR(INDEX(Papers!$O$2:$O$12,MATCH($C149,Papers!$A$2:$A$12,0)),""),IFERROR(INDEX(Papers!$P$2:$P$12,MATCH($C149,Papers!$A$2:$A$12,0)),"")),MATCH(MIN(G149,K149,O149,S149,W149,AA149),CHOOSE({1,2,3,4,5,6},G149,K149,O149,S149,W149,AA149),0)),""))</f>
        <v/>
      </c>
      <c r="AE149">
        <f>IF(AC149="","",IF(AC149&lt;50,"Re-teach",IF(AC149&lt;75,"Practice more","Relatively secure")))</f>
        <v/>
      </c>
    </row>
    <row r="150">
      <c r="A150">
        <f>IF(Attempts!A150="","",Attempts!A150)</f>
        <v/>
      </c>
      <c r="B150">
        <f>IF(Attempts!A150="","",Attempts!B150)</f>
        <v/>
      </c>
      <c r="C150">
        <f>IF(Attempts!A150="","",Attempts!D150)</f>
        <v/>
      </c>
      <c r="D150">
        <f>IF($A150="","",IFERROR(INDEX(Papers!$E$2:$E$12,MATCH($C150,Papers!$A$2:$A$12,0)),""))</f>
        <v/>
      </c>
      <c r="E150">
        <f>IF($A150="","",IFERROR(SUMPRODUCT((INDEX(SubMap!$B$2:$AE$12,MATCH($C150,SubMap!$A$2:$A$12,0),0)=1)*Attempts!$AR150:$BU150),0))</f>
        <v/>
      </c>
      <c r="F150">
        <f>IF($A150="","",IFERROR(COUNTIF(INDEX(SubMap!$B$2:$AE$12,MATCH($C150,SubMap!$A$2:$A$12,0),0),1),0))</f>
        <v/>
      </c>
      <c r="G150">
        <f>IF(OR($A150="",F150=0),"",ROUND(E150/F150*100,1))</f>
        <v/>
      </c>
      <c r="H150">
        <f>IF($A150="","",IFERROR(INDEX(Papers!$F$2:$F$12,MATCH($C150,Papers!$A$2:$A$12,0)),""))</f>
        <v/>
      </c>
      <c r="I150">
        <f>IF($A150="","",IFERROR(SUMPRODUCT((INDEX(SubMap!$B$2:$AE$12,MATCH($C150,SubMap!$A$2:$A$12,0),0)=2)*Attempts!$AR150:$BU150),0))</f>
        <v/>
      </c>
      <c r="J150">
        <f>IF($A150="","",IFERROR(COUNTIF(INDEX(SubMap!$B$2:$AE$12,MATCH($C150,SubMap!$A$2:$A$12,0),0),2),0))</f>
        <v/>
      </c>
      <c r="K150">
        <f>IF(OR($A150="",J150=0),"",ROUND(I150/J150*100,1))</f>
        <v/>
      </c>
      <c r="L150">
        <f>IF($A150="","",IFERROR(INDEX(Papers!$G$2:$G$12,MATCH($C150,Papers!$A$2:$A$12,0)),""))</f>
        <v/>
      </c>
      <c r="M150">
        <f>IF($A150="","",IFERROR(SUMPRODUCT((INDEX(SubMap!$B$2:$AE$12,MATCH($C150,SubMap!$A$2:$A$12,0),0)=3)*Attempts!$AR150:$BU150),0))</f>
        <v/>
      </c>
      <c r="N150">
        <f>IF($A150="","",IFERROR(COUNTIF(INDEX(SubMap!$B$2:$AE$12,MATCH($C150,SubMap!$A$2:$A$12,0),0),3),0))</f>
        <v/>
      </c>
      <c r="O150">
        <f>IF(OR($A150="",N150=0),"",ROUND(M150/N150*100,1))</f>
        <v/>
      </c>
      <c r="P150">
        <f>IF($A150="","",IFERROR(INDEX(Papers!$H$2:$H$12,MATCH($C150,Papers!$A$2:$A$12,0)),""))</f>
        <v/>
      </c>
      <c r="Q150">
        <f>IF($A150="","",IFERROR(SUMPRODUCT((INDEX(SubMap!$B$2:$AE$12,MATCH($C150,SubMap!$A$2:$A$12,0),0)=4)*Attempts!$AR150:$BU150),0))</f>
        <v/>
      </c>
      <c r="R150">
        <f>IF($A150="","",IFERROR(COUNTIF(INDEX(SubMap!$B$2:$AE$12,MATCH($C150,SubMap!$A$2:$A$12,0),0),4),0))</f>
        <v/>
      </c>
      <c r="S150">
        <f>IF(OR($A150="",R150=0),"",ROUND(Q150/R150*100,1))</f>
        <v/>
      </c>
      <c r="T150">
        <f>IF($A150="","",IFERROR(INDEX(Papers!$I$2:$I$12,MATCH($C150,Papers!$A$2:$A$12,0)),""))</f>
        <v/>
      </c>
      <c r="U150">
        <f>IF($A150="","",IFERROR(SUMPRODUCT((INDEX(SubMap!$B$2:$AE$12,MATCH($C150,SubMap!$A$2:$A$12,0),0)=5)*Attempts!$AR150:$BU150),0))</f>
        <v/>
      </c>
      <c r="V150">
        <f>IF($A150="","",IFERROR(COUNTIF(INDEX(SubMap!$B$2:$AE$12,MATCH($C150,SubMap!$A$2:$A$12,0),0),5),0))</f>
        <v/>
      </c>
      <c r="W150">
        <f>IF(OR($A150="",V150=0),"",ROUND(U150/V150*100,1))</f>
        <v/>
      </c>
      <c r="X150">
        <f>IF($A150="","",IFERROR(INDEX(Papers!$J$2:$J$12,MATCH($C150,Papers!$A$2:$A$12,0)),""))</f>
        <v/>
      </c>
      <c r="Y150">
        <f>IF($A150="","",IFERROR(SUMPRODUCT((INDEX(SubMap!$B$2:$AE$12,MATCH($C150,SubMap!$A$2:$A$12,0),0)=6)*Attempts!$AR150:$BU150),0))</f>
        <v/>
      </c>
      <c r="Z150">
        <f>IF($A150="","",IFERROR(COUNTIF(INDEX(SubMap!$B$2:$AE$12,MATCH($C150,SubMap!$A$2:$A$12,0),0),6),0))</f>
        <v/>
      </c>
      <c r="AA150">
        <f>IF(OR($A150="",Z150=0),"",ROUND(Y150/Z150*100,1))</f>
        <v/>
      </c>
      <c r="AB150">
        <f>IF($A150="","",IFERROR(INDEX(CHOOSE({1,2,3,4,5,6},D150,H150,L150,P150,T150,X150),MATCH(MIN(G150,K150,O150,S150,W150,AA150),CHOOSE({1,2,3,4,5,6},G150,K150,O150,S150,W150,AA150),0)),""))</f>
        <v/>
      </c>
      <c r="AC150">
        <f>IF($A150="","",IF(COUNT(G150,K150,O150,S150,W150,AA150)=0,"",MIN(G150,K150,O150,S150,W150,AA150)))</f>
        <v/>
      </c>
      <c r="AD150">
        <f>IF($A150="","",IFERROR(INDEX(CHOOSE({1,2,3,4,5,6},IFERROR(INDEX(Papers!$K$2:$K$12,MATCH($C150,Papers!$A$2:$A$12,0)),""),IFERROR(INDEX(Papers!$L$2:$L$12,MATCH($C150,Papers!$A$2:$A$12,0)),""),IFERROR(INDEX(Papers!$M$2:$M$12,MATCH($C150,Papers!$A$2:$A$12,0)),""),IFERROR(INDEX(Papers!$N$2:$N$12,MATCH($C150,Papers!$A$2:$A$12,0)),""),IFERROR(INDEX(Papers!$O$2:$O$12,MATCH($C150,Papers!$A$2:$A$12,0)),""),IFERROR(INDEX(Papers!$P$2:$P$12,MATCH($C150,Papers!$A$2:$A$12,0)),"")),MATCH(MIN(G150,K150,O150,S150,W150,AA150),CHOOSE({1,2,3,4,5,6},G150,K150,O150,S150,W150,AA150),0)),""))</f>
        <v/>
      </c>
      <c r="AE150">
        <f>IF(AC150="","",IF(AC150&lt;50,"Re-teach",IF(AC150&lt;75,"Practice more","Relatively secure")))</f>
        <v/>
      </c>
    </row>
    <row r="151">
      <c r="A151">
        <f>IF(Attempts!A151="","",Attempts!A151)</f>
        <v/>
      </c>
      <c r="B151">
        <f>IF(Attempts!A151="","",Attempts!B151)</f>
        <v/>
      </c>
      <c r="C151">
        <f>IF(Attempts!A151="","",Attempts!D151)</f>
        <v/>
      </c>
      <c r="D151">
        <f>IF($A151="","",IFERROR(INDEX(Papers!$E$2:$E$12,MATCH($C151,Papers!$A$2:$A$12,0)),""))</f>
        <v/>
      </c>
      <c r="E151">
        <f>IF($A151="","",IFERROR(SUMPRODUCT((INDEX(SubMap!$B$2:$AE$12,MATCH($C151,SubMap!$A$2:$A$12,0),0)=1)*Attempts!$AR151:$BU151),0))</f>
        <v/>
      </c>
      <c r="F151">
        <f>IF($A151="","",IFERROR(COUNTIF(INDEX(SubMap!$B$2:$AE$12,MATCH($C151,SubMap!$A$2:$A$12,0),0),1),0))</f>
        <v/>
      </c>
      <c r="G151">
        <f>IF(OR($A151="",F151=0),"",ROUND(E151/F151*100,1))</f>
        <v/>
      </c>
      <c r="H151">
        <f>IF($A151="","",IFERROR(INDEX(Papers!$F$2:$F$12,MATCH($C151,Papers!$A$2:$A$12,0)),""))</f>
        <v/>
      </c>
      <c r="I151">
        <f>IF($A151="","",IFERROR(SUMPRODUCT((INDEX(SubMap!$B$2:$AE$12,MATCH($C151,SubMap!$A$2:$A$12,0),0)=2)*Attempts!$AR151:$BU151),0))</f>
        <v/>
      </c>
      <c r="J151">
        <f>IF($A151="","",IFERROR(COUNTIF(INDEX(SubMap!$B$2:$AE$12,MATCH($C151,SubMap!$A$2:$A$12,0),0),2),0))</f>
        <v/>
      </c>
      <c r="K151">
        <f>IF(OR($A151="",J151=0),"",ROUND(I151/J151*100,1))</f>
        <v/>
      </c>
      <c r="L151">
        <f>IF($A151="","",IFERROR(INDEX(Papers!$G$2:$G$12,MATCH($C151,Papers!$A$2:$A$12,0)),""))</f>
        <v/>
      </c>
      <c r="M151">
        <f>IF($A151="","",IFERROR(SUMPRODUCT((INDEX(SubMap!$B$2:$AE$12,MATCH($C151,SubMap!$A$2:$A$12,0),0)=3)*Attempts!$AR151:$BU151),0))</f>
        <v/>
      </c>
      <c r="N151">
        <f>IF($A151="","",IFERROR(COUNTIF(INDEX(SubMap!$B$2:$AE$12,MATCH($C151,SubMap!$A$2:$A$12,0),0),3),0))</f>
        <v/>
      </c>
      <c r="O151">
        <f>IF(OR($A151="",N151=0),"",ROUND(M151/N151*100,1))</f>
        <v/>
      </c>
      <c r="P151">
        <f>IF($A151="","",IFERROR(INDEX(Papers!$H$2:$H$12,MATCH($C151,Papers!$A$2:$A$12,0)),""))</f>
        <v/>
      </c>
      <c r="Q151">
        <f>IF($A151="","",IFERROR(SUMPRODUCT((INDEX(SubMap!$B$2:$AE$12,MATCH($C151,SubMap!$A$2:$A$12,0),0)=4)*Attempts!$AR151:$BU151),0))</f>
        <v/>
      </c>
      <c r="R151">
        <f>IF($A151="","",IFERROR(COUNTIF(INDEX(SubMap!$B$2:$AE$12,MATCH($C151,SubMap!$A$2:$A$12,0),0),4),0))</f>
        <v/>
      </c>
      <c r="S151">
        <f>IF(OR($A151="",R151=0),"",ROUND(Q151/R151*100,1))</f>
        <v/>
      </c>
      <c r="T151">
        <f>IF($A151="","",IFERROR(INDEX(Papers!$I$2:$I$12,MATCH($C151,Papers!$A$2:$A$12,0)),""))</f>
        <v/>
      </c>
      <c r="U151">
        <f>IF($A151="","",IFERROR(SUMPRODUCT((INDEX(SubMap!$B$2:$AE$12,MATCH($C151,SubMap!$A$2:$A$12,0),0)=5)*Attempts!$AR151:$BU151),0))</f>
        <v/>
      </c>
      <c r="V151">
        <f>IF($A151="","",IFERROR(COUNTIF(INDEX(SubMap!$B$2:$AE$12,MATCH($C151,SubMap!$A$2:$A$12,0),0),5),0))</f>
        <v/>
      </c>
      <c r="W151">
        <f>IF(OR($A151="",V151=0),"",ROUND(U151/V151*100,1))</f>
        <v/>
      </c>
      <c r="X151">
        <f>IF($A151="","",IFERROR(INDEX(Papers!$J$2:$J$12,MATCH($C151,Papers!$A$2:$A$12,0)),""))</f>
        <v/>
      </c>
      <c r="Y151">
        <f>IF($A151="","",IFERROR(SUMPRODUCT((INDEX(SubMap!$B$2:$AE$12,MATCH($C151,SubMap!$A$2:$A$12,0),0)=6)*Attempts!$AR151:$BU151),0))</f>
        <v/>
      </c>
      <c r="Z151">
        <f>IF($A151="","",IFERROR(COUNTIF(INDEX(SubMap!$B$2:$AE$12,MATCH($C151,SubMap!$A$2:$A$12,0),0),6),0))</f>
        <v/>
      </c>
      <c r="AA151">
        <f>IF(OR($A151="",Z151=0),"",ROUND(Y151/Z151*100,1))</f>
        <v/>
      </c>
      <c r="AB151">
        <f>IF($A151="","",IFERROR(INDEX(CHOOSE({1,2,3,4,5,6},D151,H151,L151,P151,T151,X151),MATCH(MIN(G151,K151,O151,S151,W151,AA151),CHOOSE({1,2,3,4,5,6},G151,K151,O151,S151,W151,AA151),0)),""))</f>
        <v/>
      </c>
      <c r="AC151">
        <f>IF($A151="","",IF(COUNT(G151,K151,O151,S151,W151,AA151)=0,"",MIN(G151,K151,O151,S151,W151,AA151)))</f>
        <v/>
      </c>
      <c r="AD151">
        <f>IF($A151="","",IFERROR(INDEX(CHOOSE({1,2,3,4,5,6},IFERROR(INDEX(Papers!$K$2:$K$12,MATCH($C151,Papers!$A$2:$A$12,0)),""),IFERROR(INDEX(Papers!$L$2:$L$12,MATCH($C151,Papers!$A$2:$A$12,0)),""),IFERROR(INDEX(Papers!$M$2:$M$12,MATCH($C151,Papers!$A$2:$A$12,0)),""),IFERROR(INDEX(Papers!$N$2:$N$12,MATCH($C151,Papers!$A$2:$A$12,0)),""),IFERROR(INDEX(Papers!$O$2:$O$12,MATCH($C151,Papers!$A$2:$A$12,0)),""),IFERROR(INDEX(Papers!$P$2:$P$12,MATCH($C151,Papers!$A$2:$A$12,0)),"")),MATCH(MIN(G151,K151,O151,S151,W151,AA151),CHOOSE({1,2,3,4,5,6},G151,K151,O151,S151,W151,AA151),0)),""))</f>
        <v/>
      </c>
      <c r="AE151">
        <f>IF(AC151="","",IF(AC151&lt;50,"Re-teach",IF(AC151&lt;75,"Practice more","Relatively secure")))</f>
        <v/>
      </c>
    </row>
    <row r="152">
      <c r="A152">
        <f>IF(Attempts!A152="","",Attempts!A152)</f>
        <v/>
      </c>
      <c r="B152">
        <f>IF(Attempts!A152="","",Attempts!B152)</f>
        <v/>
      </c>
      <c r="C152">
        <f>IF(Attempts!A152="","",Attempts!D152)</f>
        <v/>
      </c>
      <c r="D152">
        <f>IF($A152="","",IFERROR(INDEX(Papers!$E$2:$E$12,MATCH($C152,Papers!$A$2:$A$12,0)),""))</f>
        <v/>
      </c>
      <c r="E152">
        <f>IF($A152="","",IFERROR(SUMPRODUCT((INDEX(SubMap!$B$2:$AE$12,MATCH($C152,SubMap!$A$2:$A$12,0),0)=1)*Attempts!$AR152:$BU152),0))</f>
        <v/>
      </c>
      <c r="F152">
        <f>IF($A152="","",IFERROR(COUNTIF(INDEX(SubMap!$B$2:$AE$12,MATCH($C152,SubMap!$A$2:$A$12,0),0),1),0))</f>
        <v/>
      </c>
      <c r="G152">
        <f>IF(OR($A152="",F152=0),"",ROUND(E152/F152*100,1))</f>
        <v/>
      </c>
      <c r="H152">
        <f>IF($A152="","",IFERROR(INDEX(Papers!$F$2:$F$12,MATCH($C152,Papers!$A$2:$A$12,0)),""))</f>
        <v/>
      </c>
      <c r="I152">
        <f>IF($A152="","",IFERROR(SUMPRODUCT((INDEX(SubMap!$B$2:$AE$12,MATCH($C152,SubMap!$A$2:$A$12,0),0)=2)*Attempts!$AR152:$BU152),0))</f>
        <v/>
      </c>
      <c r="J152">
        <f>IF($A152="","",IFERROR(COUNTIF(INDEX(SubMap!$B$2:$AE$12,MATCH($C152,SubMap!$A$2:$A$12,0),0),2),0))</f>
        <v/>
      </c>
      <c r="K152">
        <f>IF(OR($A152="",J152=0),"",ROUND(I152/J152*100,1))</f>
        <v/>
      </c>
      <c r="L152">
        <f>IF($A152="","",IFERROR(INDEX(Papers!$G$2:$G$12,MATCH($C152,Papers!$A$2:$A$12,0)),""))</f>
        <v/>
      </c>
      <c r="M152">
        <f>IF($A152="","",IFERROR(SUMPRODUCT((INDEX(SubMap!$B$2:$AE$12,MATCH($C152,SubMap!$A$2:$A$12,0),0)=3)*Attempts!$AR152:$BU152),0))</f>
        <v/>
      </c>
      <c r="N152">
        <f>IF($A152="","",IFERROR(COUNTIF(INDEX(SubMap!$B$2:$AE$12,MATCH($C152,SubMap!$A$2:$A$12,0),0),3),0))</f>
        <v/>
      </c>
      <c r="O152">
        <f>IF(OR($A152="",N152=0),"",ROUND(M152/N152*100,1))</f>
        <v/>
      </c>
      <c r="P152">
        <f>IF($A152="","",IFERROR(INDEX(Papers!$H$2:$H$12,MATCH($C152,Papers!$A$2:$A$12,0)),""))</f>
        <v/>
      </c>
      <c r="Q152">
        <f>IF($A152="","",IFERROR(SUMPRODUCT((INDEX(SubMap!$B$2:$AE$12,MATCH($C152,SubMap!$A$2:$A$12,0),0)=4)*Attempts!$AR152:$BU152),0))</f>
        <v/>
      </c>
      <c r="R152">
        <f>IF($A152="","",IFERROR(COUNTIF(INDEX(SubMap!$B$2:$AE$12,MATCH($C152,SubMap!$A$2:$A$12,0),0),4),0))</f>
        <v/>
      </c>
      <c r="S152">
        <f>IF(OR($A152="",R152=0),"",ROUND(Q152/R152*100,1))</f>
        <v/>
      </c>
      <c r="T152">
        <f>IF($A152="","",IFERROR(INDEX(Papers!$I$2:$I$12,MATCH($C152,Papers!$A$2:$A$12,0)),""))</f>
        <v/>
      </c>
      <c r="U152">
        <f>IF($A152="","",IFERROR(SUMPRODUCT((INDEX(SubMap!$B$2:$AE$12,MATCH($C152,SubMap!$A$2:$A$12,0),0)=5)*Attempts!$AR152:$BU152),0))</f>
        <v/>
      </c>
      <c r="V152">
        <f>IF($A152="","",IFERROR(COUNTIF(INDEX(SubMap!$B$2:$AE$12,MATCH($C152,SubMap!$A$2:$A$12,0),0),5),0))</f>
        <v/>
      </c>
      <c r="W152">
        <f>IF(OR($A152="",V152=0),"",ROUND(U152/V152*100,1))</f>
        <v/>
      </c>
      <c r="X152">
        <f>IF($A152="","",IFERROR(INDEX(Papers!$J$2:$J$12,MATCH($C152,Papers!$A$2:$A$12,0)),""))</f>
        <v/>
      </c>
      <c r="Y152">
        <f>IF($A152="","",IFERROR(SUMPRODUCT((INDEX(SubMap!$B$2:$AE$12,MATCH($C152,SubMap!$A$2:$A$12,0),0)=6)*Attempts!$AR152:$BU152),0))</f>
        <v/>
      </c>
      <c r="Z152">
        <f>IF($A152="","",IFERROR(COUNTIF(INDEX(SubMap!$B$2:$AE$12,MATCH($C152,SubMap!$A$2:$A$12,0),0),6),0))</f>
        <v/>
      </c>
      <c r="AA152">
        <f>IF(OR($A152="",Z152=0),"",ROUND(Y152/Z152*100,1))</f>
        <v/>
      </c>
      <c r="AB152">
        <f>IF($A152="","",IFERROR(INDEX(CHOOSE({1,2,3,4,5,6},D152,H152,L152,P152,T152,X152),MATCH(MIN(G152,K152,O152,S152,W152,AA152),CHOOSE({1,2,3,4,5,6},G152,K152,O152,S152,W152,AA152),0)),""))</f>
        <v/>
      </c>
      <c r="AC152">
        <f>IF($A152="","",IF(COUNT(G152,K152,O152,S152,W152,AA152)=0,"",MIN(G152,K152,O152,S152,W152,AA152)))</f>
        <v/>
      </c>
      <c r="AD152">
        <f>IF($A152="","",IFERROR(INDEX(CHOOSE({1,2,3,4,5,6},IFERROR(INDEX(Papers!$K$2:$K$12,MATCH($C152,Papers!$A$2:$A$12,0)),""),IFERROR(INDEX(Papers!$L$2:$L$12,MATCH($C152,Papers!$A$2:$A$12,0)),""),IFERROR(INDEX(Papers!$M$2:$M$12,MATCH($C152,Papers!$A$2:$A$12,0)),""),IFERROR(INDEX(Papers!$N$2:$N$12,MATCH($C152,Papers!$A$2:$A$12,0)),""),IFERROR(INDEX(Papers!$O$2:$O$12,MATCH($C152,Papers!$A$2:$A$12,0)),""),IFERROR(INDEX(Papers!$P$2:$P$12,MATCH($C152,Papers!$A$2:$A$12,0)),"")),MATCH(MIN(G152,K152,O152,S152,W152,AA152),CHOOSE({1,2,3,4,5,6},G152,K152,O152,S152,W152,AA152),0)),""))</f>
        <v/>
      </c>
      <c r="AE152">
        <f>IF(AC152="","",IF(AC152&lt;50,"Re-teach",IF(AC152&lt;75,"Practice more","Relatively secure")))</f>
        <v/>
      </c>
    </row>
    <row r="153">
      <c r="A153">
        <f>IF(Attempts!A153="","",Attempts!A153)</f>
        <v/>
      </c>
      <c r="B153">
        <f>IF(Attempts!A153="","",Attempts!B153)</f>
        <v/>
      </c>
      <c r="C153">
        <f>IF(Attempts!A153="","",Attempts!D153)</f>
        <v/>
      </c>
      <c r="D153">
        <f>IF($A153="","",IFERROR(INDEX(Papers!$E$2:$E$12,MATCH($C153,Papers!$A$2:$A$12,0)),""))</f>
        <v/>
      </c>
      <c r="E153">
        <f>IF($A153="","",IFERROR(SUMPRODUCT((INDEX(SubMap!$B$2:$AE$12,MATCH($C153,SubMap!$A$2:$A$12,0),0)=1)*Attempts!$AR153:$BU153),0))</f>
        <v/>
      </c>
      <c r="F153">
        <f>IF($A153="","",IFERROR(COUNTIF(INDEX(SubMap!$B$2:$AE$12,MATCH($C153,SubMap!$A$2:$A$12,0),0),1),0))</f>
        <v/>
      </c>
      <c r="G153">
        <f>IF(OR($A153="",F153=0),"",ROUND(E153/F153*100,1))</f>
        <v/>
      </c>
      <c r="H153">
        <f>IF($A153="","",IFERROR(INDEX(Papers!$F$2:$F$12,MATCH($C153,Papers!$A$2:$A$12,0)),""))</f>
        <v/>
      </c>
      <c r="I153">
        <f>IF($A153="","",IFERROR(SUMPRODUCT((INDEX(SubMap!$B$2:$AE$12,MATCH($C153,SubMap!$A$2:$A$12,0),0)=2)*Attempts!$AR153:$BU153),0))</f>
        <v/>
      </c>
      <c r="J153">
        <f>IF($A153="","",IFERROR(COUNTIF(INDEX(SubMap!$B$2:$AE$12,MATCH($C153,SubMap!$A$2:$A$12,0),0),2),0))</f>
        <v/>
      </c>
      <c r="K153">
        <f>IF(OR($A153="",J153=0),"",ROUND(I153/J153*100,1))</f>
        <v/>
      </c>
      <c r="L153">
        <f>IF($A153="","",IFERROR(INDEX(Papers!$G$2:$G$12,MATCH($C153,Papers!$A$2:$A$12,0)),""))</f>
        <v/>
      </c>
      <c r="M153">
        <f>IF($A153="","",IFERROR(SUMPRODUCT((INDEX(SubMap!$B$2:$AE$12,MATCH($C153,SubMap!$A$2:$A$12,0),0)=3)*Attempts!$AR153:$BU153),0))</f>
        <v/>
      </c>
      <c r="N153">
        <f>IF($A153="","",IFERROR(COUNTIF(INDEX(SubMap!$B$2:$AE$12,MATCH($C153,SubMap!$A$2:$A$12,0),0),3),0))</f>
        <v/>
      </c>
      <c r="O153">
        <f>IF(OR($A153="",N153=0),"",ROUND(M153/N153*100,1))</f>
        <v/>
      </c>
      <c r="P153">
        <f>IF($A153="","",IFERROR(INDEX(Papers!$H$2:$H$12,MATCH($C153,Papers!$A$2:$A$12,0)),""))</f>
        <v/>
      </c>
      <c r="Q153">
        <f>IF($A153="","",IFERROR(SUMPRODUCT((INDEX(SubMap!$B$2:$AE$12,MATCH($C153,SubMap!$A$2:$A$12,0),0)=4)*Attempts!$AR153:$BU153),0))</f>
        <v/>
      </c>
      <c r="R153">
        <f>IF($A153="","",IFERROR(COUNTIF(INDEX(SubMap!$B$2:$AE$12,MATCH($C153,SubMap!$A$2:$A$12,0),0),4),0))</f>
        <v/>
      </c>
      <c r="S153">
        <f>IF(OR($A153="",R153=0),"",ROUND(Q153/R153*100,1))</f>
        <v/>
      </c>
      <c r="T153">
        <f>IF($A153="","",IFERROR(INDEX(Papers!$I$2:$I$12,MATCH($C153,Papers!$A$2:$A$12,0)),""))</f>
        <v/>
      </c>
      <c r="U153">
        <f>IF($A153="","",IFERROR(SUMPRODUCT((INDEX(SubMap!$B$2:$AE$12,MATCH($C153,SubMap!$A$2:$A$12,0),0)=5)*Attempts!$AR153:$BU153),0))</f>
        <v/>
      </c>
      <c r="V153">
        <f>IF($A153="","",IFERROR(COUNTIF(INDEX(SubMap!$B$2:$AE$12,MATCH($C153,SubMap!$A$2:$A$12,0),0),5),0))</f>
        <v/>
      </c>
      <c r="W153">
        <f>IF(OR($A153="",V153=0),"",ROUND(U153/V153*100,1))</f>
        <v/>
      </c>
      <c r="X153">
        <f>IF($A153="","",IFERROR(INDEX(Papers!$J$2:$J$12,MATCH($C153,Papers!$A$2:$A$12,0)),""))</f>
        <v/>
      </c>
      <c r="Y153">
        <f>IF($A153="","",IFERROR(SUMPRODUCT((INDEX(SubMap!$B$2:$AE$12,MATCH($C153,SubMap!$A$2:$A$12,0),0)=6)*Attempts!$AR153:$BU153),0))</f>
        <v/>
      </c>
      <c r="Z153">
        <f>IF($A153="","",IFERROR(COUNTIF(INDEX(SubMap!$B$2:$AE$12,MATCH($C153,SubMap!$A$2:$A$12,0),0),6),0))</f>
        <v/>
      </c>
      <c r="AA153">
        <f>IF(OR($A153="",Z153=0),"",ROUND(Y153/Z153*100,1))</f>
        <v/>
      </c>
      <c r="AB153">
        <f>IF($A153="","",IFERROR(INDEX(CHOOSE({1,2,3,4,5,6},D153,H153,L153,P153,T153,X153),MATCH(MIN(G153,K153,O153,S153,W153,AA153),CHOOSE({1,2,3,4,5,6},G153,K153,O153,S153,W153,AA153),0)),""))</f>
        <v/>
      </c>
      <c r="AC153">
        <f>IF($A153="","",IF(COUNT(G153,K153,O153,S153,W153,AA153)=0,"",MIN(G153,K153,O153,S153,W153,AA153)))</f>
        <v/>
      </c>
      <c r="AD153">
        <f>IF($A153="","",IFERROR(INDEX(CHOOSE({1,2,3,4,5,6},IFERROR(INDEX(Papers!$K$2:$K$12,MATCH($C153,Papers!$A$2:$A$12,0)),""),IFERROR(INDEX(Papers!$L$2:$L$12,MATCH($C153,Papers!$A$2:$A$12,0)),""),IFERROR(INDEX(Papers!$M$2:$M$12,MATCH($C153,Papers!$A$2:$A$12,0)),""),IFERROR(INDEX(Papers!$N$2:$N$12,MATCH($C153,Papers!$A$2:$A$12,0)),""),IFERROR(INDEX(Papers!$O$2:$O$12,MATCH($C153,Papers!$A$2:$A$12,0)),""),IFERROR(INDEX(Papers!$P$2:$P$12,MATCH($C153,Papers!$A$2:$A$12,0)),"")),MATCH(MIN(G153,K153,O153,S153,W153,AA153),CHOOSE({1,2,3,4,5,6},G153,K153,O153,S153,W153,AA153),0)),""))</f>
        <v/>
      </c>
      <c r="AE153">
        <f>IF(AC153="","",IF(AC153&lt;50,"Re-teach",IF(AC153&lt;75,"Practice more","Relatively secure")))</f>
        <v/>
      </c>
    </row>
    <row r="154">
      <c r="A154">
        <f>IF(Attempts!A154="","",Attempts!A154)</f>
        <v/>
      </c>
      <c r="B154">
        <f>IF(Attempts!A154="","",Attempts!B154)</f>
        <v/>
      </c>
      <c r="C154">
        <f>IF(Attempts!A154="","",Attempts!D154)</f>
        <v/>
      </c>
      <c r="D154">
        <f>IF($A154="","",IFERROR(INDEX(Papers!$E$2:$E$12,MATCH($C154,Papers!$A$2:$A$12,0)),""))</f>
        <v/>
      </c>
      <c r="E154">
        <f>IF($A154="","",IFERROR(SUMPRODUCT((INDEX(SubMap!$B$2:$AE$12,MATCH($C154,SubMap!$A$2:$A$12,0),0)=1)*Attempts!$AR154:$BU154),0))</f>
        <v/>
      </c>
      <c r="F154">
        <f>IF($A154="","",IFERROR(COUNTIF(INDEX(SubMap!$B$2:$AE$12,MATCH($C154,SubMap!$A$2:$A$12,0),0),1),0))</f>
        <v/>
      </c>
      <c r="G154">
        <f>IF(OR($A154="",F154=0),"",ROUND(E154/F154*100,1))</f>
        <v/>
      </c>
      <c r="H154">
        <f>IF($A154="","",IFERROR(INDEX(Papers!$F$2:$F$12,MATCH($C154,Papers!$A$2:$A$12,0)),""))</f>
        <v/>
      </c>
      <c r="I154">
        <f>IF($A154="","",IFERROR(SUMPRODUCT((INDEX(SubMap!$B$2:$AE$12,MATCH($C154,SubMap!$A$2:$A$12,0),0)=2)*Attempts!$AR154:$BU154),0))</f>
        <v/>
      </c>
      <c r="J154">
        <f>IF($A154="","",IFERROR(COUNTIF(INDEX(SubMap!$B$2:$AE$12,MATCH($C154,SubMap!$A$2:$A$12,0),0),2),0))</f>
        <v/>
      </c>
      <c r="K154">
        <f>IF(OR($A154="",J154=0),"",ROUND(I154/J154*100,1))</f>
        <v/>
      </c>
      <c r="L154">
        <f>IF($A154="","",IFERROR(INDEX(Papers!$G$2:$G$12,MATCH($C154,Papers!$A$2:$A$12,0)),""))</f>
        <v/>
      </c>
      <c r="M154">
        <f>IF($A154="","",IFERROR(SUMPRODUCT((INDEX(SubMap!$B$2:$AE$12,MATCH($C154,SubMap!$A$2:$A$12,0),0)=3)*Attempts!$AR154:$BU154),0))</f>
        <v/>
      </c>
      <c r="N154">
        <f>IF($A154="","",IFERROR(COUNTIF(INDEX(SubMap!$B$2:$AE$12,MATCH($C154,SubMap!$A$2:$A$12,0),0),3),0))</f>
        <v/>
      </c>
      <c r="O154">
        <f>IF(OR($A154="",N154=0),"",ROUND(M154/N154*100,1))</f>
        <v/>
      </c>
      <c r="P154">
        <f>IF($A154="","",IFERROR(INDEX(Papers!$H$2:$H$12,MATCH($C154,Papers!$A$2:$A$12,0)),""))</f>
        <v/>
      </c>
      <c r="Q154">
        <f>IF($A154="","",IFERROR(SUMPRODUCT((INDEX(SubMap!$B$2:$AE$12,MATCH($C154,SubMap!$A$2:$A$12,0),0)=4)*Attempts!$AR154:$BU154),0))</f>
        <v/>
      </c>
      <c r="R154">
        <f>IF($A154="","",IFERROR(COUNTIF(INDEX(SubMap!$B$2:$AE$12,MATCH($C154,SubMap!$A$2:$A$12,0),0),4),0))</f>
        <v/>
      </c>
      <c r="S154">
        <f>IF(OR($A154="",R154=0),"",ROUND(Q154/R154*100,1))</f>
        <v/>
      </c>
      <c r="T154">
        <f>IF($A154="","",IFERROR(INDEX(Papers!$I$2:$I$12,MATCH($C154,Papers!$A$2:$A$12,0)),""))</f>
        <v/>
      </c>
      <c r="U154">
        <f>IF($A154="","",IFERROR(SUMPRODUCT((INDEX(SubMap!$B$2:$AE$12,MATCH($C154,SubMap!$A$2:$A$12,0),0)=5)*Attempts!$AR154:$BU154),0))</f>
        <v/>
      </c>
      <c r="V154">
        <f>IF($A154="","",IFERROR(COUNTIF(INDEX(SubMap!$B$2:$AE$12,MATCH($C154,SubMap!$A$2:$A$12,0),0),5),0))</f>
        <v/>
      </c>
      <c r="W154">
        <f>IF(OR($A154="",V154=0),"",ROUND(U154/V154*100,1))</f>
        <v/>
      </c>
      <c r="X154">
        <f>IF($A154="","",IFERROR(INDEX(Papers!$J$2:$J$12,MATCH($C154,Papers!$A$2:$A$12,0)),""))</f>
        <v/>
      </c>
      <c r="Y154">
        <f>IF($A154="","",IFERROR(SUMPRODUCT((INDEX(SubMap!$B$2:$AE$12,MATCH($C154,SubMap!$A$2:$A$12,0),0)=6)*Attempts!$AR154:$BU154),0))</f>
        <v/>
      </c>
      <c r="Z154">
        <f>IF($A154="","",IFERROR(COUNTIF(INDEX(SubMap!$B$2:$AE$12,MATCH($C154,SubMap!$A$2:$A$12,0),0),6),0))</f>
        <v/>
      </c>
      <c r="AA154">
        <f>IF(OR($A154="",Z154=0),"",ROUND(Y154/Z154*100,1))</f>
        <v/>
      </c>
      <c r="AB154">
        <f>IF($A154="","",IFERROR(INDEX(CHOOSE({1,2,3,4,5,6},D154,H154,L154,P154,T154,X154),MATCH(MIN(G154,K154,O154,S154,W154,AA154),CHOOSE({1,2,3,4,5,6},G154,K154,O154,S154,W154,AA154),0)),""))</f>
        <v/>
      </c>
      <c r="AC154">
        <f>IF($A154="","",IF(COUNT(G154,K154,O154,S154,W154,AA154)=0,"",MIN(G154,K154,O154,S154,W154,AA154)))</f>
        <v/>
      </c>
      <c r="AD154">
        <f>IF($A154="","",IFERROR(INDEX(CHOOSE({1,2,3,4,5,6},IFERROR(INDEX(Papers!$K$2:$K$12,MATCH($C154,Papers!$A$2:$A$12,0)),""),IFERROR(INDEX(Papers!$L$2:$L$12,MATCH($C154,Papers!$A$2:$A$12,0)),""),IFERROR(INDEX(Papers!$M$2:$M$12,MATCH($C154,Papers!$A$2:$A$12,0)),""),IFERROR(INDEX(Papers!$N$2:$N$12,MATCH($C154,Papers!$A$2:$A$12,0)),""),IFERROR(INDEX(Papers!$O$2:$O$12,MATCH($C154,Papers!$A$2:$A$12,0)),""),IFERROR(INDEX(Papers!$P$2:$P$12,MATCH($C154,Papers!$A$2:$A$12,0)),"")),MATCH(MIN(G154,K154,O154,S154,W154,AA154),CHOOSE({1,2,3,4,5,6},G154,K154,O154,S154,W154,AA154),0)),""))</f>
        <v/>
      </c>
      <c r="AE154">
        <f>IF(AC154="","",IF(AC154&lt;50,"Re-teach",IF(AC154&lt;75,"Practice more","Relatively secure")))</f>
        <v/>
      </c>
    </row>
    <row r="155">
      <c r="A155">
        <f>IF(Attempts!A155="","",Attempts!A155)</f>
        <v/>
      </c>
      <c r="B155">
        <f>IF(Attempts!A155="","",Attempts!B155)</f>
        <v/>
      </c>
      <c r="C155">
        <f>IF(Attempts!A155="","",Attempts!D155)</f>
        <v/>
      </c>
      <c r="D155">
        <f>IF($A155="","",IFERROR(INDEX(Papers!$E$2:$E$12,MATCH($C155,Papers!$A$2:$A$12,0)),""))</f>
        <v/>
      </c>
      <c r="E155">
        <f>IF($A155="","",IFERROR(SUMPRODUCT((INDEX(SubMap!$B$2:$AE$12,MATCH($C155,SubMap!$A$2:$A$12,0),0)=1)*Attempts!$AR155:$BU155),0))</f>
        <v/>
      </c>
      <c r="F155">
        <f>IF($A155="","",IFERROR(COUNTIF(INDEX(SubMap!$B$2:$AE$12,MATCH($C155,SubMap!$A$2:$A$12,0),0),1),0))</f>
        <v/>
      </c>
      <c r="G155">
        <f>IF(OR($A155="",F155=0),"",ROUND(E155/F155*100,1))</f>
        <v/>
      </c>
      <c r="H155">
        <f>IF($A155="","",IFERROR(INDEX(Papers!$F$2:$F$12,MATCH($C155,Papers!$A$2:$A$12,0)),""))</f>
        <v/>
      </c>
      <c r="I155">
        <f>IF($A155="","",IFERROR(SUMPRODUCT((INDEX(SubMap!$B$2:$AE$12,MATCH($C155,SubMap!$A$2:$A$12,0),0)=2)*Attempts!$AR155:$BU155),0))</f>
        <v/>
      </c>
      <c r="J155">
        <f>IF($A155="","",IFERROR(COUNTIF(INDEX(SubMap!$B$2:$AE$12,MATCH($C155,SubMap!$A$2:$A$12,0),0),2),0))</f>
        <v/>
      </c>
      <c r="K155">
        <f>IF(OR($A155="",J155=0),"",ROUND(I155/J155*100,1))</f>
        <v/>
      </c>
      <c r="L155">
        <f>IF($A155="","",IFERROR(INDEX(Papers!$G$2:$G$12,MATCH($C155,Papers!$A$2:$A$12,0)),""))</f>
        <v/>
      </c>
      <c r="M155">
        <f>IF($A155="","",IFERROR(SUMPRODUCT((INDEX(SubMap!$B$2:$AE$12,MATCH($C155,SubMap!$A$2:$A$12,0),0)=3)*Attempts!$AR155:$BU155),0))</f>
        <v/>
      </c>
      <c r="N155">
        <f>IF($A155="","",IFERROR(COUNTIF(INDEX(SubMap!$B$2:$AE$12,MATCH($C155,SubMap!$A$2:$A$12,0),0),3),0))</f>
        <v/>
      </c>
      <c r="O155">
        <f>IF(OR($A155="",N155=0),"",ROUND(M155/N155*100,1))</f>
        <v/>
      </c>
      <c r="P155">
        <f>IF($A155="","",IFERROR(INDEX(Papers!$H$2:$H$12,MATCH($C155,Papers!$A$2:$A$12,0)),""))</f>
        <v/>
      </c>
      <c r="Q155">
        <f>IF($A155="","",IFERROR(SUMPRODUCT((INDEX(SubMap!$B$2:$AE$12,MATCH($C155,SubMap!$A$2:$A$12,0),0)=4)*Attempts!$AR155:$BU155),0))</f>
        <v/>
      </c>
      <c r="R155">
        <f>IF($A155="","",IFERROR(COUNTIF(INDEX(SubMap!$B$2:$AE$12,MATCH($C155,SubMap!$A$2:$A$12,0),0),4),0))</f>
        <v/>
      </c>
      <c r="S155">
        <f>IF(OR($A155="",R155=0),"",ROUND(Q155/R155*100,1))</f>
        <v/>
      </c>
      <c r="T155">
        <f>IF($A155="","",IFERROR(INDEX(Papers!$I$2:$I$12,MATCH($C155,Papers!$A$2:$A$12,0)),""))</f>
        <v/>
      </c>
      <c r="U155">
        <f>IF($A155="","",IFERROR(SUMPRODUCT((INDEX(SubMap!$B$2:$AE$12,MATCH($C155,SubMap!$A$2:$A$12,0),0)=5)*Attempts!$AR155:$BU155),0))</f>
        <v/>
      </c>
      <c r="V155">
        <f>IF($A155="","",IFERROR(COUNTIF(INDEX(SubMap!$B$2:$AE$12,MATCH($C155,SubMap!$A$2:$A$12,0),0),5),0))</f>
        <v/>
      </c>
      <c r="W155">
        <f>IF(OR($A155="",V155=0),"",ROUND(U155/V155*100,1))</f>
        <v/>
      </c>
      <c r="X155">
        <f>IF($A155="","",IFERROR(INDEX(Papers!$J$2:$J$12,MATCH($C155,Papers!$A$2:$A$12,0)),""))</f>
        <v/>
      </c>
      <c r="Y155">
        <f>IF($A155="","",IFERROR(SUMPRODUCT((INDEX(SubMap!$B$2:$AE$12,MATCH($C155,SubMap!$A$2:$A$12,0),0)=6)*Attempts!$AR155:$BU155),0))</f>
        <v/>
      </c>
      <c r="Z155">
        <f>IF($A155="","",IFERROR(COUNTIF(INDEX(SubMap!$B$2:$AE$12,MATCH($C155,SubMap!$A$2:$A$12,0),0),6),0))</f>
        <v/>
      </c>
      <c r="AA155">
        <f>IF(OR($A155="",Z155=0),"",ROUND(Y155/Z155*100,1))</f>
        <v/>
      </c>
      <c r="AB155">
        <f>IF($A155="","",IFERROR(INDEX(CHOOSE({1,2,3,4,5,6},D155,H155,L155,P155,T155,X155),MATCH(MIN(G155,K155,O155,S155,W155,AA155),CHOOSE({1,2,3,4,5,6},G155,K155,O155,S155,W155,AA155),0)),""))</f>
        <v/>
      </c>
      <c r="AC155">
        <f>IF($A155="","",IF(COUNT(G155,K155,O155,S155,W155,AA155)=0,"",MIN(G155,K155,O155,S155,W155,AA155)))</f>
        <v/>
      </c>
      <c r="AD155">
        <f>IF($A155="","",IFERROR(INDEX(CHOOSE({1,2,3,4,5,6},IFERROR(INDEX(Papers!$K$2:$K$12,MATCH($C155,Papers!$A$2:$A$12,0)),""),IFERROR(INDEX(Papers!$L$2:$L$12,MATCH($C155,Papers!$A$2:$A$12,0)),""),IFERROR(INDEX(Papers!$M$2:$M$12,MATCH($C155,Papers!$A$2:$A$12,0)),""),IFERROR(INDEX(Papers!$N$2:$N$12,MATCH($C155,Papers!$A$2:$A$12,0)),""),IFERROR(INDEX(Papers!$O$2:$O$12,MATCH($C155,Papers!$A$2:$A$12,0)),""),IFERROR(INDEX(Papers!$P$2:$P$12,MATCH($C155,Papers!$A$2:$A$12,0)),"")),MATCH(MIN(G155,K155,O155,S155,W155,AA155),CHOOSE({1,2,3,4,5,6},G155,K155,O155,S155,W155,AA155),0)),""))</f>
        <v/>
      </c>
      <c r="AE155">
        <f>IF(AC155="","",IF(AC155&lt;50,"Re-teach",IF(AC155&lt;75,"Practice more","Relatively secure")))</f>
        <v/>
      </c>
    </row>
    <row r="156">
      <c r="A156">
        <f>IF(Attempts!A156="","",Attempts!A156)</f>
        <v/>
      </c>
      <c r="B156">
        <f>IF(Attempts!A156="","",Attempts!B156)</f>
        <v/>
      </c>
      <c r="C156">
        <f>IF(Attempts!A156="","",Attempts!D156)</f>
        <v/>
      </c>
      <c r="D156">
        <f>IF($A156="","",IFERROR(INDEX(Papers!$E$2:$E$12,MATCH($C156,Papers!$A$2:$A$12,0)),""))</f>
        <v/>
      </c>
      <c r="E156">
        <f>IF($A156="","",IFERROR(SUMPRODUCT((INDEX(SubMap!$B$2:$AE$12,MATCH($C156,SubMap!$A$2:$A$12,0),0)=1)*Attempts!$AR156:$BU156),0))</f>
        <v/>
      </c>
      <c r="F156">
        <f>IF($A156="","",IFERROR(COUNTIF(INDEX(SubMap!$B$2:$AE$12,MATCH($C156,SubMap!$A$2:$A$12,0),0),1),0))</f>
        <v/>
      </c>
      <c r="G156">
        <f>IF(OR($A156="",F156=0),"",ROUND(E156/F156*100,1))</f>
        <v/>
      </c>
      <c r="H156">
        <f>IF($A156="","",IFERROR(INDEX(Papers!$F$2:$F$12,MATCH($C156,Papers!$A$2:$A$12,0)),""))</f>
        <v/>
      </c>
      <c r="I156">
        <f>IF($A156="","",IFERROR(SUMPRODUCT((INDEX(SubMap!$B$2:$AE$12,MATCH($C156,SubMap!$A$2:$A$12,0),0)=2)*Attempts!$AR156:$BU156),0))</f>
        <v/>
      </c>
      <c r="J156">
        <f>IF($A156="","",IFERROR(COUNTIF(INDEX(SubMap!$B$2:$AE$12,MATCH($C156,SubMap!$A$2:$A$12,0),0),2),0))</f>
        <v/>
      </c>
      <c r="K156">
        <f>IF(OR($A156="",J156=0),"",ROUND(I156/J156*100,1))</f>
        <v/>
      </c>
      <c r="L156">
        <f>IF($A156="","",IFERROR(INDEX(Papers!$G$2:$G$12,MATCH($C156,Papers!$A$2:$A$12,0)),""))</f>
        <v/>
      </c>
      <c r="M156">
        <f>IF($A156="","",IFERROR(SUMPRODUCT((INDEX(SubMap!$B$2:$AE$12,MATCH($C156,SubMap!$A$2:$A$12,0),0)=3)*Attempts!$AR156:$BU156),0))</f>
        <v/>
      </c>
      <c r="N156">
        <f>IF($A156="","",IFERROR(COUNTIF(INDEX(SubMap!$B$2:$AE$12,MATCH($C156,SubMap!$A$2:$A$12,0),0),3),0))</f>
        <v/>
      </c>
      <c r="O156">
        <f>IF(OR($A156="",N156=0),"",ROUND(M156/N156*100,1))</f>
        <v/>
      </c>
      <c r="P156">
        <f>IF($A156="","",IFERROR(INDEX(Papers!$H$2:$H$12,MATCH($C156,Papers!$A$2:$A$12,0)),""))</f>
        <v/>
      </c>
      <c r="Q156">
        <f>IF($A156="","",IFERROR(SUMPRODUCT((INDEX(SubMap!$B$2:$AE$12,MATCH($C156,SubMap!$A$2:$A$12,0),0)=4)*Attempts!$AR156:$BU156),0))</f>
        <v/>
      </c>
      <c r="R156">
        <f>IF($A156="","",IFERROR(COUNTIF(INDEX(SubMap!$B$2:$AE$12,MATCH($C156,SubMap!$A$2:$A$12,0),0),4),0))</f>
        <v/>
      </c>
      <c r="S156">
        <f>IF(OR($A156="",R156=0),"",ROUND(Q156/R156*100,1))</f>
        <v/>
      </c>
      <c r="T156">
        <f>IF($A156="","",IFERROR(INDEX(Papers!$I$2:$I$12,MATCH($C156,Papers!$A$2:$A$12,0)),""))</f>
        <v/>
      </c>
      <c r="U156">
        <f>IF($A156="","",IFERROR(SUMPRODUCT((INDEX(SubMap!$B$2:$AE$12,MATCH($C156,SubMap!$A$2:$A$12,0),0)=5)*Attempts!$AR156:$BU156),0))</f>
        <v/>
      </c>
      <c r="V156">
        <f>IF($A156="","",IFERROR(COUNTIF(INDEX(SubMap!$B$2:$AE$12,MATCH($C156,SubMap!$A$2:$A$12,0),0),5),0))</f>
        <v/>
      </c>
      <c r="W156">
        <f>IF(OR($A156="",V156=0),"",ROUND(U156/V156*100,1))</f>
        <v/>
      </c>
      <c r="X156">
        <f>IF($A156="","",IFERROR(INDEX(Papers!$J$2:$J$12,MATCH($C156,Papers!$A$2:$A$12,0)),""))</f>
        <v/>
      </c>
      <c r="Y156">
        <f>IF($A156="","",IFERROR(SUMPRODUCT((INDEX(SubMap!$B$2:$AE$12,MATCH($C156,SubMap!$A$2:$A$12,0),0)=6)*Attempts!$AR156:$BU156),0))</f>
        <v/>
      </c>
      <c r="Z156">
        <f>IF($A156="","",IFERROR(COUNTIF(INDEX(SubMap!$B$2:$AE$12,MATCH($C156,SubMap!$A$2:$A$12,0),0),6),0))</f>
        <v/>
      </c>
      <c r="AA156">
        <f>IF(OR($A156="",Z156=0),"",ROUND(Y156/Z156*100,1))</f>
        <v/>
      </c>
      <c r="AB156">
        <f>IF($A156="","",IFERROR(INDEX(CHOOSE({1,2,3,4,5,6},D156,H156,L156,P156,T156,X156),MATCH(MIN(G156,K156,O156,S156,W156,AA156),CHOOSE({1,2,3,4,5,6},G156,K156,O156,S156,W156,AA156),0)),""))</f>
        <v/>
      </c>
      <c r="AC156">
        <f>IF($A156="","",IF(COUNT(G156,K156,O156,S156,W156,AA156)=0,"",MIN(G156,K156,O156,S156,W156,AA156)))</f>
        <v/>
      </c>
      <c r="AD156">
        <f>IF($A156="","",IFERROR(INDEX(CHOOSE({1,2,3,4,5,6},IFERROR(INDEX(Papers!$K$2:$K$12,MATCH($C156,Papers!$A$2:$A$12,0)),""),IFERROR(INDEX(Papers!$L$2:$L$12,MATCH($C156,Papers!$A$2:$A$12,0)),""),IFERROR(INDEX(Papers!$M$2:$M$12,MATCH($C156,Papers!$A$2:$A$12,0)),""),IFERROR(INDEX(Papers!$N$2:$N$12,MATCH($C156,Papers!$A$2:$A$12,0)),""),IFERROR(INDEX(Papers!$O$2:$O$12,MATCH($C156,Papers!$A$2:$A$12,0)),""),IFERROR(INDEX(Papers!$P$2:$P$12,MATCH($C156,Papers!$A$2:$A$12,0)),"")),MATCH(MIN(G156,K156,O156,S156,W156,AA156),CHOOSE({1,2,3,4,5,6},G156,K156,O156,S156,W156,AA156),0)),""))</f>
        <v/>
      </c>
      <c r="AE156">
        <f>IF(AC156="","",IF(AC156&lt;50,"Re-teach",IF(AC156&lt;75,"Practice more","Relatively secure")))</f>
        <v/>
      </c>
    </row>
    <row r="157">
      <c r="A157">
        <f>IF(Attempts!A157="","",Attempts!A157)</f>
        <v/>
      </c>
      <c r="B157">
        <f>IF(Attempts!A157="","",Attempts!B157)</f>
        <v/>
      </c>
      <c r="C157">
        <f>IF(Attempts!A157="","",Attempts!D157)</f>
        <v/>
      </c>
      <c r="D157">
        <f>IF($A157="","",IFERROR(INDEX(Papers!$E$2:$E$12,MATCH($C157,Papers!$A$2:$A$12,0)),""))</f>
        <v/>
      </c>
      <c r="E157">
        <f>IF($A157="","",IFERROR(SUMPRODUCT((INDEX(SubMap!$B$2:$AE$12,MATCH($C157,SubMap!$A$2:$A$12,0),0)=1)*Attempts!$AR157:$BU157),0))</f>
        <v/>
      </c>
      <c r="F157">
        <f>IF($A157="","",IFERROR(COUNTIF(INDEX(SubMap!$B$2:$AE$12,MATCH($C157,SubMap!$A$2:$A$12,0),0),1),0))</f>
        <v/>
      </c>
      <c r="G157">
        <f>IF(OR($A157="",F157=0),"",ROUND(E157/F157*100,1))</f>
        <v/>
      </c>
      <c r="H157">
        <f>IF($A157="","",IFERROR(INDEX(Papers!$F$2:$F$12,MATCH($C157,Papers!$A$2:$A$12,0)),""))</f>
        <v/>
      </c>
      <c r="I157">
        <f>IF($A157="","",IFERROR(SUMPRODUCT((INDEX(SubMap!$B$2:$AE$12,MATCH($C157,SubMap!$A$2:$A$12,0),0)=2)*Attempts!$AR157:$BU157),0))</f>
        <v/>
      </c>
      <c r="J157">
        <f>IF($A157="","",IFERROR(COUNTIF(INDEX(SubMap!$B$2:$AE$12,MATCH($C157,SubMap!$A$2:$A$12,0),0),2),0))</f>
        <v/>
      </c>
      <c r="K157">
        <f>IF(OR($A157="",J157=0),"",ROUND(I157/J157*100,1))</f>
        <v/>
      </c>
      <c r="L157">
        <f>IF($A157="","",IFERROR(INDEX(Papers!$G$2:$G$12,MATCH($C157,Papers!$A$2:$A$12,0)),""))</f>
        <v/>
      </c>
      <c r="M157">
        <f>IF($A157="","",IFERROR(SUMPRODUCT((INDEX(SubMap!$B$2:$AE$12,MATCH($C157,SubMap!$A$2:$A$12,0),0)=3)*Attempts!$AR157:$BU157),0))</f>
        <v/>
      </c>
      <c r="N157">
        <f>IF($A157="","",IFERROR(COUNTIF(INDEX(SubMap!$B$2:$AE$12,MATCH($C157,SubMap!$A$2:$A$12,0),0),3),0))</f>
        <v/>
      </c>
      <c r="O157">
        <f>IF(OR($A157="",N157=0),"",ROUND(M157/N157*100,1))</f>
        <v/>
      </c>
      <c r="P157">
        <f>IF($A157="","",IFERROR(INDEX(Papers!$H$2:$H$12,MATCH($C157,Papers!$A$2:$A$12,0)),""))</f>
        <v/>
      </c>
      <c r="Q157">
        <f>IF($A157="","",IFERROR(SUMPRODUCT((INDEX(SubMap!$B$2:$AE$12,MATCH($C157,SubMap!$A$2:$A$12,0),0)=4)*Attempts!$AR157:$BU157),0))</f>
        <v/>
      </c>
      <c r="R157">
        <f>IF($A157="","",IFERROR(COUNTIF(INDEX(SubMap!$B$2:$AE$12,MATCH($C157,SubMap!$A$2:$A$12,0),0),4),0))</f>
        <v/>
      </c>
      <c r="S157">
        <f>IF(OR($A157="",R157=0),"",ROUND(Q157/R157*100,1))</f>
        <v/>
      </c>
      <c r="T157">
        <f>IF($A157="","",IFERROR(INDEX(Papers!$I$2:$I$12,MATCH($C157,Papers!$A$2:$A$12,0)),""))</f>
        <v/>
      </c>
      <c r="U157">
        <f>IF($A157="","",IFERROR(SUMPRODUCT((INDEX(SubMap!$B$2:$AE$12,MATCH($C157,SubMap!$A$2:$A$12,0),0)=5)*Attempts!$AR157:$BU157),0))</f>
        <v/>
      </c>
      <c r="V157">
        <f>IF($A157="","",IFERROR(COUNTIF(INDEX(SubMap!$B$2:$AE$12,MATCH($C157,SubMap!$A$2:$A$12,0),0),5),0))</f>
        <v/>
      </c>
      <c r="W157">
        <f>IF(OR($A157="",V157=0),"",ROUND(U157/V157*100,1))</f>
        <v/>
      </c>
      <c r="X157">
        <f>IF($A157="","",IFERROR(INDEX(Papers!$J$2:$J$12,MATCH($C157,Papers!$A$2:$A$12,0)),""))</f>
        <v/>
      </c>
      <c r="Y157">
        <f>IF($A157="","",IFERROR(SUMPRODUCT((INDEX(SubMap!$B$2:$AE$12,MATCH($C157,SubMap!$A$2:$A$12,0),0)=6)*Attempts!$AR157:$BU157),0))</f>
        <v/>
      </c>
      <c r="Z157">
        <f>IF($A157="","",IFERROR(COUNTIF(INDEX(SubMap!$B$2:$AE$12,MATCH($C157,SubMap!$A$2:$A$12,0),0),6),0))</f>
        <v/>
      </c>
      <c r="AA157">
        <f>IF(OR($A157="",Z157=0),"",ROUND(Y157/Z157*100,1))</f>
        <v/>
      </c>
      <c r="AB157">
        <f>IF($A157="","",IFERROR(INDEX(CHOOSE({1,2,3,4,5,6},D157,H157,L157,P157,T157,X157),MATCH(MIN(G157,K157,O157,S157,W157,AA157),CHOOSE({1,2,3,4,5,6},G157,K157,O157,S157,W157,AA157),0)),""))</f>
        <v/>
      </c>
      <c r="AC157">
        <f>IF($A157="","",IF(COUNT(G157,K157,O157,S157,W157,AA157)=0,"",MIN(G157,K157,O157,S157,W157,AA157)))</f>
        <v/>
      </c>
      <c r="AD157">
        <f>IF($A157="","",IFERROR(INDEX(CHOOSE({1,2,3,4,5,6},IFERROR(INDEX(Papers!$K$2:$K$12,MATCH($C157,Papers!$A$2:$A$12,0)),""),IFERROR(INDEX(Papers!$L$2:$L$12,MATCH($C157,Papers!$A$2:$A$12,0)),""),IFERROR(INDEX(Papers!$M$2:$M$12,MATCH($C157,Papers!$A$2:$A$12,0)),""),IFERROR(INDEX(Papers!$N$2:$N$12,MATCH($C157,Papers!$A$2:$A$12,0)),""),IFERROR(INDEX(Papers!$O$2:$O$12,MATCH($C157,Papers!$A$2:$A$12,0)),""),IFERROR(INDEX(Papers!$P$2:$P$12,MATCH($C157,Papers!$A$2:$A$12,0)),"")),MATCH(MIN(G157,K157,O157,S157,W157,AA157),CHOOSE({1,2,3,4,5,6},G157,K157,O157,S157,W157,AA157),0)),""))</f>
        <v/>
      </c>
      <c r="AE157">
        <f>IF(AC157="","",IF(AC157&lt;50,"Re-teach",IF(AC157&lt;75,"Practice more","Relatively secure")))</f>
        <v/>
      </c>
    </row>
    <row r="158">
      <c r="A158">
        <f>IF(Attempts!A158="","",Attempts!A158)</f>
        <v/>
      </c>
      <c r="B158">
        <f>IF(Attempts!A158="","",Attempts!B158)</f>
        <v/>
      </c>
      <c r="C158">
        <f>IF(Attempts!A158="","",Attempts!D158)</f>
        <v/>
      </c>
      <c r="D158">
        <f>IF($A158="","",IFERROR(INDEX(Papers!$E$2:$E$12,MATCH($C158,Papers!$A$2:$A$12,0)),""))</f>
        <v/>
      </c>
      <c r="E158">
        <f>IF($A158="","",IFERROR(SUMPRODUCT((INDEX(SubMap!$B$2:$AE$12,MATCH($C158,SubMap!$A$2:$A$12,0),0)=1)*Attempts!$AR158:$BU158),0))</f>
        <v/>
      </c>
      <c r="F158">
        <f>IF($A158="","",IFERROR(COUNTIF(INDEX(SubMap!$B$2:$AE$12,MATCH($C158,SubMap!$A$2:$A$12,0),0),1),0))</f>
        <v/>
      </c>
      <c r="G158">
        <f>IF(OR($A158="",F158=0),"",ROUND(E158/F158*100,1))</f>
        <v/>
      </c>
      <c r="H158">
        <f>IF($A158="","",IFERROR(INDEX(Papers!$F$2:$F$12,MATCH($C158,Papers!$A$2:$A$12,0)),""))</f>
        <v/>
      </c>
      <c r="I158">
        <f>IF($A158="","",IFERROR(SUMPRODUCT((INDEX(SubMap!$B$2:$AE$12,MATCH($C158,SubMap!$A$2:$A$12,0),0)=2)*Attempts!$AR158:$BU158),0))</f>
        <v/>
      </c>
      <c r="J158">
        <f>IF($A158="","",IFERROR(COUNTIF(INDEX(SubMap!$B$2:$AE$12,MATCH($C158,SubMap!$A$2:$A$12,0),0),2),0))</f>
        <v/>
      </c>
      <c r="K158">
        <f>IF(OR($A158="",J158=0),"",ROUND(I158/J158*100,1))</f>
        <v/>
      </c>
      <c r="L158">
        <f>IF($A158="","",IFERROR(INDEX(Papers!$G$2:$G$12,MATCH($C158,Papers!$A$2:$A$12,0)),""))</f>
        <v/>
      </c>
      <c r="M158">
        <f>IF($A158="","",IFERROR(SUMPRODUCT((INDEX(SubMap!$B$2:$AE$12,MATCH($C158,SubMap!$A$2:$A$12,0),0)=3)*Attempts!$AR158:$BU158),0))</f>
        <v/>
      </c>
      <c r="N158">
        <f>IF($A158="","",IFERROR(COUNTIF(INDEX(SubMap!$B$2:$AE$12,MATCH($C158,SubMap!$A$2:$A$12,0),0),3),0))</f>
        <v/>
      </c>
      <c r="O158">
        <f>IF(OR($A158="",N158=0),"",ROUND(M158/N158*100,1))</f>
        <v/>
      </c>
      <c r="P158">
        <f>IF($A158="","",IFERROR(INDEX(Papers!$H$2:$H$12,MATCH($C158,Papers!$A$2:$A$12,0)),""))</f>
        <v/>
      </c>
      <c r="Q158">
        <f>IF($A158="","",IFERROR(SUMPRODUCT((INDEX(SubMap!$B$2:$AE$12,MATCH($C158,SubMap!$A$2:$A$12,0),0)=4)*Attempts!$AR158:$BU158),0))</f>
        <v/>
      </c>
      <c r="R158">
        <f>IF($A158="","",IFERROR(COUNTIF(INDEX(SubMap!$B$2:$AE$12,MATCH($C158,SubMap!$A$2:$A$12,0),0),4),0))</f>
        <v/>
      </c>
      <c r="S158">
        <f>IF(OR($A158="",R158=0),"",ROUND(Q158/R158*100,1))</f>
        <v/>
      </c>
      <c r="T158">
        <f>IF($A158="","",IFERROR(INDEX(Papers!$I$2:$I$12,MATCH($C158,Papers!$A$2:$A$12,0)),""))</f>
        <v/>
      </c>
      <c r="U158">
        <f>IF($A158="","",IFERROR(SUMPRODUCT((INDEX(SubMap!$B$2:$AE$12,MATCH($C158,SubMap!$A$2:$A$12,0),0)=5)*Attempts!$AR158:$BU158),0))</f>
        <v/>
      </c>
      <c r="V158">
        <f>IF($A158="","",IFERROR(COUNTIF(INDEX(SubMap!$B$2:$AE$12,MATCH($C158,SubMap!$A$2:$A$12,0),0),5),0))</f>
        <v/>
      </c>
      <c r="W158">
        <f>IF(OR($A158="",V158=0),"",ROUND(U158/V158*100,1))</f>
        <v/>
      </c>
      <c r="X158">
        <f>IF($A158="","",IFERROR(INDEX(Papers!$J$2:$J$12,MATCH($C158,Papers!$A$2:$A$12,0)),""))</f>
        <v/>
      </c>
      <c r="Y158">
        <f>IF($A158="","",IFERROR(SUMPRODUCT((INDEX(SubMap!$B$2:$AE$12,MATCH($C158,SubMap!$A$2:$A$12,0),0)=6)*Attempts!$AR158:$BU158),0))</f>
        <v/>
      </c>
      <c r="Z158">
        <f>IF($A158="","",IFERROR(COUNTIF(INDEX(SubMap!$B$2:$AE$12,MATCH($C158,SubMap!$A$2:$A$12,0),0),6),0))</f>
        <v/>
      </c>
      <c r="AA158">
        <f>IF(OR($A158="",Z158=0),"",ROUND(Y158/Z158*100,1))</f>
        <v/>
      </c>
      <c r="AB158">
        <f>IF($A158="","",IFERROR(INDEX(CHOOSE({1,2,3,4,5,6},D158,H158,L158,P158,T158,X158),MATCH(MIN(G158,K158,O158,S158,W158,AA158),CHOOSE({1,2,3,4,5,6},G158,K158,O158,S158,W158,AA158),0)),""))</f>
        <v/>
      </c>
      <c r="AC158">
        <f>IF($A158="","",IF(COUNT(G158,K158,O158,S158,W158,AA158)=0,"",MIN(G158,K158,O158,S158,W158,AA158)))</f>
        <v/>
      </c>
      <c r="AD158">
        <f>IF($A158="","",IFERROR(INDEX(CHOOSE({1,2,3,4,5,6},IFERROR(INDEX(Papers!$K$2:$K$12,MATCH($C158,Papers!$A$2:$A$12,0)),""),IFERROR(INDEX(Papers!$L$2:$L$12,MATCH($C158,Papers!$A$2:$A$12,0)),""),IFERROR(INDEX(Papers!$M$2:$M$12,MATCH($C158,Papers!$A$2:$A$12,0)),""),IFERROR(INDEX(Papers!$N$2:$N$12,MATCH($C158,Papers!$A$2:$A$12,0)),""),IFERROR(INDEX(Papers!$O$2:$O$12,MATCH($C158,Papers!$A$2:$A$12,0)),""),IFERROR(INDEX(Papers!$P$2:$P$12,MATCH($C158,Papers!$A$2:$A$12,0)),"")),MATCH(MIN(G158,K158,O158,S158,W158,AA158),CHOOSE({1,2,3,4,5,6},G158,K158,O158,S158,W158,AA158),0)),""))</f>
        <v/>
      </c>
      <c r="AE158">
        <f>IF(AC158="","",IF(AC158&lt;50,"Re-teach",IF(AC158&lt;75,"Practice more","Relatively secure")))</f>
        <v/>
      </c>
    </row>
    <row r="159">
      <c r="A159">
        <f>IF(Attempts!A159="","",Attempts!A159)</f>
        <v/>
      </c>
      <c r="B159">
        <f>IF(Attempts!A159="","",Attempts!B159)</f>
        <v/>
      </c>
      <c r="C159">
        <f>IF(Attempts!A159="","",Attempts!D159)</f>
        <v/>
      </c>
      <c r="D159">
        <f>IF($A159="","",IFERROR(INDEX(Papers!$E$2:$E$12,MATCH($C159,Papers!$A$2:$A$12,0)),""))</f>
        <v/>
      </c>
      <c r="E159">
        <f>IF($A159="","",IFERROR(SUMPRODUCT((INDEX(SubMap!$B$2:$AE$12,MATCH($C159,SubMap!$A$2:$A$12,0),0)=1)*Attempts!$AR159:$BU159),0))</f>
        <v/>
      </c>
      <c r="F159">
        <f>IF($A159="","",IFERROR(COUNTIF(INDEX(SubMap!$B$2:$AE$12,MATCH($C159,SubMap!$A$2:$A$12,0),0),1),0))</f>
        <v/>
      </c>
      <c r="G159">
        <f>IF(OR($A159="",F159=0),"",ROUND(E159/F159*100,1))</f>
        <v/>
      </c>
      <c r="H159">
        <f>IF($A159="","",IFERROR(INDEX(Papers!$F$2:$F$12,MATCH($C159,Papers!$A$2:$A$12,0)),""))</f>
        <v/>
      </c>
      <c r="I159">
        <f>IF($A159="","",IFERROR(SUMPRODUCT((INDEX(SubMap!$B$2:$AE$12,MATCH($C159,SubMap!$A$2:$A$12,0),0)=2)*Attempts!$AR159:$BU159),0))</f>
        <v/>
      </c>
      <c r="J159">
        <f>IF($A159="","",IFERROR(COUNTIF(INDEX(SubMap!$B$2:$AE$12,MATCH($C159,SubMap!$A$2:$A$12,0),0),2),0))</f>
        <v/>
      </c>
      <c r="K159">
        <f>IF(OR($A159="",J159=0),"",ROUND(I159/J159*100,1))</f>
        <v/>
      </c>
      <c r="L159">
        <f>IF($A159="","",IFERROR(INDEX(Papers!$G$2:$G$12,MATCH($C159,Papers!$A$2:$A$12,0)),""))</f>
        <v/>
      </c>
      <c r="M159">
        <f>IF($A159="","",IFERROR(SUMPRODUCT((INDEX(SubMap!$B$2:$AE$12,MATCH($C159,SubMap!$A$2:$A$12,0),0)=3)*Attempts!$AR159:$BU159),0))</f>
        <v/>
      </c>
      <c r="N159">
        <f>IF($A159="","",IFERROR(COUNTIF(INDEX(SubMap!$B$2:$AE$12,MATCH($C159,SubMap!$A$2:$A$12,0),0),3),0))</f>
        <v/>
      </c>
      <c r="O159">
        <f>IF(OR($A159="",N159=0),"",ROUND(M159/N159*100,1))</f>
        <v/>
      </c>
      <c r="P159">
        <f>IF($A159="","",IFERROR(INDEX(Papers!$H$2:$H$12,MATCH($C159,Papers!$A$2:$A$12,0)),""))</f>
        <v/>
      </c>
      <c r="Q159">
        <f>IF($A159="","",IFERROR(SUMPRODUCT((INDEX(SubMap!$B$2:$AE$12,MATCH($C159,SubMap!$A$2:$A$12,0),0)=4)*Attempts!$AR159:$BU159),0))</f>
        <v/>
      </c>
      <c r="R159">
        <f>IF($A159="","",IFERROR(COUNTIF(INDEX(SubMap!$B$2:$AE$12,MATCH($C159,SubMap!$A$2:$A$12,0),0),4),0))</f>
        <v/>
      </c>
      <c r="S159">
        <f>IF(OR($A159="",R159=0),"",ROUND(Q159/R159*100,1))</f>
        <v/>
      </c>
      <c r="T159">
        <f>IF($A159="","",IFERROR(INDEX(Papers!$I$2:$I$12,MATCH($C159,Papers!$A$2:$A$12,0)),""))</f>
        <v/>
      </c>
      <c r="U159">
        <f>IF($A159="","",IFERROR(SUMPRODUCT((INDEX(SubMap!$B$2:$AE$12,MATCH($C159,SubMap!$A$2:$A$12,0),0)=5)*Attempts!$AR159:$BU159),0))</f>
        <v/>
      </c>
      <c r="V159">
        <f>IF($A159="","",IFERROR(COUNTIF(INDEX(SubMap!$B$2:$AE$12,MATCH($C159,SubMap!$A$2:$A$12,0),0),5),0))</f>
        <v/>
      </c>
      <c r="W159">
        <f>IF(OR($A159="",V159=0),"",ROUND(U159/V159*100,1))</f>
        <v/>
      </c>
      <c r="X159">
        <f>IF($A159="","",IFERROR(INDEX(Papers!$J$2:$J$12,MATCH($C159,Papers!$A$2:$A$12,0)),""))</f>
        <v/>
      </c>
      <c r="Y159">
        <f>IF($A159="","",IFERROR(SUMPRODUCT((INDEX(SubMap!$B$2:$AE$12,MATCH($C159,SubMap!$A$2:$A$12,0),0)=6)*Attempts!$AR159:$BU159),0))</f>
        <v/>
      </c>
      <c r="Z159">
        <f>IF($A159="","",IFERROR(COUNTIF(INDEX(SubMap!$B$2:$AE$12,MATCH($C159,SubMap!$A$2:$A$12,0),0),6),0))</f>
        <v/>
      </c>
      <c r="AA159">
        <f>IF(OR($A159="",Z159=0),"",ROUND(Y159/Z159*100,1))</f>
        <v/>
      </c>
      <c r="AB159">
        <f>IF($A159="","",IFERROR(INDEX(CHOOSE({1,2,3,4,5,6},D159,H159,L159,P159,T159,X159),MATCH(MIN(G159,K159,O159,S159,W159,AA159),CHOOSE({1,2,3,4,5,6},G159,K159,O159,S159,W159,AA159),0)),""))</f>
        <v/>
      </c>
      <c r="AC159">
        <f>IF($A159="","",IF(COUNT(G159,K159,O159,S159,W159,AA159)=0,"",MIN(G159,K159,O159,S159,W159,AA159)))</f>
        <v/>
      </c>
      <c r="AD159">
        <f>IF($A159="","",IFERROR(INDEX(CHOOSE({1,2,3,4,5,6},IFERROR(INDEX(Papers!$K$2:$K$12,MATCH($C159,Papers!$A$2:$A$12,0)),""),IFERROR(INDEX(Papers!$L$2:$L$12,MATCH($C159,Papers!$A$2:$A$12,0)),""),IFERROR(INDEX(Papers!$M$2:$M$12,MATCH($C159,Papers!$A$2:$A$12,0)),""),IFERROR(INDEX(Papers!$N$2:$N$12,MATCH($C159,Papers!$A$2:$A$12,0)),""),IFERROR(INDEX(Papers!$O$2:$O$12,MATCH($C159,Papers!$A$2:$A$12,0)),""),IFERROR(INDEX(Papers!$P$2:$P$12,MATCH($C159,Papers!$A$2:$A$12,0)),"")),MATCH(MIN(G159,K159,O159,S159,W159,AA159),CHOOSE({1,2,3,4,5,6},G159,K159,O159,S159,W159,AA159),0)),""))</f>
        <v/>
      </c>
      <c r="AE159">
        <f>IF(AC159="","",IF(AC159&lt;50,"Re-teach",IF(AC159&lt;75,"Practice more","Relatively secure")))</f>
        <v/>
      </c>
    </row>
    <row r="160">
      <c r="A160">
        <f>IF(Attempts!A160="","",Attempts!A160)</f>
        <v/>
      </c>
      <c r="B160">
        <f>IF(Attempts!A160="","",Attempts!B160)</f>
        <v/>
      </c>
      <c r="C160">
        <f>IF(Attempts!A160="","",Attempts!D160)</f>
        <v/>
      </c>
      <c r="D160">
        <f>IF($A160="","",IFERROR(INDEX(Papers!$E$2:$E$12,MATCH($C160,Papers!$A$2:$A$12,0)),""))</f>
        <v/>
      </c>
      <c r="E160">
        <f>IF($A160="","",IFERROR(SUMPRODUCT((INDEX(SubMap!$B$2:$AE$12,MATCH($C160,SubMap!$A$2:$A$12,0),0)=1)*Attempts!$AR160:$BU160),0))</f>
        <v/>
      </c>
      <c r="F160">
        <f>IF($A160="","",IFERROR(COUNTIF(INDEX(SubMap!$B$2:$AE$12,MATCH($C160,SubMap!$A$2:$A$12,0),0),1),0))</f>
        <v/>
      </c>
      <c r="G160">
        <f>IF(OR($A160="",F160=0),"",ROUND(E160/F160*100,1))</f>
        <v/>
      </c>
      <c r="H160">
        <f>IF($A160="","",IFERROR(INDEX(Papers!$F$2:$F$12,MATCH($C160,Papers!$A$2:$A$12,0)),""))</f>
        <v/>
      </c>
      <c r="I160">
        <f>IF($A160="","",IFERROR(SUMPRODUCT((INDEX(SubMap!$B$2:$AE$12,MATCH($C160,SubMap!$A$2:$A$12,0),0)=2)*Attempts!$AR160:$BU160),0))</f>
        <v/>
      </c>
      <c r="J160">
        <f>IF($A160="","",IFERROR(COUNTIF(INDEX(SubMap!$B$2:$AE$12,MATCH($C160,SubMap!$A$2:$A$12,0),0),2),0))</f>
        <v/>
      </c>
      <c r="K160">
        <f>IF(OR($A160="",J160=0),"",ROUND(I160/J160*100,1))</f>
        <v/>
      </c>
      <c r="L160">
        <f>IF($A160="","",IFERROR(INDEX(Papers!$G$2:$G$12,MATCH($C160,Papers!$A$2:$A$12,0)),""))</f>
        <v/>
      </c>
      <c r="M160">
        <f>IF($A160="","",IFERROR(SUMPRODUCT((INDEX(SubMap!$B$2:$AE$12,MATCH($C160,SubMap!$A$2:$A$12,0),0)=3)*Attempts!$AR160:$BU160),0))</f>
        <v/>
      </c>
      <c r="N160">
        <f>IF($A160="","",IFERROR(COUNTIF(INDEX(SubMap!$B$2:$AE$12,MATCH($C160,SubMap!$A$2:$A$12,0),0),3),0))</f>
        <v/>
      </c>
      <c r="O160">
        <f>IF(OR($A160="",N160=0),"",ROUND(M160/N160*100,1))</f>
        <v/>
      </c>
      <c r="P160">
        <f>IF($A160="","",IFERROR(INDEX(Papers!$H$2:$H$12,MATCH($C160,Papers!$A$2:$A$12,0)),""))</f>
        <v/>
      </c>
      <c r="Q160">
        <f>IF($A160="","",IFERROR(SUMPRODUCT((INDEX(SubMap!$B$2:$AE$12,MATCH($C160,SubMap!$A$2:$A$12,0),0)=4)*Attempts!$AR160:$BU160),0))</f>
        <v/>
      </c>
      <c r="R160">
        <f>IF($A160="","",IFERROR(COUNTIF(INDEX(SubMap!$B$2:$AE$12,MATCH($C160,SubMap!$A$2:$A$12,0),0),4),0))</f>
        <v/>
      </c>
      <c r="S160">
        <f>IF(OR($A160="",R160=0),"",ROUND(Q160/R160*100,1))</f>
        <v/>
      </c>
      <c r="T160">
        <f>IF($A160="","",IFERROR(INDEX(Papers!$I$2:$I$12,MATCH($C160,Papers!$A$2:$A$12,0)),""))</f>
        <v/>
      </c>
      <c r="U160">
        <f>IF($A160="","",IFERROR(SUMPRODUCT((INDEX(SubMap!$B$2:$AE$12,MATCH($C160,SubMap!$A$2:$A$12,0),0)=5)*Attempts!$AR160:$BU160),0))</f>
        <v/>
      </c>
      <c r="V160">
        <f>IF($A160="","",IFERROR(COUNTIF(INDEX(SubMap!$B$2:$AE$12,MATCH($C160,SubMap!$A$2:$A$12,0),0),5),0))</f>
        <v/>
      </c>
      <c r="W160">
        <f>IF(OR($A160="",V160=0),"",ROUND(U160/V160*100,1))</f>
        <v/>
      </c>
      <c r="X160">
        <f>IF($A160="","",IFERROR(INDEX(Papers!$J$2:$J$12,MATCH($C160,Papers!$A$2:$A$12,0)),""))</f>
        <v/>
      </c>
      <c r="Y160">
        <f>IF($A160="","",IFERROR(SUMPRODUCT((INDEX(SubMap!$B$2:$AE$12,MATCH($C160,SubMap!$A$2:$A$12,0),0)=6)*Attempts!$AR160:$BU160),0))</f>
        <v/>
      </c>
      <c r="Z160">
        <f>IF($A160="","",IFERROR(COUNTIF(INDEX(SubMap!$B$2:$AE$12,MATCH($C160,SubMap!$A$2:$A$12,0),0),6),0))</f>
        <v/>
      </c>
      <c r="AA160">
        <f>IF(OR($A160="",Z160=0),"",ROUND(Y160/Z160*100,1))</f>
        <v/>
      </c>
      <c r="AB160">
        <f>IF($A160="","",IFERROR(INDEX(CHOOSE({1,2,3,4,5,6},D160,H160,L160,P160,T160,X160),MATCH(MIN(G160,K160,O160,S160,W160,AA160),CHOOSE({1,2,3,4,5,6},G160,K160,O160,S160,W160,AA160),0)),""))</f>
        <v/>
      </c>
      <c r="AC160">
        <f>IF($A160="","",IF(COUNT(G160,K160,O160,S160,W160,AA160)=0,"",MIN(G160,K160,O160,S160,W160,AA160)))</f>
        <v/>
      </c>
      <c r="AD160">
        <f>IF($A160="","",IFERROR(INDEX(CHOOSE({1,2,3,4,5,6},IFERROR(INDEX(Papers!$K$2:$K$12,MATCH($C160,Papers!$A$2:$A$12,0)),""),IFERROR(INDEX(Papers!$L$2:$L$12,MATCH($C160,Papers!$A$2:$A$12,0)),""),IFERROR(INDEX(Papers!$M$2:$M$12,MATCH($C160,Papers!$A$2:$A$12,0)),""),IFERROR(INDEX(Papers!$N$2:$N$12,MATCH($C160,Papers!$A$2:$A$12,0)),""),IFERROR(INDEX(Papers!$O$2:$O$12,MATCH($C160,Papers!$A$2:$A$12,0)),""),IFERROR(INDEX(Papers!$P$2:$P$12,MATCH($C160,Papers!$A$2:$A$12,0)),"")),MATCH(MIN(G160,K160,O160,S160,W160,AA160),CHOOSE({1,2,3,4,5,6},G160,K160,O160,S160,W160,AA160),0)),""))</f>
        <v/>
      </c>
      <c r="AE160">
        <f>IF(AC160="","",IF(AC160&lt;50,"Re-teach",IF(AC160&lt;75,"Practice more","Relatively secure")))</f>
        <v/>
      </c>
    </row>
    <row r="161">
      <c r="A161">
        <f>IF(Attempts!A161="","",Attempts!A161)</f>
        <v/>
      </c>
      <c r="B161">
        <f>IF(Attempts!A161="","",Attempts!B161)</f>
        <v/>
      </c>
      <c r="C161">
        <f>IF(Attempts!A161="","",Attempts!D161)</f>
        <v/>
      </c>
      <c r="D161">
        <f>IF($A161="","",IFERROR(INDEX(Papers!$E$2:$E$12,MATCH($C161,Papers!$A$2:$A$12,0)),""))</f>
        <v/>
      </c>
      <c r="E161">
        <f>IF($A161="","",IFERROR(SUMPRODUCT((INDEX(SubMap!$B$2:$AE$12,MATCH($C161,SubMap!$A$2:$A$12,0),0)=1)*Attempts!$AR161:$BU161),0))</f>
        <v/>
      </c>
      <c r="F161">
        <f>IF($A161="","",IFERROR(COUNTIF(INDEX(SubMap!$B$2:$AE$12,MATCH($C161,SubMap!$A$2:$A$12,0),0),1),0))</f>
        <v/>
      </c>
      <c r="G161">
        <f>IF(OR($A161="",F161=0),"",ROUND(E161/F161*100,1))</f>
        <v/>
      </c>
      <c r="H161">
        <f>IF($A161="","",IFERROR(INDEX(Papers!$F$2:$F$12,MATCH($C161,Papers!$A$2:$A$12,0)),""))</f>
        <v/>
      </c>
      <c r="I161">
        <f>IF($A161="","",IFERROR(SUMPRODUCT((INDEX(SubMap!$B$2:$AE$12,MATCH($C161,SubMap!$A$2:$A$12,0),0)=2)*Attempts!$AR161:$BU161),0))</f>
        <v/>
      </c>
      <c r="J161">
        <f>IF($A161="","",IFERROR(COUNTIF(INDEX(SubMap!$B$2:$AE$12,MATCH($C161,SubMap!$A$2:$A$12,0),0),2),0))</f>
        <v/>
      </c>
      <c r="K161">
        <f>IF(OR($A161="",J161=0),"",ROUND(I161/J161*100,1))</f>
        <v/>
      </c>
      <c r="L161">
        <f>IF($A161="","",IFERROR(INDEX(Papers!$G$2:$G$12,MATCH($C161,Papers!$A$2:$A$12,0)),""))</f>
        <v/>
      </c>
      <c r="M161">
        <f>IF($A161="","",IFERROR(SUMPRODUCT((INDEX(SubMap!$B$2:$AE$12,MATCH($C161,SubMap!$A$2:$A$12,0),0)=3)*Attempts!$AR161:$BU161),0))</f>
        <v/>
      </c>
      <c r="N161">
        <f>IF($A161="","",IFERROR(COUNTIF(INDEX(SubMap!$B$2:$AE$12,MATCH($C161,SubMap!$A$2:$A$12,0),0),3),0))</f>
        <v/>
      </c>
      <c r="O161">
        <f>IF(OR($A161="",N161=0),"",ROUND(M161/N161*100,1))</f>
        <v/>
      </c>
      <c r="P161">
        <f>IF($A161="","",IFERROR(INDEX(Papers!$H$2:$H$12,MATCH($C161,Papers!$A$2:$A$12,0)),""))</f>
        <v/>
      </c>
      <c r="Q161">
        <f>IF($A161="","",IFERROR(SUMPRODUCT((INDEX(SubMap!$B$2:$AE$12,MATCH($C161,SubMap!$A$2:$A$12,0),0)=4)*Attempts!$AR161:$BU161),0))</f>
        <v/>
      </c>
      <c r="R161">
        <f>IF($A161="","",IFERROR(COUNTIF(INDEX(SubMap!$B$2:$AE$12,MATCH($C161,SubMap!$A$2:$A$12,0),0),4),0))</f>
        <v/>
      </c>
      <c r="S161">
        <f>IF(OR($A161="",R161=0),"",ROUND(Q161/R161*100,1))</f>
        <v/>
      </c>
      <c r="T161">
        <f>IF($A161="","",IFERROR(INDEX(Papers!$I$2:$I$12,MATCH($C161,Papers!$A$2:$A$12,0)),""))</f>
        <v/>
      </c>
      <c r="U161">
        <f>IF($A161="","",IFERROR(SUMPRODUCT((INDEX(SubMap!$B$2:$AE$12,MATCH($C161,SubMap!$A$2:$A$12,0),0)=5)*Attempts!$AR161:$BU161),0))</f>
        <v/>
      </c>
      <c r="V161">
        <f>IF($A161="","",IFERROR(COUNTIF(INDEX(SubMap!$B$2:$AE$12,MATCH($C161,SubMap!$A$2:$A$12,0),0),5),0))</f>
        <v/>
      </c>
      <c r="W161">
        <f>IF(OR($A161="",V161=0),"",ROUND(U161/V161*100,1))</f>
        <v/>
      </c>
      <c r="X161">
        <f>IF($A161="","",IFERROR(INDEX(Papers!$J$2:$J$12,MATCH($C161,Papers!$A$2:$A$12,0)),""))</f>
        <v/>
      </c>
      <c r="Y161">
        <f>IF($A161="","",IFERROR(SUMPRODUCT((INDEX(SubMap!$B$2:$AE$12,MATCH($C161,SubMap!$A$2:$A$12,0),0)=6)*Attempts!$AR161:$BU161),0))</f>
        <v/>
      </c>
      <c r="Z161">
        <f>IF($A161="","",IFERROR(COUNTIF(INDEX(SubMap!$B$2:$AE$12,MATCH($C161,SubMap!$A$2:$A$12,0),0),6),0))</f>
        <v/>
      </c>
      <c r="AA161">
        <f>IF(OR($A161="",Z161=0),"",ROUND(Y161/Z161*100,1))</f>
        <v/>
      </c>
      <c r="AB161">
        <f>IF($A161="","",IFERROR(INDEX(CHOOSE({1,2,3,4,5,6},D161,H161,L161,P161,T161,X161),MATCH(MIN(G161,K161,O161,S161,W161,AA161),CHOOSE({1,2,3,4,5,6},G161,K161,O161,S161,W161,AA161),0)),""))</f>
        <v/>
      </c>
      <c r="AC161">
        <f>IF($A161="","",IF(COUNT(G161,K161,O161,S161,W161,AA161)=0,"",MIN(G161,K161,O161,S161,W161,AA161)))</f>
        <v/>
      </c>
      <c r="AD161">
        <f>IF($A161="","",IFERROR(INDEX(CHOOSE({1,2,3,4,5,6},IFERROR(INDEX(Papers!$K$2:$K$12,MATCH($C161,Papers!$A$2:$A$12,0)),""),IFERROR(INDEX(Papers!$L$2:$L$12,MATCH($C161,Papers!$A$2:$A$12,0)),""),IFERROR(INDEX(Papers!$M$2:$M$12,MATCH($C161,Papers!$A$2:$A$12,0)),""),IFERROR(INDEX(Papers!$N$2:$N$12,MATCH($C161,Papers!$A$2:$A$12,0)),""),IFERROR(INDEX(Papers!$O$2:$O$12,MATCH($C161,Papers!$A$2:$A$12,0)),""),IFERROR(INDEX(Papers!$P$2:$P$12,MATCH($C161,Papers!$A$2:$A$12,0)),"")),MATCH(MIN(G161,K161,O161,S161,W161,AA161),CHOOSE({1,2,3,4,5,6},G161,K161,O161,S161,W161,AA161),0)),""))</f>
        <v/>
      </c>
      <c r="AE161">
        <f>IF(AC161="","",IF(AC161&lt;50,"Re-teach",IF(AC161&lt;75,"Practice more","Relatively secure")))</f>
        <v/>
      </c>
    </row>
    <row r="162">
      <c r="A162">
        <f>IF(Attempts!A162="","",Attempts!A162)</f>
        <v/>
      </c>
      <c r="B162">
        <f>IF(Attempts!A162="","",Attempts!B162)</f>
        <v/>
      </c>
      <c r="C162">
        <f>IF(Attempts!A162="","",Attempts!D162)</f>
        <v/>
      </c>
      <c r="D162">
        <f>IF($A162="","",IFERROR(INDEX(Papers!$E$2:$E$12,MATCH($C162,Papers!$A$2:$A$12,0)),""))</f>
        <v/>
      </c>
      <c r="E162">
        <f>IF($A162="","",IFERROR(SUMPRODUCT((INDEX(SubMap!$B$2:$AE$12,MATCH($C162,SubMap!$A$2:$A$12,0),0)=1)*Attempts!$AR162:$BU162),0))</f>
        <v/>
      </c>
      <c r="F162">
        <f>IF($A162="","",IFERROR(COUNTIF(INDEX(SubMap!$B$2:$AE$12,MATCH($C162,SubMap!$A$2:$A$12,0),0),1),0))</f>
        <v/>
      </c>
      <c r="G162">
        <f>IF(OR($A162="",F162=0),"",ROUND(E162/F162*100,1))</f>
        <v/>
      </c>
      <c r="H162">
        <f>IF($A162="","",IFERROR(INDEX(Papers!$F$2:$F$12,MATCH($C162,Papers!$A$2:$A$12,0)),""))</f>
        <v/>
      </c>
      <c r="I162">
        <f>IF($A162="","",IFERROR(SUMPRODUCT((INDEX(SubMap!$B$2:$AE$12,MATCH($C162,SubMap!$A$2:$A$12,0),0)=2)*Attempts!$AR162:$BU162),0))</f>
        <v/>
      </c>
      <c r="J162">
        <f>IF($A162="","",IFERROR(COUNTIF(INDEX(SubMap!$B$2:$AE$12,MATCH($C162,SubMap!$A$2:$A$12,0),0),2),0))</f>
        <v/>
      </c>
      <c r="K162">
        <f>IF(OR($A162="",J162=0),"",ROUND(I162/J162*100,1))</f>
        <v/>
      </c>
      <c r="L162">
        <f>IF($A162="","",IFERROR(INDEX(Papers!$G$2:$G$12,MATCH($C162,Papers!$A$2:$A$12,0)),""))</f>
        <v/>
      </c>
      <c r="M162">
        <f>IF($A162="","",IFERROR(SUMPRODUCT((INDEX(SubMap!$B$2:$AE$12,MATCH($C162,SubMap!$A$2:$A$12,0),0)=3)*Attempts!$AR162:$BU162),0))</f>
        <v/>
      </c>
      <c r="N162">
        <f>IF($A162="","",IFERROR(COUNTIF(INDEX(SubMap!$B$2:$AE$12,MATCH($C162,SubMap!$A$2:$A$12,0),0),3),0))</f>
        <v/>
      </c>
      <c r="O162">
        <f>IF(OR($A162="",N162=0),"",ROUND(M162/N162*100,1))</f>
        <v/>
      </c>
      <c r="P162">
        <f>IF($A162="","",IFERROR(INDEX(Papers!$H$2:$H$12,MATCH($C162,Papers!$A$2:$A$12,0)),""))</f>
        <v/>
      </c>
      <c r="Q162">
        <f>IF($A162="","",IFERROR(SUMPRODUCT((INDEX(SubMap!$B$2:$AE$12,MATCH($C162,SubMap!$A$2:$A$12,0),0)=4)*Attempts!$AR162:$BU162),0))</f>
        <v/>
      </c>
      <c r="R162">
        <f>IF($A162="","",IFERROR(COUNTIF(INDEX(SubMap!$B$2:$AE$12,MATCH($C162,SubMap!$A$2:$A$12,0),0),4),0))</f>
        <v/>
      </c>
      <c r="S162">
        <f>IF(OR($A162="",R162=0),"",ROUND(Q162/R162*100,1))</f>
        <v/>
      </c>
      <c r="T162">
        <f>IF($A162="","",IFERROR(INDEX(Papers!$I$2:$I$12,MATCH($C162,Papers!$A$2:$A$12,0)),""))</f>
        <v/>
      </c>
      <c r="U162">
        <f>IF($A162="","",IFERROR(SUMPRODUCT((INDEX(SubMap!$B$2:$AE$12,MATCH($C162,SubMap!$A$2:$A$12,0),0)=5)*Attempts!$AR162:$BU162),0))</f>
        <v/>
      </c>
      <c r="V162">
        <f>IF($A162="","",IFERROR(COUNTIF(INDEX(SubMap!$B$2:$AE$12,MATCH($C162,SubMap!$A$2:$A$12,0),0),5),0))</f>
        <v/>
      </c>
      <c r="W162">
        <f>IF(OR($A162="",V162=0),"",ROUND(U162/V162*100,1))</f>
        <v/>
      </c>
      <c r="X162">
        <f>IF($A162="","",IFERROR(INDEX(Papers!$J$2:$J$12,MATCH($C162,Papers!$A$2:$A$12,0)),""))</f>
        <v/>
      </c>
      <c r="Y162">
        <f>IF($A162="","",IFERROR(SUMPRODUCT((INDEX(SubMap!$B$2:$AE$12,MATCH($C162,SubMap!$A$2:$A$12,0),0)=6)*Attempts!$AR162:$BU162),0))</f>
        <v/>
      </c>
      <c r="Z162">
        <f>IF($A162="","",IFERROR(COUNTIF(INDEX(SubMap!$B$2:$AE$12,MATCH($C162,SubMap!$A$2:$A$12,0),0),6),0))</f>
        <v/>
      </c>
      <c r="AA162">
        <f>IF(OR($A162="",Z162=0),"",ROUND(Y162/Z162*100,1))</f>
        <v/>
      </c>
      <c r="AB162">
        <f>IF($A162="","",IFERROR(INDEX(CHOOSE({1,2,3,4,5,6},D162,H162,L162,P162,T162,X162),MATCH(MIN(G162,K162,O162,S162,W162,AA162),CHOOSE({1,2,3,4,5,6},G162,K162,O162,S162,W162,AA162),0)),""))</f>
        <v/>
      </c>
      <c r="AC162">
        <f>IF($A162="","",IF(COUNT(G162,K162,O162,S162,W162,AA162)=0,"",MIN(G162,K162,O162,S162,W162,AA162)))</f>
        <v/>
      </c>
      <c r="AD162">
        <f>IF($A162="","",IFERROR(INDEX(CHOOSE({1,2,3,4,5,6},IFERROR(INDEX(Papers!$K$2:$K$12,MATCH($C162,Papers!$A$2:$A$12,0)),""),IFERROR(INDEX(Papers!$L$2:$L$12,MATCH($C162,Papers!$A$2:$A$12,0)),""),IFERROR(INDEX(Papers!$M$2:$M$12,MATCH($C162,Papers!$A$2:$A$12,0)),""),IFERROR(INDEX(Papers!$N$2:$N$12,MATCH($C162,Papers!$A$2:$A$12,0)),""),IFERROR(INDEX(Papers!$O$2:$O$12,MATCH($C162,Papers!$A$2:$A$12,0)),""),IFERROR(INDEX(Papers!$P$2:$P$12,MATCH($C162,Papers!$A$2:$A$12,0)),"")),MATCH(MIN(G162,K162,O162,S162,W162,AA162),CHOOSE({1,2,3,4,5,6},G162,K162,O162,S162,W162,AA162),0)),""))</f>
        <v/>
      </c>
      <c r="AE162">
        <f>IF(AC162="","",IF(AC162&lt;50,"Re-teach",IF(AC162&lt;75,"Practice more","Relatively secure")))</f>
        <v/>
      </c>
    </row>
    <row r="163">
      <c r="A163">
        <f>IF(Attempts!A163="","",Attempts!A163)</f>
        <v/>
      </c>
      <c r="B163">
        <f>IF(Attempts!A163="","",Attempts!B163)</f>
        <v/>
      </c>
      <c r="C163">
        <f>IF(Attempts!A163="","",Attempts!D163)</f>
        <v/>
      </c>
      <c r="D163">
        <f>IF($A163="","",IFERROR(INDEX(Papers!$E$2:$E$12,MATCH($C163,Papers!$A$2:$A$12,0)),""))</f>
        <v/>
      </c>
      <c r="E163">
        <f>IF($A163="","",IFERROR(SUMPRODUCT((INDEX(SubMap!$B$2:$AE$12,MATCH($C163,SubMap!$A$2:$A$12,0),0)=1)*Attempts!$AR163:$BU163),0))</f>
        <v/>
      </c>
      <c r="F163">
        <f>IF($A163="","",IFERROR(COUNTIF(INDEX(SubMap!$B$2:$AE$12,MATCH($C163,SubMap!$A$2:$A$12,0),0),1),0))</f>
        <v/>
      </c>
      <c r="G163">
        <f>IF(OR($A163="",F163=0),"",ROUND(E163/F163*100,1))</f>
        <v/>
      </c>
      <c r="H163">
        <f>IF($A163="","",IFERROR(INDEX(Papers!$F$2:$F$12,MATCH($C163,Papers!$A$2:$A$12,0)),""))</f>
        <v/>
      </c>
      <c r="I163">
        <f>IF($A163="","",IFERROR(SUMPRODUCT((INDEX(SubMap!$B$2:$AE$12,MATCH($C163,SubMap!$A$2:$A$12,0),0)=2)*Attempts!$AR163:$BU163),0))</f>
        <v/>
      </c>
      <c r="J163">
        <f>IF($A163="","",IFERROR(COUNTIF(INDEX(SubMap!$B$2:$AE$12,MATCH($C163,SubMap!$A$2:$A$12,0),0),2),0))</f>
        <v/>
      </c>
      <c r="K163">
        <f>IF(OR($A163="",J163=0),"",ROUND(I163/J163*100,1))</f>
        <v/>
      </c>
      <c r="L163">
        <f>IF($A163="","",IFERROR(INDEX(Papers!$G$2:$G$12,MATCH($C163,Papers!$A$2:$A$12,0)),""))</f>
        <v/>
      </c>
      <c r="M163">
        <f>IF($A163="","",IFERROR(SUMPRODUCT((INDEX(SubMap!$B$2:$AE$12,MATCH($C163,SubMap!$A$2:$A$12,0),0)=3)*Attempts!$AR163:$BU163),0))</f>
        <v/>
      </c>
      <c r="N163">
        <f>IF($A163="","",IFERROR(COUNTIF(INDEX(SubMap!$B$2:$AE$12,MATCH($C163,SubMap!$A$2:$A$12,0),0),3),0))</f>
        <v/>
      </c>
      <c r="O163">
        <f>IF(OR($A163="",N163=0),"",ROUND(M163/N163*100,1))</f>
        <v/>
      </c>
      <c r="P163">
        <f>IF($A163="","",IFERROR(INDEX(Papers!$H$2:$H$12,MATCH($C163,Papers!$A$2:$A$12,0)),""))</f>
        <v/>
      </c>
      <c r="Q163">
        <f>IF($A163="","",IFERROR(SUMPRODUCT((INDEX(SubMap!$B$2:$AE$12,MATCH($C163,SubMap!$A$2:$A$12,0),0)=4)*Attempts!$AR163:$BU163),0))</f>
        <v/>
      </c>
      <c r="R163">
        <f>IF($A163="","",IFERROR(COUNTIF(INDEX(SubMap!$B$2:$AE$12,MATCH($C163,SubMap!$A$2:$A$12,0),0),4),0))</f>
        <v/>
      </c>
      <c r="S163">
        <f>IF(OR($A163="",R163=0),"",ROUND(Q163/R163*100,1))</f>
        <v/>
      </c>
      <c r="T163">
        <f>IF($A163="","",IFERROR(INDEX(Papers!$I$2:$I$12,MATCH($C163,Papers!$A$2:$A$12,0)),""))</f>
        <v/>
      </c>
      <c r="U163">
        <f>IF($A163="","",IFERROR(SUMPRODUCT((INDEX(SubMap!$B$2:$AE$12,MATCH($C163,SubMap!$A$2:$A$12,0),0)=5)*Attempts!$AR163:$BU163),0))</f>
        <v/>
      </c>
      <c r="V163">
        <f>IF($A163="","",IFERROR(COUNTIF(INDEX(SubMap!$B$2:$AE$12,MATCH($C163,SubMap!$A$2:$A$12,0),0),5),0))</f>
        <v/>
      </c>
      <c r="W163">
        <f>IF(OR($A163="",V163=0),"",ROUND(U163/V163*100,1))</f>
        <v/>
      </c>
      <c r="X163">
        <f>IF($A163="","",IFERROR(INDEX(Papers!$J$2:$J$12,MATCH($C163,Papers!$A$2:$A$12,0)),""))</f>
        <v/>
      </c>
      <c r="Y163">
        <f>IF($A163="","",IFERROR(SUMPRODUCT((INDEX(SubMap!$B$2:$AE$12,MATCH($C163,SubMap!$A$2:$A$12,0),0)=6)*Attempts!$AR163:$BU163),0))</f>
        <v/>
      </c>
      <c r="Z163">
        <f>IF($A163="","",IFERROR(COUNTIF(INDEX(SubMap!$B$2:$AE$12,MATCH($C163,SubMap!$A$2:$A$12,0),0),6),0))</f>
        <v/>
      </c>
      <c r="AA163">
        <f>IF(OR($A163="",Z163=0),"",ROUND(Y163/Z163*100,1))</f>
        <v/>
      </c>
      <c r="AB163">
        <f>IF($A163="","",IFERROR(INDEX(CHOOSE({1,2,3,4,5,6},D163,H163,L163,P163,T163,X163),MATCH(MIN(G163,K163,O163,S163,W163,AA163),CHOOSE({1,2,3,4,5,6},G163,K163,O163,S163,W163,AA163),0)),""))</f>
        <v/>
      </c>
      <c r="AC163">
        <f>IF($A163="","",IF(COUNT(G163,K163,O163,S163,W163,AA163)=0,"",MIN(G163,K163,O163,S163,W163,AA163)))</f>
        <v/>
      </c>
      <c r="AD163">
        <f>IF($A163="","",IFERROR(INDEX(CHOOSE({1,2,3,4,5,6},IFERROR(INDEX(Papers!$K$2:$K$12,MATCH($C163,Papers!$A$2:$A$12,0)),""),IFERROR(INDEX(Papers!$L$2:$L$12,MATCH($C163,Papers!$A$2:$A$12,0)),""),IFERROR(INDEX(Papers!$M$2:$M$12,MATCH($C163,Papers!$A$2:$A$12,0)),""),IFERROR(INDEX(Papers!$N$2:$N$12,MATCH($C163,Papers!$A$2:$A$12,0)),""),IFERROR(INDEX(Papers!$O$2:$O$12,MATCH($C163,Papers!$A$2:$A$12,0)),""),IFERROR(INDEX(Papers!$P$2:$P$12,MATCH($C163,Papers!$A$2:$A$12,0)),"")),MATCH(MIN(G163,K163,O163,S163,W163,AA163),CHOOSE({1,2,3,4,5,6},G163,K163,O163,S163,W163,AA163),0)),""))</f>
        <v/>
      </c>
      <c r="AE163">
        <f>IF(AC163="","",IF(AC163&lt;50,"Re-teach",IF(AC163&lt;75,"Practice more","Relatively secure")))</f>
        <v/>
      </c>
    </row>
    <row r="164">
      <c r="A164">
        <f>IF(Attempts!A164="","",Attempts!A164)</f>
        <v/>
      </c>
      <c r="B164">
        <f>IF(Attempts!A164="","",Attempts!B164)</f>
        <v/>
      </c>
      <c r="C164">
        <f>IF(Attempts!A164="","",Attempts!D164)</f>
        <v/>
      </c>
      <c r="D164">
        <f>IF($A164="","",IFERROR(INDEX(Papers!$E$2:$E$12,MATCH($C164,Papers!$A$2:$A$12,0)),""))</f>
        <v/>
      </c>
      <c r="E164">
        <f>IF($A164="","",IFERROR(SUMPRODUCT((INDEX(SubMap!$B$2:$AE$12,MATCH($C164,SubMap!$A$2:$A$12,0),0)=1)*Attempts!$AR164:$BU164),0))</f>
        <v/>
      </c>
      <c r="F164">
        <f>IF($A164="","",IFERROR(COUNTIF(INDEX(SubMap!$B$2:$AE$12,MATCH($C164,SubMap!$A$2:$A$12,0),0),1),0))</f>
        <v/>
      </c>
      <c r="G164">
        <f>IF(OR($A164="",F164=0),"",ROUND(E164/F164*100,1))</f>
        <v/>
      </c>
      <c r="H164">
        <f>IF($A164="","",IFERROR(INDEX(Papers!$F$2:$F$12,MATCH($C164,Papers!$A$2:$A$12,0)),""))</f>
        <v/>
      </c>
      <c r="I164">
        <f>IF($A164="","",IFERROR(SUMPRODUCT((INDEX(SubMap!$B$2:$AE$12,MATCH($C164,SubMap!$A$2:$A$12,0),0)=2)*Attempts!$AR164:$BU164),0))</f>
        <v/>
      </c>
      <c r="J164">
        <f>IF($A164="","",IFERROR(COUNTIF(INDEX(SubMap!$B$2:$AE$12,MATCH($C164,SubMap!$A$2:$A$12,0),0),2),0))</f>
        <v/>
      </c>
      <c r="K164">
        <f>IF(OR($A164="",J164=0),"",ROUND(I164/J164*100,1))</f>
        <v/>
      </c>
      <c r="L164">
        <f>IF($A164="","",IFERROR(INDEX(Papers!$G$2:$G$12,MATCH($C164,Papers!$A$2:$A$12,0)),""))</f>
        <v/>
      </c>
      <c r="M164">
        <f>IF($A164="","",IFERROR(SUMPRODUCT((INDEX(SubMap!$B$2:$AE$12,MATCH($C164,SubMap!$A$2:$A$12,0),0)=3)*Attempts!$AR164:$BU164),0))</f>
        <v/>
      </c>
      <c r="N164">
        <f>IF($A164="","",IFERROR(COUNTIF(INDEX(SubMap!$B$2:$AE$12,MATCH($C164,SubMap!$A$2:$A$12,0),0),3),0))</f>
        <v/>
      </c>
      <c r="O164">
        <f>IF(OR($A164="",N164=0),"",ROUND(M164/N164*100,1))</f>
        <v/>
      </c>
      <c r="P164">
        <f>IF($A164="","",IFERROR(INDEX(Papers!$H$2:$H$12,MATCH($C164,Papers!$A$2:$A$12,0)),""))</f>
        <v/>
      </c>
      <c r="Q164">
        <f>IF($A164="","",IFERROR(SUMPRODUCT((INDEX(SubMap!$B$2:$AE$12,MATCH($C164,SubMap!$A$2:$A$12,0),0)=4)*Attempts!$AR164:$BU164),0))</f>
        <v/>
      </c>
      <c r="R164">
        <f>IF($A164="","",IFERROR(COUNTIF(INDEX(SubMap!$B$2:$AE$12,MATCH($C164,SubMap!$A$2:$A$12,0),0),4),0))</f>
        <v/>
      </c>
      <c r="S164">
        <f>IF(OR($A164="",R164=0),"",ROUND(Q164/R164*100,1))</f>
        <v/>
      </c>
      <c r="T164">
        <f>IF($A164="","",IFERROR(INDEX(Papers!$I$2:$I$12,MATCH($C164,Papers!$A$2:$A$12,0)),""))</f>
        <v/>
      </c>
      <c r="U164">
        <f>IF($A164="","",IFERROR(SUMPRODUCT((INDEX(SubMap!$B$2:$AE$12,MATCH($C164,SubMap!$A$2:$A$12,0),0)=5)*Attempts!$AR164:$BU164),0))</f>
        <v/>
      </c>
      <c r="V164">
        <f>IF($A164="","",IFERROR(COUNTIF(INDEX(SubMap!$B$2:$AE$12,MATCH($C164,SubMap!$A$2:$A$12,0),0),5),0))</f>
        <v/>
      </c>
      <c r="W164">
        <f>IF(OR($A164="",V164=0),"",ROUND(U164/V164*100,1))</f>
        <v/>
      </c>
      <c r="X164">
        <f>IF($A164="","",IFERROR(INDEX(Papers!$J$2:$J$12,MATCH($C164,Papers!$A$2:$A$12,0)),""))</f>
        <v/>
      </c>
      <c r="Y164">
        <f>IF($A164="","",IFERROR(SUMPRODUCT((INDEX(SubMap!$B$2:$AE$12,MATCH($C164,SubMap!$A$2:$A$12,0),0)=6)*Attempts!$AR164:$BU164),0))</f>
        <v/>
      </c>
      <c r="Z164">
        <f>IF($A164="","",IFERROR(COUNTIF(INDEX(SubMap!$B$2:$AE$12,MATCH($C164,SubMap!$A$2:$A$12,0),0),6),0))</f>
        <v/>
      </c>
      <c r="AA164">
        <f>IF(OR($A164="",Z164=0),"",ROUND(Y164/Z164*100,1))</f>
        <v/>
      </c>
      <c r="AB164">
        <f>IF($A164="","",IFERROR(INDEX(CHOOSE({1,2,3,4,5,6},D164,H164,L164,P164,T164,X164),MATCH(MIN(G164,K164,O164,S164,W164,AA164),CHOOSE({1,2,3,4,5,6},G164,K164,O164,S164,W164,AA164),0)),""))</f>
        <v/>
      </c>
      <c r="AC164">
        <f>IF($A164="","",IF(COUNT(G164,K164,O164,S164,W164,AA164)=0,"",MIN(G164,K164,O164,S164,W164,AA164)))</f>
        <v/>
      </c>
      <c r="AD164">
        <f>IF($A164="","",IFERROR(INDEX(CHOOSE({1,2,3,4,5,6},IFERROR(INDEX(Papers!$K$2:$K$12,MATCH($C164,Papers!$A$2:$A$12,0)),""),IFERROR(INDEX(Papers!$L$2:$L$12,MATCH($C164,Papers!$A$2:$A$12,0)),""),IFERROR(INDEX(Papers!$M$2:$M$12,MATCH($C164,Papers!$A$2:$A$12,0)),""),IFERROR(INDEX(Papers!$N$2:$N$12,MATCH($C164,Papers!$A$2:$A$12,0)),""),IFERROR(INDEX(Papers!$O$2:$O$12,MATCH($C164,Papers!$A$2:$A$12,0)),""),IFERROR(INDEX(Papers!$P$2:$P$12,MATCH($C164,Papers!$A$2:$A$12,0)),"")),MATCH(MIN(G164,K164,O164,S164,W164,AA164),CHOOSE({1,2,3,4,5,6},G164,K164,O164,S164,W164,AA164),0)),""))</f>
        <v/>
      </c>
      <c r="AE164">
        <f>IF(AC164="","",IF(AC164&lt;50,"Re-teach",IF(AC164&lt;75,"Practice more","Relatively secure")))</f>
        <v/>
      </c>
    </row>
    <row r="165">
      <c r="A165">
        <f>IF(Attempts!A165="","",Attempts!A165)</f>
        <v/>
      </c>
      <c r="B165">
        <f>IF(Attempts!A165="","",Attempts!B165)</f>
        <v/>
      </c>
      <c r="C165">
        <f>IF(Attempts!A165="","",Attempts!D165)</f>
        <v/>
      </c>
      <c r="D165">
        <f>IF($A165="","",IFERROR(INDEX(Papers!$E$2:$E$12,MATCH($C165,Papers!$A$2:$A$12,0)),""))</f>
        <v/>
      </c>
      <c r="E165">
        <f>IF($A165="","",IFERROR(SUMPRODUCT((INDEX(SubMap!$B$2:$AE$12,MATCH($C165,SubMap!$A$2:$A$12,0),0)=1)*Attempts!$AR165:$BU165),0))</f>
        <v/>
      </c>
      <c r="F165">
        <f>IF($A165="","",IFERROR(COUNTIF(INDEX(SubMap!$B$2:$AE$12,MATCH($C165,SubMap!$A$2:$A$12,0),0),1),0))</f>
        <v/>
      </c>
      <c r="G165">
        <f>IF(OR($A165="",F165=0),"",ROUND(E165/F165*100,1))</f>
        <v/>
      </c>
      <c r="H165">
        <f>IF($A165="","",IFERROR(INDEX(Papers!$F$2:$F$12,MATCH($C165,Papers!$A$2:$A$12,0)),""))</f>
        <v/>
      </c>
      <c r="I165">
        <f>IF($A165="","",IFERROR(SUMPRODUCT((INDEX(SubMap!$B$2:$AE$12,MATCH($C165,SubMap!$A$2:$A$12,0),0)=2)*Attempts!$AR165:$BU165),0))</f>
        <v/>
      </c>
      <c r="J165">
        <f>IF($A165="","",IFERROR(COUNTIF(INDEX(SubMap!$B$2:$AE$12,MATCH($C165,SubMap!$A$2:$A$12,0),0),2),0))</f>
        <v/>
      </c>
      <c r="K165">
        <f>IF(OR($A165="",J165=0),"",ROUND(I165/J165*100,1))</f>
        <v/>
      </c>
      <c r="L165">
        <f>IF($A165="","",IFERROR(INDEX(Papers!$G$2:$G$12,MATCH($C165,Papers!$A$2:$A$12,0)),""))</f>
        <v/>
      </c>
      <c r="M165">
        <f>IF($A165="","",IFERROR(SUMPRODUCT((INDEX(SubMap!$B$2:$AE$12,MATCH($C165,SubMap!$A$2:$A$12,0),0)=3)*Attempts!$AR165:$BU165),0))</f>
        <v/>
      </c>
      <c r="N165">
        <f>IF($A165="","",IFERROR(COUNTIF(INDEX(SubMap!$B$2:$AE$12,MATCH($C165,SubMap!$A$2:$A$12,0),0),3),0))</f>
        <v/>
      </c>
      <c r="O165">
        <f>IF(OR($A165="",N165=0),"",ROUND(M165/N165*100,1))</f>
        <v/>
      </c>
      <c r="P165">
        <f>IF($A165="","",IFERROR(INDEX(Papers!$H$2:$H$12,MATCH($C165,Papers!$A$2:$A$12,0)),""))</f>
        <v/>
      </c>
      <c r="Q165">
        <f>IF($A165="","",IFERROR(SUMPRODUCT((INDEX(SubMap!$B$2:$AE$12,MATCH($C165,SubMap!$A$2:$A$12,0),0)=4)*Attempts!$AR165:$BU165),0))</f>
        <v/>
      </c>
      <c r="R165">
        <f>IF($A165="","",IFERROR(COUNTIF(INDEX(SubMap!$B$2:$AE$12,MATCH($C165,SubMap!$A$2:$A$12,0),0),4),0))</f>
        <v/>
      </c>
      <c r="S165">
        <f>IF(OR($A165="",R165=0),"",ROUND(Q165/R165*100,1))</f>
        <v/>
      </c>
      <c r="T165">
        <f>IF($A165="","",IFERROR(INDEX(Papers!$I$2:$I$12,MATCH($C165,Papers!$A$2:$A$12,0)),""))</f>
        <v/>
      </c>
      <c r="U165">
        <f>IF($A165="","",IFERROR(SUMPRODUCT((INDEX(SubMap!$B$2:$AE$12,MATCH($C165,SubMap!$A$2:$A$12,0),0)=5)*Attempts!$AR165:$BU165),0))</f>
        <v/>
      </c>
      <c r="V165">
        <f>IF($A165="","",IFERROR(COUNTIF(INDEX(SubMap!$B$2:$AE$12,MATCH($C165,SubMap!$A$2:$A$12,0),0),5),0))</f>
        <v/>
      </c>
      <c r="W165">
        <f>IF(OR($A165="",V165=0),"",ROUND(U165/V165*100,1))</f>
        <v/>
      </c>
      <c r="X165">
        <f>IF($A165="","",IFERROR(INDEX(Papers!$J$2:$J$12,MATCH($C165,Papers!$A$2:$A$12,0)),""))</f>
        <v/>
      </c>
      <c r="Y165">
        <f>IF($A165="","",IFERROR(SUMPRODUCT((INDEX(SubMap!$B$2:$AE$12,MATCH($C165,SubMap!$A$2:$A$12,0),0)=6)*Attempts!$AR165:$BU165),0))</f>
        <v/>
      </c>
      <c r="Z165">
        <f>IF($A165="","",IFERROR(COUNTIF(INDEX(SubMap!$B$2:$AE$12,MATCH($C165,SubMap!$A$2:$A$12,0),0),6),0))</f>
        <v/>
      </c>
      <c r="AA165">
        <f>IF(OR($A165="",Z165=0),"",ROUND(Y165/Z165*100,1))</f>
        <v/>
      </c>
      <c r="AB165">
        <f>IF($A165="","",IFERROR(INDEX(CHOOSE({1,2,3,4,5,6},D165,H165,L165,P165,T165,X165),MATCH(MIN(G165,K165,O165,S165,W165,AA165),CHOOSE({1,2,3,4,5,6},G165,K165,O165,S165,W165,AA165),0)),""))</f>
        <v/>
      </c>
      <c r="AC165">
        <f>IF($A165="","",IF(COUNT(G165,K165,O165,S165,W165,AA165)=0,"",MIN(G165,K165,O165,S165,W165,AA165)))</f>
        <v/>
      </c>
      <c r="AD165">
        <f>IF($A165="","",IFERROR(INDEX(CHOOSE({1,2,3,4,5,6},IFERROR(INDEX(Papers!$K$2:$K$12,MATCH($C165,Papers!$A$2:$A$12,0)),""),IFERROR(INDEX(Papers!$L$2:$L$12,MATCH($C165,Papers!$A$2:$A$12,0)),""),IFERROR(INDEX(Papers!$M$2:$M$12,MATCH($C165,Papers!$A$2:$A$12,0)),""),IFERROR(INDEX(Papers!$N$2:$N$12,MATCH($C165,Papers!$A$2:$A$12,0)),""),IFERROR(INDEX(Papers!$O$2:$O$12,MATCH($C165,Papers!$A$2:$A$12,0)),""),IFERROR(INDEX(Papers!$P$2:$P$12,MATCH($C165,Papers!$A$2:$A$12,0)),"")),MATCH(MIN(G165,K165,O165,S165,W165,AA165),CHOOSE({1,2,3,4,5,6},G165,K165,O165,S165,W165,AA165),0)),""))</f>
        <v/>
      </c>
      <c r="AE165">
        <f>IF(AC165="","",IF(AC165&lt;50,"Re-teach",IF(AC165&lt;75,"Practice more","Relatively secure")))</f>
        <v/>
      </c>
    </row>
    <row r="166">
      <c r="A166">
        <f>IF(Attempts!A166="","",Attempts!A166)</f>
        <v/>
      </c>
      <c r="B166">
        <f>IF(Attempts!A166="","",Attempts!B166)</f>
        <v/>
      </c>
      <c r="C166">
        <f>IF(Attempts!A166="","",Attempts!D166)</f>
        <v/>
      </c>
      <c r="D166">
        <f>IF($A166="","",IFERROR(INDEX(Papers!$E$2:$E$12,MATCH($C166,Papers!$A$2:$A$12,0)),""))</f>
        <v/>
      </c>
      <c r="E166">
        <f>IF($A166="","",IFERROR(SUMPRODUCT((INDEX(SubMap!$B$2:$AE$12,MATCH($C166,SubMap!$A$2:$A$12,0),0)=1)*Attempts!$AR166:$BU166),0))</f>
        <v/>
      </c>
      <c r="F166">
        <f>IF($A166="","",IFERROR(COUNTIF(INDEX(SubMap!$B$2:$AE$12,MATCH($C166,SubMap!$A$2:$A$12,0),0),1),0))</f>
        <v/>
      </c>
      <c r="G166">
        <f>IF(OR($A166="",F166=0),"",ROUND(E166/F166*100,1))</f>
        <v/>
      </c>
      <c r="H166">
        <f>IF($A166="","",IFERROR(INDEX(Papers!$F$2:$F$12,MATCH($C166,Papers!$A$2:$A$12,0)),""))</f>
        <v/>
      </c>
      <c r="I166">
        <f>IF($A166="","",IFERROR(SUMPRODUCT((INDEX(SubMap!$B$2:$AE$12,MATCH($C166,SubMap!$A$2:$A$12,0),0)=2)*Attempts!$AR166:$BU166),0))</f>
        <v/>
      </c>
      <c r="J166">
        <f>IF($A166="","",IFERROR(COUNTIF(INDEX(SubMap!$B$2:$AE$12,MATCH($C166,SubMap!$A$2:$A$12,0),0),2),0))</f>
        <v/>
      </c>
      <c r="K166">
        <f>IF(OR($A166="",J166=0),"",ROUND(I166/J166*100,1))</f>
        <v/>
      </c>
      <c r="L166">
        <f>IF($A166="","",IFERROR(INDEX(Papers!$G$2:$G$12,MATCH($C166,Papers!$A$2:$A$12,0)),""))</f>
        <v/>
      </c>
      <c r="M166">
        <f>IF($A166="","",IFERROR(SUMPRODUCT((INDEX(SubMap!$B$2:$AE$12,MATCH($C166,SubMap!$A$2:$A$12,0),0)=3)*Attempts!$AR166:$BU166),0))</f>
        <v/>
      </c>
      <c r="N166">
        <f>IF($A166="","",IFERROR(COUNTIF(INDEX(SubMap!$B$2:$AE$12,MATCH($C166,SubMap!$A$2:$A$12,0),0),3),0))</f>
        <v/>
      </c>
      <c r="O166">
        <f>IF(OR($A166="",N166=0),"",ROUND(M166/N166*100,1))</f>
        <v/>
      </c>
      <c r="P166">
        <f>IF($A166="","",IFERROR(INDEX(Papers!$H$2:$H$12,MATCH($C166,Papers!$A$2:$A$12,0)),""))</f>
        <v/>
      </c>
      <c r="Q166">
        <f>IF($A166="","",IFERROR(SUMPRODUCT((INDEX(SubMap!$B$2:$AE$12,MATCH($C166,SubMap!$A$2:$A$12,0),0)=4)*Attempts!$AR166:$BU166),0))</f>
        <v/>
      </c>
      <c r="R166">
        <f>IF($A166="","",IFERROR(COUNTIF(INDEX(SubMap!$B$2:$AE$12,MATCH($C166,SubMap!$A$2:$A$12,0),0),4),0))</f>
        <v/>
      </c>
      <c r="S166">
        <f>IF(OR($A166="",R166=0),"",ROUND(Q166/R166*100,1))</f>
        <v/>
      </c>
      <c r="T166">
        <f>IF($A166="","",IFERROR(INDEX(Papers!$I$2:$I$12,MATCH($C166,Papers!$A$2:$A$12,0)),""))</f>
        <v/>
      </c>
      <c r="U166">
        <f>IF($A166="","",IFERROR(SUMPRODUCT((INDEX(SubMap!$B$2:$AE$12,MATCH($C166,SubMap!$A$2:$A$12,0),0)=5)*Attempts!$AR166:$BU166),0))</f>
        <v/>
      </c>
      <c r="V166">
        <f>IF($A166="","",IFERROR(COUNTIF(INDEX(SubMap!$B$2:$AE$12,MATCH($C166,SubMap!$A$2:$A$12,0),0),5),0))</f>
        <v/>
      </c>
      <c r="W166">
        <f>IF(OR($A166="",V166=0),"",ROUND(U166/V166*100,1))</f>
        <v/>
      </c>
      <c r="X166">
        <f>IF($A166="","",IFERROR(INDEX(Papers!$J$2:$J$12,MATCH($C166,Papers!$A$2:$A$12,0)),""))</f>
        <v/>
      </c>
      <c r="Y166">
        <f>IF($A166="","",IFERROR(SUMPRODUCT((INDEX(SubMap!$B$2:$AE$12,MATCH($C166,SubMap!$A$2:$A$12,0),0)=6)*Attempts!$AR166:$BU166),0))</f>
        <v/>
      </c>
      <c r="Z166">
        <f>IF($A166="","",IFERROR(COUNTIF(INDEX(SubMap!$B$2:$AE$12,MATCH($C166,SubMap!$A$2:$A$12,0),0),6),0))</f>
        <v/>
      </c>
      <c r="AA166">
        <f>IF(OR($A166="",Z166=0),"",ROUND(Y166/Z166*100,1))</f>
        <v/>
      </c>
      <c r="AB166">
        <f>IF($A166="","",IFERROR(INDEX(CHOOSE({1,2,3,4,5,6},D166,H166,L166,P166,T166,X166),MATCH(MIN(G166,K166,O166,S166,W166,AA166),CHOOSE({1,2,3,4,5,6},G166,K166,O166,S166,W166,AA166),0)),""))</f>
        <v/>
      </c>
      <c r="AC166">
        <f>IF($A166="","",IF(COUNT(G166,K166,O166,S166,W166,AA166)=0,"",MIN(G166,K166,O166,S166,W166,AA166)))</f>
        <v/>
      </c>
      <c r="AD166">
        <f>IF($A166="","",IFERROR(INDEX(CHOOSE({1,2,3,4,5,6},IFERROR(INDEX(Papers!$K$2:$K$12,MATCH($C166,Papers!$A$2:$A$12,0)),""),IFERROR(INDEX(Papers!$L$2:$L$12,MATCH($C166,Papers!$A$2:$A$12,0)),""),IFERROR(INDEX(Papers!$M$2:$M$12,MATCH($C166,Papers!$A$2:$A$12,0)),""),IFERROR(INDEX(Papers!$N$2:$N$12,MATCH($C166,Papers!$A$2:$A$12,0)),""),IFERROR(INDEX(Papers!$O$2:$O$12,MATCH($C166,Papers!$A$2:$A$12,0)),""),IFERROR(INDEX(Papers!$P$2:$P$12,MATCH($C166,Papers!$A$2:$A$12,0)),"")),MATCH(MIN(G166,K166,O166,S166,W166,AA166),CHOOSE({1,2,3,4,5,6},G166,K166,O166,S166,W166,AA166),0)),""))</f>
        <v/>
      </c>
      <c r="AE166">
        <f>IF(AC166="","",IF(AC166&lt;50,"Re-teach",IF(AC166&lt;75,"Practice more","Relatively secure")))</f>
        <v/>
      </c>
    </row>
    <row r="167">
      <c r="A167">
        <f>IF(Attempts!A167="","",Attempts!A167)</f>
        <v/>
      </c>
      <c r="B167">
        <f>IF(Attempts!A167="","",Attempts!B167)</f>
        <v/>
      </c>
      <c r="C167">
        <f>IF(Attempts!A167="","",Attempts!D167)</f>
        <v/>
      </c>
      <c r="D167">
        <f>IF($A167="","",IFERROR(INDEX(Papers!$E$2:$E$12,MATCH($C167,Papers!$A$2:$A$12,0)),""))</f>
        <v/>
      </c>
      <c r="E167">
        <f>IF($A167="","",IFERROR(SUMPRODUCT((INDEX(SubMap!$B$2:$AE$12,MATCH($C167,SubMap!$A$2:$A$12,0),0)=1)*Attempts!$AR167:$BU167),0))</f>
        <v/>
      </c>
      <c r="F167">
        <f>IF($A167="","",IFERROR(COUNTIF(INDEX(SubMap!$B$2:$AE$12,MATCH($C167,SubMap!$A$2:$A$12,0),0),1),0))</f>
        <v/>
      </c>
      <c r="G167">
        <f>IF(OR($A167="",F167=0),"",ROUND(E167/F167*100,1))</f>
        <v/>
      </c>
      <c r="H167">
        <f>IF($A167="","",IFERROR(INDEX(Papers!$F$2:$F$12,MATCH($C167,Papers!$A$2:$A$12,0)),""))</f>
        <v/>
      </c>
      <c r="I167">
        <f>IF($A167="","",IFERROR(SUMPRODUCT((INDEX(SubMap!$B$2:$AE$12,MATCH($C167,SubMap!$A$2:$A$12,0),0)=2)*Attempts!$AR167:$BU167),0))</f>
        <v/>
      </c>
      <c r="J167">
        <f>IF($A167="","",IFERROR(COUNTIF(INDEX(SubMap!$B$2:$AE$12,MATCH($C167,SubMap!$A$2:$A$12,0),0),2),0))</f>
        <v/>
      </c>
      <c r="K167">
        <f>IF(OR($A167="",J167=0),"",ROUND(I167/J167*100,1))</f>
        <v/>
      </c>
      <c r="L167">
        <f>IF($A167="","",IFERROR(INDEX(Papers!$G$2:$G$12,MATCH($C167,Papers!$A$2:$A$12,0)),""))</f>
        <v/>
      </c>
      <c r="M167">
        <f>IF($A167="","",IFERROR(SUMPRODUCT((INDEX(SubMap!$B$2:$AE$12,MATCH($C167,SubMap!$A$2:$A$12,0),0)=3)*Attempts!$AR167:$BU167),0))</f>
        <v/>
      </c>
      <c r="N167">
        <f>IF($A167="","",IFERROR(COUNTIF(INDEX(SubMap!$B$2:$AE$12,MATCH($C167,SubMap!$A$2:$A$12,0),0),3),0))</f>
        <v/>
      </c>
      <c r="O167">
        <f>IF(OR($A167="",N167=0),"",ROUND(M167/N167*100,1))</f>
        <v/>
      </c>
      <c r="P167">
        <f>IF($A167="","",IFERROR(INDEX(Papers!$H$2:$H$12,MATCH($C167,Papers!$A$2:$A$12,0)),""))</f>
        <v/>
      </c>
      <c r="Q167">
        <f>IF($A167="","",IFERROR(SUMPRODUCT((INDEX(SubMap!$B$2:$AE$12,MATCH($C167,SubMap!$A$2:$A$12,0),0)=4)*Attempts!$AR167:$BU167),0))</f>
        <v/>
      </c>
      <c r="R167">
        <f>IF($A167="","",IFERROR(COUNTIF(INDEX(SubMap!$B$2:$AE$12,MATCH($C167,SubMap!$A$2:$A$12,0),0),4),0))</f>
        <v/>
      </c>
      <c r="S167">
        <f>IF(OR($A167="",R167=0),"",ROUND(Q167/R167*100,1))</f>
        <v/>
      </c>
      <c r="T167">
        <f>IF($A167="","",IFERROR(INDEX(Papers!$I$2:$I$12,MATCH($C167,Papers!$A$2:$A$12,0)),""))</f>
        <v/>
      </c>
      <c r="U167">
        <f>IF($A167="","",IFERROR(SUMPRODUCT((INDEX(SubMap!$B$2:$AE$12,MATCH($C167,SubMap!$A$2:$A$12,0),0)=5)*Attempts!$AR167:$BU167),0))</f>
        <v/>
      </c>
      <c r="V167">
        <f>IF($A167="","",IFERROR(COUNTIF(INDEX(SubMap!$B$2:$AE$12,MATCH($C167,SubMap!$A$2:$A$12,0),0),5),0))</f>
        <v/>
      </c>
      <c r="W167">
        <f>IF(OR($A167="",V167=0),"",ROUND(U167/V167*100,1))</f>
        <v/>
      </c>
      <c r="X167">
        <f>IF($A167="","",IFERROR(INDEX(Papers!$J$2:$J$12,MATCH($C167,Papers!$A$2:$A$12,0)),""))</f>
        <v/>
      </c>
      <c r="Y167">
        <f>IF($A167="","",IFERROR(SUMPRODUCT((INDEX(SubMap!$B$2:$AE$12,MATCH($C167,SubMap!$A$2:$A$12,0),0)=6)*Attempts!$AR167:$BU167),0))</f>
        <v/>
      </c>
      <c r="Z167">
        <f>IF($A167="","",IFERROR(COUNTIF(INDEX(SubMap!$B$2:$AE$12,MATCH($C167,SubMap!$A$2:$A$12,0),0),6),0))</f>
        <v/>
      </c>
      <c r="AA167">
        <f>IF(OR($A167="",Z167=0),"",ROUND(Y167/Z167*100,1))</f>
        <v/>
      </c>
      <c r="AB167">
        <f>IF($A167="","",IFERROR(INDEX(CHOOSE({1,2,3,4,5,6},D167,H167,L167,P167,T167,X167),MATCH(MIN(G167,K167,O167,S167,W167,AA167),CHOOSE({1,2,3,4,5,6},G167,K167,O167,S167,W167,AA167),0)),""))</f>
        <v/>
      </c>
      <c r="AC167">
        <f>IF($A167="","",IF(COUNT(G167,K167,O167,S167,W167,AA167)=0,"",MIN(G167,K167,O167,S167,W167,AA167)))</f>
        <v/>
      </c>
      <c r="AD167">
        <f>IF($A167="","",IFERROR(INDEX(CHOOSE({1,2,3,4,5,6},IFERROR(INDEX(Papers!$K$2:$K$12,MATCH($C167,Papers!$A$2:$A$12,0)),""),IFERROR(INDEX(Papers!$L$2:$L$12,MATCH($C167,Papers!$A$2:$A$12,0)),""),IFERROR(INDEX(Papers!$M$2:$M$12,MATCH($C167,Papers!$A$2:$A$12,0)),""),IFERROR(INDEX(Papers!$N$2:$N$12,MATCH($C167,Papers!$A$2:$A$12,0)),""),IFERROR(INDEX(Papers!$O$2:$O$12,MATCH($C167,Papers!$A$2:$A$12,0)),""),IFERROR(INDEX(Papers!$P$2:$P$12,MATCH($C167,Papers!$A$2:$A$12,0)),"")),MATCH(MIN(G167,K167,O167,S167,W167,AA167),CHOOSE({1,2,3,4,5,6},G167,K167,O167,S167,W167,AA167),0)),""))</f>
        <v/>
      </c>
      <c r="AE167">
        <f>IF(AC167="","",IF(AC167&lt;50,"Re-teach",IF(AC167&lt;75,"Practice more","Relatively secure")))</f>
        <v/>
      </c>
    </row>
    <row r="168">
      <c r="A168">
        <f>IF(Attempts!A168="","",Attempts!A168)</f>
        <v/>
      </c>
      <c r="B168">
        <f>IF(Attempts!A168="","",Attempts!B168)</f>
        <v/>
      </c>
      <c r="C168">
        <f>IF(Attempts!A168="","",Attempts!D168)</f>
        <v/>
      </c>
      <c r="D168">
        <f>IF($A168="","",IFERROR(INDEX(Papers!$E$2:$E$12,MATCH($C168,Papers!$A$2:$A$12,0)),""))</f>
        <v/>
      </c>
      <c r="E168">
        <f>IF($A168="","",IFERROR(SUMPRODUCT((INDEX(SubMap!$B$2:$AE$12,MATCH($C168,SubMap!$A$2:$A$12,0),0)=1)*Attempts!$AR168:$BU168),0))</f>
        <v/>
      </c>
      <c r="F168">
        <f>IF($A168="","",IFERROR(COUNTIF(INDEX(SubMap!$B$2:$AE$12,MATCH($C168,SubMap!$A$2:$A$12,0),0),1),0))</f>
        <v/>
      </c>
      <c r="G168">
        <f>IF(OR($A168="",F168=0),"",ROUND(E168/F168*100,1))</f>
        <v/>
      </c>
      <c r="H168">
        <f>IF($A168="","",IFERROR(INDEX(Papers!$F$2:$F$12,MATCH($C168,Papers!$A$2:$A$12,0)),""))</f>
        <v/>
      </c>
      <c r="I168">
        <f>IF($A168="","",IFERROR(SUMPRODUCT((INDEX(SubMap!$B$2:$AE$12,MATCH($C168,SubMap!$A$2:$A$12,0),0)=2)*Attempts!$AR168:$BU168),0))</f>
        <v/>
      </c>
      <c r="J168">
        <f>IF($A168="","",IFERROR(COUNTIF(INDEX(SubMap!$B$2:$AE$12,MATCH($C168,SubMap!$A$2:$A$12,0),0),2),0))</f>
        <v/>
      </c>
      <c r="K168">
        <f>IF(OR($A168="",J168=0),"",ROUND(I168/J168*100,1))</f>
        <v/>
      </c>
      <c r="L168">
        <f>IF($A168="","",IFERROR(INDEX(Papers!$G$2:$G$12,MATCH($C168,Papers!$A$2:$A$12,0)),""))</f>
        <v/>
      </c>
      <c r="M168">
        <f>IF($A168="","",IFERROR(SUMPRODUCT((INDEX(SubMap!$B$2:$AE$12,MATCH($C168,SubMap!$A$2:$A$12,0),0)=3)*Attempts!$AR168:$BU168),0))</f>
        <v/>
      </c>
      <c r="N168">
        <f>IF($A168="","",IFERROR(COUNTIF(INDEX(SubMap!$B$2:$AE$12,MATCH($C168,SubMap!$A$2:$A$12,0),0),3),0))</f>
        <v/>
      </c>
      <c r="O168">
        <f>IF(OR($A168="",N168=0),"",ROUND(M168/N168*100,1))</f>
        <v/>
      </c>
      <c r="P168">
        <f>IF($A168="","",IFERROR(INDEX(Papers!$H$2:$H$12,MATCH($C168,Papers!$A$2:$A$12,0)),""))</f>
        <v/>
      </c>
      <c r="Q168">
        <f>IF($A168="","",IFERROR(SUMPRODUCT((INDEX(SubMap!$B$2:$AE$12,MATCH($C168,SubMap!$A$2:$A$12,0),0)=4)*Attempts!$AR168:$BU168),0))</f>
        <v/>
      </c>
      <c r="R168">
        <f>IF($A168="","",IFERROR(COUNTIF(INDEX(SubMap!$B$2:$AE$12,MATCH($C168,SubMap!$A$2:$A$12,0),0),4),0))</f>
        <v/>
      </c>
      <c r="S168">
        <f>IF(OR($A168="",R168=0),"",ROUND(Q168/R168*100,1))</f>
        <v/>
      </c>
      <c r="T168">
        <f>IF($A168="","",IFERROR(INDEX(Papers!$I$2:$I$12,MATCH($C168,Papers!$A$2:$A$12,0)),""))</f>
        <v/>
      </c>
      <c r="U168">
        <f>IF($A168="","",IFERROR(SUMPRODUCT((INDEX(SubMap!$B$2:$AE$12,MATCH($C168,SubMap!$A$2:$A$12,0),0)=5)*Attempts!$AR168:$BU168),0))</f>
        <v/>
      </c>
      <c r="V168">
        <f>IF($A168="","",IFERROR(COUNTIF(INDEX(SubMap!$B$2:$AE$12,MATCH($C168,SubMap!$A$2:$A$12,0),0),5),0))</f>
        <v/>
      </c>
      <c r="W168">
        <f>IF(OR($A168="",V168=0),"",ROUND(U168/V168*100,1))</f>
        <v/>
      </c>
      <c r="X168">
        <f>IF($A168="","",IFERROR(INDEX(Papers!$J$2:$J$12,MATCH($C168,Papers!$A$2:$A$12,0)),""))</f>
        <v/>
      </c>
      <c r="Y168">
        <f>IF($A168="","",IFERROR(SUMPRODUCT((INDEX(SubMap!$B$2:$AE$12,MATCH($C168,SubMap!$A$2:$A$12,0),0)=6)*Attempts!$AR168:$BU168),0))</f>
        <v/>
      </c>
      <c r="Z168">
        <f>IF($A168="","",IFERROR(COUNTIF(INDEX(SubMap!$B$2:$AE$12,MATCH($C168,SubMap!$A$2:$A$12,0),0),6),0))</f>
        <v/>
      </c>
      <c r="AA168">
        <f>IF(OR($A168="",Z168=0),"",ROUND(Y168/Z168*100,1))</f>
        <v/>
      </c>
      <c r="AB168">
        <f>IF($A168="","",IFERROR(INDEX(CHOOSE({1,2,3,4,5,6},D168,H168,L168,P168,T168,X168),MATCH(MIN(G168,K168,O168,S168,W168,AA168),CHOOSE({1,2,3,4,5,6},G168,K168,O168,S168,W168,AA168),0)),""))</f>
        <v/>
      </c>
      <c r="AC168">
        <f>IF($A168="","",IF(COUNT(G168,K168,O168,S168,W168,AA168)=0,"",MIN(G168,K168,O168,S168,W168,AA168)))</f>
        <v/>
      </c>
      <c r="AD168">
        <f>IF($A168="","",IFERROR(INDEX(CHOOSE({1,2,3,4,5,6},IFERROR(INDEX(Papers!$K$2:$K$12,MATCH($C168,Papers!$A$2:$A$12,0)),""),IFERROR(INDEX(Papers!$L$2:$L$12,MATCH($C168,Papers!$A$2:$A$12,0)),""),IFERROR(INDEX(Papers!$M$2:$M$12,MATCH($C168,Papers!$A$2:$A$12,0)),""),IFERROR(INDEX(Papers!$N$2:$N$12,MATCH($C168,Papers!$A$2:$A$12,0)),""),IFERROR(INDEX(Papers!$O$2:$O$12,MATCH($C168,Papers!$A$2:$A$12,0)),""),IFERROR(INDEX(Papers!$P$2:$P$12,MATCH($C168,Papers!$A$2:$A$12,0)),"")),MATCH(MIN(G168,K168,O168,S168,W168,AA168),CHOOSE({1,2,3,4,5,6},G168,K168,O168,S168,W168,AA168),0)),""))</f>
        <v/>
      </c>
      <c r="AE168">
        <f>IF(AC168="","",IF(AC168&lt;50,"Re-teach",IF(AC168&lt;75,"Practice more","Relatively secure")))</f>
        <v/>
      </c>
    </row>
    <row r="169">
      <c r="A169">
        <f>IF(Attempts!A169="","",Attempts!A169)</f>
        <v/>
      </c>
      <c r="B169">
        <f>IF(Attempts!A169="","",Attempts!B169)</f>
        <v/>
      </c>
      <c r="C169">
        <f>IF(Attempts!A169="","",Attempts!D169)</f>
        <v/>
      </c>
      <c r="D169">
        <f>IF($A169="","",IFERROR(INDEX(Papers!$E$2:$E$12,MATCH($C169,Papers!$A$2:$A$12,0)),""))</f>
        <v/>
      </c>
      <c r="E169">
        <f>IF($A169="","",IFERROR(SUMPRODUCT((INDEX(SubMap!$B$2:$AE$12,MATCH($C169,SubMap!$A$2:$A$12,0),0)=1)*Attempts!$AR169:$BU169),0))</f>
        <v/>
      </c>
      <c r="F169">
        <f>IF($A169="","",IFERROR(COUNTIF(INDEX(SubMap!$B$2:$AE$12,MATCH($C169,SubMap!$A$2:$A$12,0),0),1),0))</f>
        <v/>
      </c>
      <c r="G169">
        <f>IF(OR($A169="",F169=0),"",ROUND(E169/F169*100,1))</f>
        <v/>
      </c>
      <c r="H169">
        <f>IF($A169="","",IFERROR(INDEX(Papers!$F$2:$F$12,MATCH($C169,Papers!$A$2:$A$12,0)),""))</f>
        <v/>
      </c>
      <c r="I169">
        <f>IF($A169="","",IFERROR(SUMPRODUCT((INDEX(SubMap!$B$2:$AE$12,MATCH($C169,SubMap!$A$2:$A$12,0),0)=2)*Attempts!$AR169:$BU169),0))</f>
        <v/>
      </c>
      <c r="J169">
        <f>IF($A169="","",IFERROR(COUNTIF(INDEX(SubMap!$B$2:$AE$12,MATCH($C169,SubMap!$A$2:$A$12,0),0),2),0))</f>
        <v/>
      </c>
      <c r="K169">
        <f>IF(OR($A169="",J169=0),"",ROUND(I169/J169*100,1))</f>
        <v/>
      </c>
      <c r="L169">
        <f>IF($A169="","",IFERROR(INDEX(Papers!$G$2:$G$12,MATCH($C169,Papers!$A$2:$A$12,0)),""))</f>
        <v/>
      </c>
      <c r="M169">
        <f>IF($A169="","",IFERROR(SUMPRODUCT((INDEX(SubMap!$B$2:$AE$12,MATCH($C169,SubMap!$A$2:$A$12,0),0)=3)*Attempts!$AR169:$BU169),0))</f>
        <v/>
      </c>
      <c r="N169">
        <f>IF($A169="","",IFERROR(COUNTIF(INDEX(SubMap!$B$2:$AE$12,MATCH($C169,SubMap!$A$2:$A$12,0),0),3),0))</f>
        <v/>
      </c>
      <c r="O169">
        <f>IF(OR($A169="",N169=0),"",ROUND(M169/N169*100,1))</f>
        <v/>
      </c>
      <c r="P169">
        <f>IF($A169="","",IFERROR(INDEX(Papers!$H$2:$H$12,MATCH($C169,Papers!$A$2:$A$12,0)),""))</f>
        <v/>
      </c>
      <c r="Q169">
        <f>IF($A169="","",IFERROR(SUMPRODUCT((INDEX(SubMap!$B$2:$AE$12,MATCH($C169,SubMap!$A$2:$A$12,0),0)=4)*Attempts!$AR169:$BU169),0))</f>
        <v/>
      </c>
      <c r="R169">
        <f>IF($A169="","",IFERROR(COUNTIF(INDEX(SubMap!$B$2:$AE$12,MATCH($C169,SubMap!$A$2:$A$12,0),0),4),0))</f>
        <v/>
      </c>
      <c r="S169">
        <f>IF(OR($A169="",R169=0),"",ROUND(Q169/R169*100,1))</f>
        <v/>
      </c>
      <c r="T169">
        <f>IF($A169="","",IFERROR(INDEX(Papers!$I$2:$I$12,MATCH($C169,Papers!$A$2:$A$12,0)),""))</f>
        <v/>
      </c>
      <c r="U169">
        <f>IF($A169="","",IFERROR(SUMPRODUCT((INDEX(SubMap!$B$2:$AE$12,MATCH($C169,SubMap!$A$2:$A$12,0),0)=5)*Attempts!$AR169:$BU169),0))</f>
        <v/>
      </c>
      <c r="V169">
        <f>IF($A169="","",IFERROR(COUNTIF(INDEX(SubMap!$B$2:$AE$12,MATCH($C169,SubMap!$A$2:$A$12,0),0),5),0))</f>
        <v/>
      </c>
      <c r="W169">
        <f>IF(OR($A169="",V169=0),"",ROUND(U169/V169*100,1))</f>
        <v/>
      </c>
      <c r="X169">
        <f>IF($A169="","",IFERROR(INDEX(Papers!$J$2:$J$12,MATCH($C169,Papers!$A$2:$A$12,0)),""))</f>
        <v/>
      </c>
      <c r="Y169">
        <f>IF($A169="","",IFERROR(SUMPRODUCT((INDEX(SubMap!$B$2:$AE$12,MATCH($C169,SubMap!$A$2:$A$12,0),0)=6)*Attempts!$AR169:$BU169),0))</f>
        <v/>
      </c>
      <c r="Z169">
        <f>IF($A169="","",IFERROR(COUNTIF(INDEX(SubMap!$B$2:$AE$12,MATCH($C169,SubMap!$A$2:$A$12,0),0),6),0))</f>
        <v/>
      </c>
      <c r="AA169">
        <f>IF(OR($A169="",Z169=0),"",ROUND(Y169/Z169*100,1))</f>
        <v/>
      </c>
      <c r="AB169">
        <f>IF($A169="","",IFERROR(INDEX(CHOOSE({1,2,3,4,5,6},D169,H169,L169,P169,T169,X169),MATCH(MIN(G169,K169,O169,S169,W169,AA169),CHOOSE({1,2,3,4,5,6},G169,K169,O169,S169,W169,AA169),0)),""))</f>
        <v/>
      </c>
      <c r="AC169">
        <f>IF($A169="","",IF(COUNT(G169,K169,O169,S169,W169,AA169)=0,"",MIN(G169,K169,O169,S169,W169,AA169)))</f>
        <v/>
      </c>
      <c r="AD169">
        <f>IF($A169="","",IFERROR(INDEX(CHOOSE({1,2,3,4,5,6},IFERROR(INDEX(Papers!$K$2:$K$12,MATCH($C169,Papers!$A$2:$A$12,0)),""),IFERROR(INDEX(Papers!$L$2:$L$12,MATCH($C169,Papers!$A$2:$A$12,0)),""),IFERROR(INDEX(Papers!$M$2:$M$12,MATCH($C169,Papers!$A$2:$A$12,0)),""),IFERROR(INDEX(Papers!$N$2:$N$12,MATCH($C169,Papers!$A$2:$A$12,0)),""),IFERROR(INDEX(Papers!$O$2:$O$12,MATCH($C169,Papers!$A$2:$A$12,0)),""),IFERROR(INDEX(Papers!$P$2:$P$12,MATCH($C169,Papers!$A$2:$A$12,0)),"")),MATCH(MIN(G169,K169,O169,S169,W169,AA169),CHOOSE({1,2,3,4,5,6},G169,K169,O169,S169,W169,AA169),0)),""))</f>
        <v/>
      </c>
      <c r="AE169">
        <f>IF(AC169="","",IF(AC169&lt;50,"Re-teach",IF(AC169&lt;75,"Practice more","Relatively secure")))</f>
        <v/>
      </c>
    </row>
    <row r="170">
      <c r="A170">
        <f>IF(Attempts!A170="","",Attempts!A170)</f>
        <v/>
      </c>
      <c r="B170">
        <f>IF(Attempts!A170="","",Attempts!B170)</f>
        <v/>
      </c>
      <c r="C170">
        <f>IF(Attempts!A170="","",Attempts!D170)</f>
        <v/>
      </c>
      <c r="D170">
        <f>IF($A170="","",IFERROR(INDEX(Papers!$E$2:$E$12,MATCH($C170,Papers!$A$2:$A$12,0)),""))</f>
        <v/>
      </c>
      <c r="E170">
        <f>IF($A170="","",IFERROR(SUMPRODUCT((INDEX(SubMap!$B$2:$AE$12,MATCH($C170,SubMap!$A$2:$A$12,0),0)=1)*Attempts!$AR170:$BU170),0))</f>
        <v/>
      </c>
      <c r="F170">
        <f>IF($A170="","",IFERROR(COUNTIF(INDEX(SubMap!$B$2:$AE$12,MATCH($C170,SubMap!$A$2:$A$12,0),0),1),0))</f>
        <v/>
      </c>
      <c r="G170">
        <f>IF(OR($A170="",F170=0),"",ROUND(E170/F170*100,1))</f>
        <v/>
      </c>
      <c r="H170">
        <f>IF($A170="","",IFERROR(INDEX(Papers!$F$2:$F$12,MATCH($C170,Papers!$A$2:$A$12,0)),""))</f>
        <v/>
      </c>
      <c r="I170">
        <f>IF($A170="","",IFERROR(SUMPRODUCT((INDEX(SubMap!$B$2:$AE$12,MATCH($C170,SubMap!$A$2:$A$12,0),0)=2)*Attempts!$AR170:$BU170),0))</f>
        <v/>
      </c>
      <c r="J170">
        <f>IF($A170="","",IFERROR(COUNTIF(INDEX(SubMap!$B$2:$AE$12,MATCH($C170,SubMap!$A$2:$A$12,0),0),2),0))</f>
        <v/>
      </c>
      <c r="K170">
        <f>IF(OR($A170="",J170=0),"",ROUND(I170/J170*100,1))</f>
        <v/>
      </c>
      <c r="L170">
        <f>IF($A170="","",IFERROR(INDEX(Papers!$G$2:$G$12,MATCH($C170,Papers!$A$2:$A$12,0)),""))</f>
        <v/>
      </c>
      <c r="M170">
        <f>IF($A170="","",IFERROR(SUMPRODUCT((INDEX(SubMap!$B$2:$AE$12,MATCH($C170,SubMap!$A$2:$A$12,0),0)=3)*Attempts!$AR170:$BU170),0))</f>
        <v/>
      </c>
      <c r="N170">
        <f>IF($A170="","",IFERROR(COUNTIF(INDEX(SubMap!$B$2:$AE$12,MATCH($C170,SubMap!$A$2:$A$12,0),0),3),0))</f>
        <v/>
      </c>
      <c r="O170">
        <f>IF(OR($A170="",N170=0),"",ROUND(M170/N170*100,1))</f>
        <v/>
      </c>
      <c r="P170">
        <f>IF($A170="","",IFERROR(INDEX(Papers!$H$2:$H$12,MATCH($C170,Papers!$A$2:$A$12,0)),""))</f>
        <v/>
      </c>
      <c r="Q170">
        <f>IF($A170="","",IFERROR(SUMPRODUCT((INDEX(SubMap!$B$2:$AE$12,MATCH($C170,SubMap!$A$2:$A$12,0),0)=4)*Attempts!$AR170:$BU170),0))</f>
        <v/>
      </c>
      <c r="R170">
        <f>IF($A170="","",IFERROR(COUNTIF(INDEX(SubMap!$B$2:$AE$12,MATCH($C170,SubMap!$A$2:$A$12,0),0),4),0))</f>
        <v/>
      </c>
      <c r="S170">
        <f>IF(OR($A170="",R170=0),"",ROUND(Q170/R170*100,1))</f>
        <v/>
      </c>
      <c r="T170">
        <f>IF($A170="","",IFERROR(INDEX(Papers!$I$2:$I$12,MATCH($C170,Papers!$A$2:$A$12,0)),""))</f>
        <v/>
      </c>
      <c r="U170">
        <f>IF($A170="","",IFERROR(SUMPRODUCT((INDEX(SubMap!$B$2:$AE$12,MATCH($C170,SubMap!$A$2:$A$12,0),0)=5)*Attempts!$AR170:$BU170),0))</f>
        <v/>
      </c>
      <c r="V170">
        <f>IF($A170="","",IFERROR(COUNTIF(INDEX(SubMap!$B$2:$AE$12,MATCH($C170,SubMap!$A$2:$A$12,0),0),5),0))</f>
        <v/>
      </c>
      <c r="W170">
        <f>IF(OR($A170="",V170=0),"",ROUND(U170/V170*100,1))</f>
        <v/>
      </c>
      <c r="X170">
        <f>IF($A170="","",IFERROR(INDEX(Papers!$J$2:$J$12,MATCH($C170,Papers!$A$2:$A$12,0)),""))</f>
        <v/>
      </c>
      <c r="Y170">
        <f>IF($A170="","",IFERROR(SUMPRODUCT((INDEX(SubMap!$B$2:$AE$12,MATCH($C170,SubMap!$A$2:$A$12,0),0)=6)*Attempts!$AR170:$BU170),0))</f>
        <v/>
      </c>
      <c r="Z170">
        <f>IF($A170="","",IFERROR(COUNTIF(INDEX(SubMap!$B$2:$AE$12,MATCH($C170,SubMap!$A$2:$A$12,0),0),6),0))</f>
        <v/>
      </c>
      <c r="AA170">
        <f>IF(OR($A170="",Z170=0),"",ROUND(Y170/Z170*100,1))</f>
        <v/>
      </c>
      <c r="AB170">
        <f>IF($A170="","",IFERROR(INDEX(CHOOSE({1,2,3,4,5,6},D170,H170,L170,P170,T170,X170),MATCH(MIN(G170,K170,O170,S170,W170,AA170),CHOOSE({1,2,3,4,5,6},G170,K170,O170,S170,W170,AA170),0)),""))</f>
        <v/>
      </c>
      <c r="AC170">
        <f>IF($A170="","",IF(COUNT(G170,K170,O170,S170,W170,AA170)=0,"",MIN(G170,K170,O170,S170,W170,AA170)))</f>
        <v/>
      </c>
      <c r="AD170">
        <f>IF($A170="","",IFERROR(INDEX(CHOOSE({1,2,3,4,5,6},IFERROR(INDEX(Papers!$K$2:$K$12,MATCH($C170,Papers!$A$2:$A$12,0)),""),IFERROR(INDEX(Papers!$L$2:$L$12,MATCH($C170,Papers!$A$2:$A$12,0)),""),IFERROR(INDEX(Papers!$M$2:$M$12,MATCH($C170,Papers!$A$2:$A$12,0)),""),IFERROR(INDEX(Papers!$N$2:$N$12,MATCH($C170,Papers!$A$2:$A$12,0)),""),IFERROR(INDEX(Papers!$O$2:$O$12,MATCH($C170,Papers!$A$2:$A$12,0)),""),IFERROR(INDEX(Papers!$P$2:$P$12,MATCH($C170,Papers!$A$2:$A$12,0)),"")),MATCH(MIN(G170,K170,O170,S170,W170,AA170),CHOOSE({1,2,3,4,5,6},G170,K170,O170,S170,W170,AA170),0)),""))</f>
        <v/>
      </c>
      <c r="AE170">
        <f>IF(AC170="","",IF(AC170&lt;50,"Re-teach",IF(AC170&lt;75,"Practice more","Relatively secure")))</f>
        <v/>
      </c>
    </row>
    <row r="171">
      <c r="A171">
        <f>IF(Attempts!A171="","",Attempts!A171)</f>
        <v/>
      </c>
      <c r="B171">
        <f>IF(Attempts!A171="","",Attempts!B171)</f>
        <v/>
      </c>
      <c r="C171">
        <f>IF(Attempts!A171="","",Attempts!D171)</f>
        <v/>
      </c>
      <c r="D171">
        <f>IF($A171="","",IFERROR(INDEX(Papers!$E$2:$E$12,MATCH($C171,Papers!$A$2:$A$12,0)),""))</f>
        <v/>
      </c>
      <c r="E171">
        <f>IF($A171="","",IFERROR(SUMPRODUCT((INDEX(SubMap!$B$2:$AE$12,MATCH($C171,SubMap!$A$2:$A$12,0),0)=1)*Attempts!$AR171:$BU171),0))</f>
        <v/>
      </c>
      <c r="F171">
        <f>IF($A171="","",IFERROR(COUNTIF(INDEX(SubMap!$B$2:$AE$12,MATCH($C171,SubMap!$A$2:$A$12,0),0),1),0))</f>
        <v/>
      </c>
      <c r="G171">
        <f>IF(OR($A171="",F171=0),"",ROUND(E171/F171*100,1))</f>
        <v/>
      </c>
      <c r="H171">
        <f>IF($A171="","",IFERROR(INDEX(Papers!$F$2:$F$12,MATCH($C171,Papers!$A$2:$A$12,0)),""))</f>
        <v/>
      </c>
      <c r="I171">
        <f>IF($A171="","",IFERROR(SUMPRODUCT((INDEX(SubMap!$B$2:$AE$12,MATCH($C171,SubMap!$A$2:$A$12,0),0)=2)*Attempts!$AR171:$BU171),0))</f>
        <v/>
      </c>
      <c r="J171">
        <f>IF($A171="","",IFERROR(COUNTIF(INDEX(SubMap!$B$2:$AE$12,MATCH($C171,SubMap!$A$2:$A$12,0),0),2),0))</f>
        <v/>
      </c>
      <c r="K171">
        <f>IF(OR($A171="",J171=0),"",ROUND(I171/J171*100,1))</f>
        <v/>
      </c>
      <c r="L171">
        <f>IF($A171="","",IFERROR(INDEX(Papers!$G$2:$G$12,MATCH($C171,Papers!$A$2:$A$12,0)),""))</f>
        <v/>
      </c>
      <c r="M171">
        <f>IF($A171="","",IFERROR(SUMPRODUCT((INDEX(SubMap!$B$2:$AE$12,MATCH($C171,SubMap!$A$2:$A$12,0),0)=3)*Attempts!$AR171:$BU171),0))</f>
        <v/>
      </c>
      <c r="N171">
        <f>IF($A171="","",IFERROR(COUNTIF(INDEX(SubMap!$B$2:$AE$12,MATCH($C171,SubMap!$A$2:$A$12,0),0),3),0))</f>
        <v/>
      </c>
      <c r="O171">
        <f>IF(OR($A171="",N171=0),"",ROUND(M171/N171*100,1))</f>
        <v/>
      </c>
      <c r="P171">
        <f>IF($A171="","",IFERROR(INDEX(Papers!$H$2:$H$12,MATCH($C171,Papers!$A$2:$A$12,0)),""))</f>
        <v/>
      </c>
      <c r="Q171">
        <f>IF($A171="","",IFERROR(SUMPRODUCT((INDEX(SubMap!$B$2:$AE$12,MATCH($C171,SubMap!$A$2:$A$12,0),0)=4)*Attempts!$AR171:$BU171),0))</f>
        <v/>
      </c>
      <c r="R171">
        <f>IF($A171="","",IFERROR(COUNTIF(INDEX(SubMap!$B$2:$AE$12,MATCH($C171,SubMap!$A$2:$A$12,0),0),4),0))</f>
        <v/>
      </c>
      <c r="S171">
        <f>IF(OR($A171="",R171=0),"",ROUND(Q171/R171*100,1))</f>
        <v/>
      </c>
      <c r="T171">
        <f>IF($A171="","",IFERROR(INDEX(Papers!$I$2:$I$12,MATCH($C171,Papers!$A$2:$A$12,0)),""))</f>
        <v/>
      </c>
      <c r="U171">
        <f>IF($A171="","",IFERROR(SUMPRODUCT((INDEX(SubMap!$B$2:$AE$12,MATCH($C171,SubMap!$A$2:$A$12,0),0)=5)*Attempts!$AR171:$BU171),0))</f>
        <v/>
      </c>
      <c r="V171">
        <f>IF($A171="","",IFERROR(COUNTIF(INDEX(SubMap!$B$2:$AE$12,MATCH($C171,SubMap!$A$2:$A$12,0),0),5),0))</f>
        <v/>
      </c>
      <c r="W171">
        <f>IF(OR($A171="",V171=0),"",ROUND(U171/V171*100,1))</f>
        <v/>
      </c>
      <c r="X171">
        <f>IF($A171="","",IFERROR(INDEX(Papers!$J$2:$J$12,MATCH($C171,Papers!$A$2:$A$12,0)),""))</f>
        <v/>
      </c>
      <c r="Y171">
        <f>IF($A171="","",IFERROR(SUMPRODUCT((INDEX(SubMap!$B$2:$AE$12,MATCH($C171,SubMap!$A$2:$A$12,0),0)=6)*Attempts!$AR171:$BU171),0))</f>
        <v/>
      </c>
      <c r="Z171">
        <f>IF($A171="","",IFERROR(COUNTIF(INDEX(SubMap!$B$2:$AE$12,MATCH($C171,SubMap!$A$2:$A$12,0),0),6),0))</f>
        <v/>
      </c>
      <c r="AA171">
        <f>IF(OR($A171="",Z171=0),"",ROUND(Y171/Z171*100,1))</f>
        <v/>
      </c>
      <c r="AB171">
        <f>IF($A171="","",IFERROR(INDEX(CHOOSE({1,2,3,4,5,6},D171,H171,L171,P171,T171,X171),MATCH(MIN(G171,K171,O171,S171,W171,AA171),CHOOSE({1,2,3,4,5,6},G171,K171,O171,S171,W171,AA171),0)),""))</f>
        <v/>
      </c>
      <c r="AC171">
        <f>IF($A171="","",IF(COUNT(G171,K171,O171,S171,W171,AA171)=0,"",MIN(G171,K171,O171,S171,W171,AA171)))</f>
        <v/>
      </c>
      <c r="AD171">
        <f>IF($A171="","",IFERROR(INDEX(CHOOSE({1,2,3,4,5,6},IFERROR(INDEX(Papers!$K$2:$K$12,MATCH($C171,Papers!$A$2:$A$12,0)),""),IFERROR(INDEX(Papers!$L$2:$L$12,MATCH($C171,Papers!$A$2:$A$12,0)),""),IFERROR(INDEX(Papers!$M$2:$M$12,MATCH($C171,Papers!$A$2:$A$12,0)),""),IFERROR(INDEX(Papers!$N$2:$N$12,MATCH($C171,Papers!$A$2:$A$12,0)),""),IFERROR(INDEX(Papers!$O$2:$O$12,MATCH($C171,Papers!$A$2:$A$12,0)),""),IFERROR(INDEX(Papers!$P$2:$P$12,MATCH($C171,Papers!$A$2:$A$12,0)),"")),MATCH(MIN(G171,K171,O171,S171,W171,AA171),CHOOSE({1,2,3,4,5,6},G171,K171,O171,S171,W171,AA171),0)),""))</f>
        <v/>
      </c>
      <c r="AE171">
        <f>IF(AC171="","",IF(AC171&lt;50,"Re-teach",IF(AC171&lt;75,"Practice more","Relatively secure")))</f>
        <v/>
      </c>
    </row>
    <row r="172">
      <c r="A172">
        <f>IF(Attempts!A172="","",Attempts!A172)</f>
        <v/>
      </c>
      <c r="B172">
        <f>IF(Attempts!A172="","",Attempts!B172)</f>
        <v/>
      </c>
      <c r="C172">
        <f>IF(Attempts!A172="","",Attempts!D172)</f>
        <v/>
      </c>
      <c r="D172">
        <f>IF($A172="","",IFERROR(INDEX(Papers!$E$2:$E$12,MATCH($C172,Papers!$A$2:$A$12,0)),""))</f>
        <v/>
      </c>
      <c r="E172">
        <f>IF($A172="","",IFERROR(SUMPRODUCT((INDEX(SubMap!$B$2:$AE$12,MATCH($C172,SubMap!$A$2:$A$12,0),0)=1)*Attempts!$AR172:$BU172),0))</f>
        <v/>
      </c>
      <c r="F172">
        <f>IF($A172="","",IFERROR(COUNTIF(INDEX(SubMap!$B$2:$AE$12,MATCH($C172,SubMap!$A$2:$A$12,0),0),1),0))</f>
        <v/>
      </c>
      <c r="G172">
        <f>IF(OR($A172="",F172=0),"",ROUND(E172/F172*100,1))</f>
        <v/>
      </c>
      <c r="H172">
        <f>IF($A172="","",IFERROR(INDEX(Papers!$F$2:$F$12,MATCH($C172,Papers!$A$2:$A$12,0)),""))</f>
        <v/>
      </c>
      <c r="I172">
        <f>IF($A172="","",IFERROR(SUMPRODUCT((INDEX(SubMap!$B$2:$AE$12,MATCH($C172,SubMap!$A$2:$A$12,0),0)=2)*Attempts!$AR172:$BU172),0))</f>
        <v/>
      </c>
      <c r="J172">
        <f>IF($A172="","",IFERROR(COUNTIF(INDEX(SubMap!$B$2:$AE$12,MATCH($C172,SubMap!$A$2:$A$12,0),0),2),0))</f>
        <v/>
      </c>
      <c r="K172">
        <f>IF(OR($A172="",J172=0),"",ROUND(I172/J172*100,1))</f>
        <v/>
      </c>
      <c r="L172">
        <f>IF($A172="","",IFERROR(INDEX(Papers!$G$2:$G$12,MATCH($C172,Papers!$A$2:$A$12,0)),""))</f>
        <v/>
      </c>
      <c r="M172">
        <f>IF($A172="","",IFERROR(SUMPRODUCT((INDEX(SubMap!$B$2:$AE$12,MATCH($C172,SubMap!$A$2:$A$12,0),0)=3)*Attempts!$AR172:$BU172),0))</f>
        <v/>
      </c>
      <c r="N172">
        <f>IF($A172="","",IFERROR(COUNTIF(INDEX(SubMap!$B$2:$AE$12,MATCH($C172,SubMap!$A$2:$A$12,0),0),3),0))</f>
        <v/>
      </c>
      <c r="O172">
        <f>IF(OR($A172="",N172=0),"",ROUND(M172/N172*100,1))</f>
        <v/>
      </c>
      <c r="P172">
        <f>IF($A172="","",IFERROR(INDEX(Papers!$H$2:$H$12,MATCH($C172,Papers!$A$2:$A$12,0)),""))</f>
        <v/>
      </c>
      <c r="Q172">
        <f>IF($A172="","",IFERROR(SUMPRODUCT((INDEX(SubMap!$B$2:$AE$12,MATCH($C172,SubMap!$A$2:$A$12,0),0)=4)*Attempts!$AR172:$BU172),0))</f>
        <v/>
      </c>
      <c r="R172">
        <f>IF($A172="","",IFERROR(COUNTIF(INDEX(SubMap!$B$2:$AE$12,MATCH($C172,SubMap!$A$2:$A$12,0),0),4),0))</f>
        <v/>
      </c>
      <c r="S172">
        <f>IF(OR($A172="",R172=0),"",ROUND(Q172/R172*100,1))</f>
        <v/>
      </c>
      <c r="T172">
        <f>IF($A172="","",IFERROR(INDEX(Papers!$I$2:$I$12,MATCH($C172,Papers!$A$2:$A$12,0)),""))</f>
        <v/>
      </c>
      <c r="U172">
        <f>IF($A172="","",IFERROR(SUMPRODUCT((INDEX(SubMap!$B$2:$AE$12,MATCH($C172,SubMap!$A$2:$A$12,0),0)=5)*Attempts!$AR172:$BU172),0))</f>
        <v/>
      </c>
      <c r="V172">
        <f>IF($A172="","",IFERROR(COUNTIF(INDEX(SubMap!$B$2:$AE$12,MATCH($C172,SubMap!$A$2:$A$12,0),0),5),0))</f>
        <v/>
      </c>
      <c r="W172">
        <f>IF(OR($A172="",V172=0),"",ROUND(U172/V172*100,1))</f>
        <v/>
      </c>
      <c r="X172">
        <f>IF($A172="","",IFERROR(INDEX(Papers!$J$2:$J$12,MATCH($C172,Papers!$A$2:$A$12,0)),""))</f>
        <v/>
      </c>
      <c r="Y172">
        <f>IF($A172="","",IFERROR(SUMPRODUCT((INDEX(SubMap!$B$2:$AE$12,MATCH($C172,SubMap!$A$2:$A$12,0),0)=6)*Attempts!$AR172:$BU172),0))</f>
        <v/>
      </c>
      <c r="Z172">
        <f>IF($A172="","",IFERROR(COUNTIF(INDEX(SubMap!$B$2:$AE$12,MATCH($C172,SubMap!$A$2:$A$12,0),0),6),0))</f>
        <v/>
      </c>
      <c r="AA172">
        <f>IF(OR($A172="",Z172=0),"",ROUND(Y172/Z172*100,1))</f>
        <v/>
      </c>
      <c r="AB172">
        <f>IF($A172="","",IFERROR(INDEX(CHOOSE({1,2,3,4,5,6},D172,H172,L172,P172,T172,X172),MATCH(MIN(G172,K172,O172,S172,W172,AA172),CHOOSE({1,2,3,4,5,6},G172,K172,O172,S172,W172,AA172),0)),""))</f>
        <v/>
      </c>
      <c r="AC172">
        <f>IF($A172="","",IF(COUNT(G172,K172,O172,S172,W172,AA172)=0,"",MIN(G172,K172,O172,S172,W172,AA172)))</f>
        <v/>
      </c>
      <c r="AD172">
        <f>IF($A172="","",IFERROR(INDEX(CHOOSE({1,2,3,4,5,6},IFERROR(INDEX(Papers!$K$2:$K$12,MATCH($C172,Papers!$A$2:$A$12,0)),""),IFERROR(INDEX(Papers!$L$2:$L$12,MATCH($C172,Papers!$A$2:$A$12,0)),""),IFERROR(INDEX(Papers!$M$2:$M$12,MATCH($C172,Papers!$A$2:$A$12,0)),""),IFERROR(INDEX(Papers!$N$2:$N$12,MATCH($C172,Papers!$A$2:$A$12,0)),""),IFERROR(INDEX(Papers!$O$2:$O$12,MATCH($C172,Papers!$A$2:$A$12,0)),""),IFERROR(INDEX(Papers!$P$2:$P$12,MATCH($C172,Papers!$A$2:$A$12,0)),"")),MATCH(MIN(G172,K172,O172,S172,W172,AA172),CHOOSE({1,2,3,4,5,6},G172,K172,O172,S172,W172,AA172),0)),""))</f>
        <v/>
      </c>
      <c r="AE172">
        <f>IF(AC172="","",IF(AC172&lt;50,"Re-teach",IF(AC172&lt;75,"Practice more","Relatively secure")))</f>
        <v/>
      </c>
    </row>
    <row r="173">
      <c r="A173">
        <f>IF(Attempts!A173="","",Attempts!A173)</f>
        <v/>
      </c>
      <c r="B173">
        <f>IF(Attempts!A173="","",Attempts!B173)</f>
        <v/>
      </c>
      <c r="C173">
        <f>IF(Attempts!A173="","",Attempts!D173)</f>
        <v/>
      </c>
      <c r="D173">
        <f>IF($A173="","",IFERROR(INDEX(Papers!$E$2:$E$12,MATCH($C173,Papers!$A$2:$A$12,0)),""))</f>
        <v/>
      </c>
      <c r="E173">
        <f>IF($A173="","",IFERROR(SUMPRODUCT((INDEX(SubMap!$B$2:$AE$12,MATCH($C173,SubMap!$A$2:$A$12,0),0)=1)*Attempts!$AR173:$BU173),0))</f>
        <v/>
      </c>
      <c r="F173">
        <f>IF($A173="","",IFERROR(COUNTIF(INDEX(SubMap!$B$2:$AE$12,MATCH($C173,SubMap!$A$2:$A$12,0),0),1),0))</f>
        <v/>
      </c>
      <c r="G173">
        <f>IF(OR($A173="",F173=0),"",ROUND(E173/F173*100,1))</f>
        <v/>
      </c>
      <c r="H173">
        <f>IF($A173="","",IFERROR(INDEX(Papers!$F$2:$F$12,MATCH($C173,Papers!$A$2:$A$12,0)),""))</f>
        <v/>
      </c>
      <c r="I173">
        <f>IF($A173="","",IFERROR(SUMPRODUCT((INDEX(SubMap!$B$2:$AE$12,MATCH($C173,SubMap!$A$2:$A$12,0),0)=2)*Attempts!$AR173:$BU173),0))</f>
        <v/>
      </c>
      <c r="J173">
        <f>IF($A173="","",IFERROR(COUNTIF(INDEX(SubMap!$B$2:$AE$12,MATCH($C173,SubMap!$A$2:$A$12,0),0),2),0))</f>
        <v/>
      </c>
      <c r="K173">
        <f>IF(OR($A173="",J173=0),"",ROUND(I173/J173*100,1))</f>
        <v/>
      </c>
      <c r="L173">
        <f>IF($A173="","",IFERROR(INDEX(Papers!$G$2:$G$12,MATCH($C173,Papers!$A$2:$A$12,0)),""))</f>
        <v/>
      </c>
      <c r="M173">
        <f>IF($A173="","",IFERROR(SUMPRODUCT((INDEX(SubMap!$B$2:$AE$12,MATCH($C173,SubMap!$A$2:$A$12,0),0)=3)*Attempts!$AR173:$BU173),0))</f>
        <v/>
      </c>
      <c r="N173">
        <f>IF($A173="","",IFERROR(COUNTIF(INDEX(SubMap!$B$2:$AE$12,MATCH($C173,SubMap!$A$2:$A$12,0),0),3),0))</f>
        <v/>
      </c>
      <c r="O173">
        <f>IF(OR($A173="",N173=0),"",ROUND(M173/N173*100,1))</f>
        <v/>
      </c>
      <c r="P173">
        <f>IF($A173="","",IFERROR(INDEX(Papers!$H$2:$H$12,MATCH($C173,Papers!$A$2:$A$12,0)),""))</f>
        <v/>
      </c>
      <c r="Q173">
        <f>IF($A173="","",IFERROR(SUMPRODUCT((INDEX(SubMap!$B$2:$AE$12,MATCH($C173,SubMap!$A$2:$A$12,0),0)=4)*Attempts!$AR173:$BU173),0))</f>
        <v/>
      </c>
      <c r="R173">
        <f>IF($A173="","",IFERROR(COUNTIF(INDEX(SubMap!$B$2:$AE$12,MATCH($C173,SubMap!$A$2:$A$12,0),0),4),0))</f>
        <v/>
      </c>
      <c r="S173">
        <f>IF(OR($A173="",R173=0),"",ROUND(Q173/R173*100,1))</f>
        <v/>
      </c>
      <c r="T173">
        <f>IF($A173="","",IFERROR(INDEX(Papers!$I$2:$I$12,MATCH($C173,Papers!$A$2:$A$12,0)),""))</f>
        <v/>
      </c>
      <c r="U173">
        <f>IF($A173="","",IFERROR(SUMPRODUCT((INDEX(SubMap!$B$2:$AE$12,MATCH($C173,SubMap!$A$2:$A$12,0),0)=5)*Attempts!$AR173:$BU173),0))</f>
        <v/>
      </c>
      <c r="V173">
        <f>IF($A173="","",IFERROR(COUNTIF(INDEX(SubMap!$B$2:$AE$12,MATCH($C173,SubMap!$A$2:$A$12,0),0),5),0))</f>
        <v/>
      </c>
      <c r="W173">
        <f>IF(OR($A173="",V173=0),"",ROUND(U173/V173*100,1))</f>
        <v/>
      </c>
      <c r="X173">
        <f>IF($A173="","",IFERROR(INDEX(Papers!$J$2:$J$12,MATCH($C173,Papers!$A$2:$A$12,0)),""))</f>
        <v/>
      </c>
      <c r="Y173">
        <f>IF($A173="","",IFERROR(SUMPRODUCT((INDEX(SubMap!$B$2:$AE$12,MATCH($C173,SubMap!$A$2:$A$12,0),0)=6)*Attempts!$AR173:$BU173),0))</f>
        <v/>
      </c>
      <c r="Z173">
        <f>IF($A173="","",IFERROR(COUNTIF(INDEX(SubMap!$B$2:$AE$12,MATCH($C173,SubMap!$A$2:$A$12,0),0),6),0))</f>
        <v/>
      </c>
      <c r="AA173">
        <f>IF(OR($A173="",Z173=0),"",ROUND(Y173/Z173*100,1))</f>
        <v/>
      </c>
      <c r="AB173">
        <f>IF($A173="","",IFERROR(INDEX(CHOOSE({1,2,3,4,5,6},D173,H173,L173,P173,T173,X173),MATCH(MIN(G173,K173,O173,S173,W173,AA173),CHOOSE({1,2,3,4,5,6},G173,K173,O173,S173,W173,AA173),0)),""))</f>
        <v/>
      </c>
      <c r="AC173">
        <f>IF($A173="","",IF(COUNT(G173,K173,O173,S173,W173,AA173)=0,"",MIN(G173,K173,O173,S173,W173,AA173)))</f>
        <v/>
      </c>
      <c r="AD173">
        <f>IF($A173="","",IFERROR(INDEX(CHOOSE({1,2,3,4,5,6},IFERROR(INDEX(Papers!$K$2:$K$12,MATCH($C173,Papers!$A$2:$A$12,0)),""),IFERROR(INDEX(Papers!$L$2:$L$12,MATCH($C173,Papers!$A$2:$A$12,0)),""),IFERROR(INDEX(Papers!$M$2:$M$12,MATCH($C173,Papers!$A$2:$A$12,0)),""),IFERROR(INDEX(Papers!$N$2:$N$12,MATCH($C173,Papers!$A$2:$A$12,0)),""),IFERROR(INDEX(Papers!$O$2:$O$12,MATCH($C173,Papers!$A$2:$A$12,0)),""),IFERROR(INDEX(Papers!$P$2:$P$12,MATCH($C173,Papers!$A$2:$A$12,0)),"")),MATCH(MIN(G173,K173,O173,S173,W173,AA173),CHOOSE({1,2,3,4,5,6},G173,K173,O173,S173,W173,AA173),0)),""))</f>
        <v/>
      </c>
      <c r="AE173">
        <f>IF(AC173="","",IF(AC173&lt;50,"Re-teach",IF(AC173&lt;75,"Practice more","Relatively secure")))</f>
        <v/>
      </c>
    </row>
    <row r="174">
      <c r="A174">
        <f>IF(Attempts!A174="","",Attempts!A174)</f>
        <v/>
      </c>
      <c r="B174">
        <f>IF(Attempts!A174="","",Attempts!B174)</f>
        <v/>
      </c>
      <c r="C174">
        <f>IF(Attempts!A174="","",Attempts!D174)</f>
        <v/>
      </c>
      <c r="D174">
        <f>IF($A174="","",IFERROR(INDEX(Papers!$E$2:$E$12,MATCH($C174,Papers!$A$2:$A$12,0)),""))</f>
        <v/>
      </c>
      <c r="E174">
        <f>IF($A174="","",IFERROR(SUMPRODUCT((INDEX(SubMap!$B$2:$AE$12,MATCH($C174,SubMap!$A$2:$A$12,0),0)=1)*Attempts!$AR174:$BU174),0))</f>
        <v/>
      </c>
      <c r="F174">
        <f>IF($A174="","",IFERROR(COUNTIF(INDEX(SubMap!$B$2:$AE$12,MATCH($C174,SubMap!$A$2:$A$12,0),0),1),0))</f>
        <v/>
      </c>
      <c r="G174">
        <f>IF(OR($A174="",F174=0),"",ROUND(E174/F174*100,1))</f>
        <v/>
      </c>
      <c r="H174">
        <f>IF($A174="","",IFERROR(INDEX(Papers!$F$2:$F$12,MATCH($C174,Papers!$A$2:$A$12,0)),""))</f>
        <v/>
      </c>
      <c r="I174">
        <f>IF($A174="","",IFERROR(SUMPRODUCT((INDEX(SubMap!$B$2:$AE$12,MATCH($C174,SubMap!$A$2:$A$12,0),0)=2)*Attempts!$AR174:$BU174),0))</f>
        <v/>
      </c>
      <c r="J174">
        <f>IF($A174="","",IFERROR(COUNTIF(INDEX(SubMap!$B$2:$AE$12,MATCH($C174,SubMap!$A$2:$A$12,0),0),2),0))</f>
        <v/>
      </c>
      <c r="K174">
        <f>IF(OR($A174="",J174=0),"",ROUND(I174/J174*100,1))</f>
        <v/>
      </c>
      <c r="L174">
        <f>IF($A174="","",IFERROR(INDEX(Papers!$G$2:$G$12,MATCH($C174,Papers!$A$2:$A$12,0)),""))</f>
        <v/>
      </c>
      <c r="M174">
        <f>IF($A174="","",IFERROR(SUMPRODUCT((INDEX(SubMap!$B$2:$AE$12,MATCH($C174,SubMap!$A$2:$A$12,0),0)=3)*Attempts!$AR174:$BU174),0))</f>
        <v/>
      </c>
      <c r="N174">
        <f>IF($A174="","",IFERROR(COUNTIF(INDEX(SubMap!$B$2:$AE$12,MATCH($C174,SubMap!$A$2:$A$12,0),0),3),0))</f>
        <v/>
      </c>
      <c r="O174">
        <f>IF(OR($A174="",N174=0),"",ROUND(M174/N174*100,1))</f>
        <v/>
      </c>
      <c r="P174">
        <f>IF($A174="","",IFERROR(INDEX(Papers!$H$2:$H$12,MATCH($C174,Papers!$A$2:$A$12,0)),""))</f>
        <v/>
      </c>
      <c r="Q174">
        <f>IF($A174="","",IFERROR(SUMPRODUCT((INDEX(SubMap!$B$2:$AE$12,MATCH($C174,SubMap!$A$2:$A$12,0),0)=4)*Attempts!$AR174:$BU174),0))</f>
        <v/>
      </c>
      <c r="R174">
        <f>IF($A174="","",IFERROR(COUNTIF(INDEX(SubMap!$B$2:$AE$12,MATCH($C174,SubMap!$A$2:$A$12,0),0),4),0))</f>
        <v/>
      </c>
      <c r="S174">
        <f>IF(OR($A174="",R174=0),"",ROUND(Q174/R174*100,1))</f>
        <v/>
      </c>
      <c r="T174">
        <f>IF($A174="","",IFERROR(INDEX(Papers!$I$2:$I$12,MATCH($C174,Papers!$A$2:$A$12,0)),""))</f>
        <v/>
      </c>
      <c r="U174">
        <f>IF($A174="","",IFERROR(SUMPRODUCT((INDEX(SubMap!$B$2:$AE$12,MATCH($C174,SubMap!$A$2:$A$12,0),0)=5)*Attempts!$AR174:$BU174),0))</f>
        <v/>
      </c>
      <c r="V174">
        <f>IF($A174="","",IFERROR(COUNTIF(INDEX(SubMap!$B$2:$AE$12,MATCH($C174,SubMap!$A$2:$A$12,0),0),5),0))</f>
        <v/>
      </c>
      <c r="W174">
        <f>IF(OR($A174="",V174=0),"",ROUND(U174/V174*100,1))</f>
        <v/>
      </c>
      <c r="X174">
        <f>IF($A174="","",IFERROR(INDEX(Papers!$J$2:$J$12,MATCH($C174,Papers!$A$2:$A$12,0)),""))</f>
        <v/>
      </c>
      <c r="Y174">
        <f>IF($A174="","",IFERROR(SUMPRODUCT((INDEX(SubMap!$B$2:$AE$12,MATCH($C174,SubMap!$A$2:$A$12,0),0)=6)*Attempts!$AR174:$BU174),0))</f>
        <v/>
      </c>
      <c r="Z174">
        <f>IF($A174="","",IFERROR(COUNTIF(INDEX(SubMap!$B$2:$AE$12,MATCH($C174,SubMap!$A$2:$A$12,0),0),6),0))</f>
        <v/>
      </c>
      <c r="AA174">
        <f>IF(OR($A174="",Z174=0),"",ROUND(Y174/Z174*100,1))</f>
        <v/>
      </c>
      <c r="AB174">
        <f>IF($A174="","",IFERROR(INDEX(CHOOSE({1,2,3,4,5,6},D174,H174,L174,P174,T174,X174),MATCH(MIN(G174,K174,O174,S174,W174,AA174),CHOOSE({1,2,3,4,5,6},G174,K174,O174,S174,W174,AA174),0)),""))</f>
        <v/>
      </c>
      <c r="AC174">
        <f>IF($A174="","",IF(COUNT(G174,K174,O174,S174,W174,AA174)=0,"",MIN(G174,K174,O174,S174,W174,AA174)))</f>
        <v/>
      </c>
      <c r="AD174">
        <f>IF($A174="","",IFERROR(INDEX(CHOOSE({1,2,3,4,5,6},IFERROR(INDEX(Papers!$K$2:$K$12,MATCH($C174,Papers!$A$2:$A$12,0)),""),IFERROR(INDEX(Papers!$L$2:$L$12,MATCH($C174,Papers!$A$2:$A$12,0)),""),IFERROR(INDEX(Papers!$M$2:$M$12,MATCH($C174,Papers!$A$2:$A$12,0)),""),IFERROR(INDEX(Papers!$N$2:$N$12,MATCH($C174,Papers!$A$2:$A$12,0)),""),IFERROR(INDEX(Papers!$O$2:$O$12,MATCH($C174,Papers!$A$2:$A$12,0)),""),IFERROR(INDEX(Papers!$P$2:$P$12,MATCH($C174,Papers!$A$2:$A$12,0)),"")),MATCH(MIN(G174,K174,O174,S174,W174,AA174),CHOOSE({1,2,3,4,5,6},G174,K174,O174,S174,W174,AA174),0)),""))</f>
        <v/>
      </c>
      <c r="AE174">
        <f>IF(AC174="","",IF(AC174&lt;50,"Re-teach",IF(AC174&lt;75,"Practice more","Relatively secure")))</f>
        <v/>
      </c>
    </row>
    <row r="175">
      <c r="A175">
        <f>IF(Attempts!A175="","",Attempts!A175)</f>
        <v/>
      </c>
      <c r="B175">
        <f>IF(Attempts!A175="","",Attempts!B175)</f>
        <v/>
      </c>
      <c r="C175">
        <f>IF(Attempts!A175="","",Attempts!D175)</f>
        <v/>
      </c>
      <c r="D175">
        <f>IF($A175="","",IFERROR(INDEX(Papers!$E$2:$E$12,MATCH($C175,Papers!$A$2:$A$12,0)),""))</f>
        <v/>
      </c>
      <c r="E175">
        <f>IF($A175="","",IFERROR(SUMPRODUCT((INDEX(SubMap!$B$2:$AE$12,MATCH($C175,SubMap!$A$2:$A$12,0),0)=1)*Attempts!$AR175:$BU175),0))</f>
        <v/>
      </c>
      <c r="F175">
        <f>IF($A175="","",IFERROR(COUNTIF(INDEX(SubMap!$B$2:$AE$12,MATCH($C175,SubMap!$A$2:$A$12,0),0),1),0))</f>
        <v/>
      </c>
      <c r="G175">
        <f>IF(OR($A175="",F175=0),"",ROUND(E175/F175*100,1))</f>
        <v/>
      </c>
      <c r="H175">
        <f>IF($A175="","",IFERROR(INDEX(Papers!$F$2:$F$12,MATCH($C175,Papers!$A$2:$A$12,0)),""))</f>
        <v/>
      </c>
      <c r="I175">
        <f>IF($A175="","",IFERROR(SUMPRODUCT((INDEX(SubMap!$B$2:$AE$12,MATCH($C175,SubMap!$A$2:$A$12,0),0)=2)*Attempts!$AR175:$BU175),0))</f>
        <v/>
      </c>
      <c r="J175">
        <f>IF($A175="","",IFERROR(COUNTIF(INDEX(SubMap!$B$2:$AE$12,MATCH($C175,SubMap!$A$2:$A$12,0),0),2),0))</f>
        <v/>
      </c>
      <c r="K175">
        <f>IF(OR($A175="",J175=0),"",ROUND(I175/J175*100,1))</f>
        <v/>
      </c>
      <c r="L175">
        <f>IF($A175="","",IFERROR(INDEX(Papers!$G$2:$G$12,MATCH($C175,Papers!$A$2:$A$12,0)),""))</f>
        <v/>
      </c>
      <c r="M175">
        <f>IF($A175="","",IFERROR(SUMPRODUCT((INDEX(SubMap!$B$2:$AE$12,MATCH($C175,SubMap!$A$2:$A$12,0),0)=3)*Attempts!$AR175:$BU175),0))</f>
        <v/>
      </c>
      <c r="N175">
        <f>IF($A175="","",IFERROR(COUNTIF(INDEX(SubMap!$B$2:$AE$12,MATCH($C175,SubMap!$A$2:$A$12,0),0),3),0))</f>
        <v/>
      </c>
      <c r="O175">
        <f>IF(OR($A175="",N175=0),"",ROUND(M175/N175*100,1))</f>
        <v/>
      </c>
      <c r="P175">
        <f>IF($A175="","",IFERROR(INDEX(Papers!$H$2:$H$12,MATCH($C175,Papers!$A$2:$A$12,0)),""))</f>
        <v/>
      </c>
      <c r="Q175">
        <f>IF($A175="","",IFERROR(SUMPRODUCT((INDEX(SubMap!$B$2:$AE$12,MATCH($C175,SubMap!$A$2:$A$12,0),0)=4)*Attempts!$AR175:$BU175),0))</f>
        <v/>
      </c>
      <c r="R175">
        <f>IF($A175="","",IFERROR(COUNTIF(INDEX(SubMap!$B$2:$AE$12,MATCH($C175,SubMap!$A$2:$A$12,0),0),4),0))</f>
        <v/>
      </c>
      <c r="S175">
        <f>IF(OR($A175="",R175=0),"",ROUND(Q175/R175*100,1))</f>
        <v/>
      </c>
      <c r="T175">
        <f>IF($A175="","",IFERROR(INDEX(Papers!$I$2:$I$12,MATCH($C175,Papers!$A$2:$A$12,0)),""))</f>
        <v/>
      </c>
      <c r="U175">
        <f>IF($A175="","",IFERROR(SUMPRODUCT((INDEX(SubMap!$B$2:$AE$12,MATCH($C175,SubMap!$A$2:$A$12,0),0)=5)*Attempts!$AR175:$BU175),0))</f>
        <v/>
      </c>
      <c r="V175">
        <f>IF($A175="","",IFERROR(COUNTIF(INDEX(SubMap!$B$2:$AE$12,MATCH($C175,SubMap!$A$2:$A$12,0),0),5),0))</f>
        <v/>
      </c>
      <c r="W175">
        <f>IF(OR($A175="",V175=0),"",ROUND(U175/V175*100,1))</f>
        <v/>
      </c>
      <c r="X175">
        <f>IF($A175="","",IFERROR(INDEX(Papers!$J$2:$J$12,MATCH($C175,Papers!$A$2:$A$12,0)),""))</f>
        <v/>
      </c>
      <c r="Y175">
        <f>IF($A175="","",IFERROR(SUMPRODUCT((INDEX(SubMap!$B$2:$AE$12,MATCH($C175,SubMap!$A$2:$A$12,0),0)=6)*Attempts!$AR175:$BU175),0))</f>
        <v/>
      </c>
      <c r="Z175">
        <f>IF($A175="","",IFERROR(COUNTIF(INDEX(SubMap!$B$2:$AE$12,MATCH($C175,SubMap!$A$2:$A$12,0),0),6),0))</f>
        <v/>
      </c>
      <c r="AA175">
        <f>IF(OR($A175="",Z175=0),"",ROUND(Y175/Z175*100,1))</f>
        <v/>
      </c>
      <c r="AB175">
        <f>IF($A175="","",IFERROR(INDEX(CHOOSE({1,2,3,4,5,6},D175,H175,L175,P175,T175,X175),MATCH(MIN(G175,K175,O175,S175,W175,AA175),CHOOSE({1,2,3,4,5,6},G175,K175,O175,S175,W175,AA175),0)),""))</f>
        <v/>
      </c>
      <c r="AC175">
        <f>IF($A175="","",IF(COUNT(G175,K175,O175,S175,W175,AA175)=0,"",MIN(G175,K175,O175,S175,W175,AA175)))</f>
        <v/>
      </c>
      <c r="AD175">
        <f>IF($A175="","",IFERROR(INDEX(CHOOSE({1,2,3,4,5,6},IFERROR(INDEX(Papers!$K$2:$K$12,MATCH($C175,Papers!$A$2:$A$12,0)),""),IFERROR(INDEX(Papers!$L$2:$L$12,MATCH($C175,Papers!$A$2:$A$12,0)),""),IFERROR(INDEX(Papers!$M$2:$M$12,MATCH($C175,Papers!$A$2:$A$12,0)),""),IFERROR(INDEX(Papers!$N$2:$N$12,MATCH($C175,Papers!$A$2:$A$12,0)),""),IFERROR(INDEX(Papers!$O$2:$O$12,MATCH($C175,Papers!$A$2:$A$12,0)),""),IFERROR(INDEX(Papers!$P$2:$P$12,MATCH($C175,Papers!$A$2:$A$12,0)),"")),MATCH(MIN(G175,K175,O175,S175,W175,AA175),CHOOSE({1,2,3,4,5,6},G175,K175,O175,S175,W175,AA175),0)),""))</f>
        <v/>
      </c>
      <c r="AE175">
        <f>IF(AC175="","",IF(AC175&lt;50,"Re-teach",IF(AC175&lt;75,"Practice more","Relatively secure")))</f>
        <v/>
      </c>
    </row>
    <row r="176">
      <c r="A176">
        <f>IF(Attempts!A176="","",Attempts!A176)</f>
        <v/>
      </c>
      <c r="B176">
        <f>IF(Attempts!A176="","",Attempts!B176)</f>
        <v/>
      </c>
      <c r="C176">
        <f>IF(Attempts!A176="","",Attempts!D176)</f>
        <v/>
      </c>
      <c r="D176">
        <f>IF($A176="","",IFERROR(INDEX(Papers!$E$2:$E$12,MATCH($C176,Papers!$A$2:$A$12,0)),""))</f>
        <v/>
      </c>
      <c r="E176">
        <f>IF($A176="","",IFERROR(SUMPRODUCT((INDEX(SubMap!$B$2:$AE$12,MATCH($C176,SubMap!$A$2:$A$12,0),0)=1)*Attempts!$AR176:$BU176),0))</f>
        <v/>
      </c>
      <c r="F176">
        <f>IF($A176="","",IFERROR(COUNTIF(INDEX(SubMap!$B$2:$AE$12,MATCH($C176,SubMap!$A$2:$A$12,0),0),1),0))</f>
        <v/>
      </c>
      <c r="G176">
        <f>IF(OR($A176="",F176=0),"",ROUND(E176/F176*100,1))</f>
        <v/>
      </c>
      <c r="H176">
        <f>IF($A176="","",IFERROR(INDEX(Papers!$F$2:$F$12,MATCH($C176,Papers!$A$2:$A$12,0)),""))</f>
        <v/>
      </c>
      <c r="I176">
        <f>IF($A176="","",IFERROR(SUMPRODUCT((INDEX(SubMap!$B$2:$AE$12,MATCH($C176,SubMap!$A$2:$A$12,0),0)=2)*Attempts!$AR176:$BU176),0))</f>
        <v/>
      </c>
      <c r="J176">
        <f>IF($A176="","",IFERROR(COUNTIF(INDEX(SubMap!$B$2:$AE$12,MATCH($C176,SubMap!$A$2:$A$12,0),0),2),0))</f>
        <v/>
      </c>
      <c r="K176">
        <f>IF(OR($A176="",J176=0),"",ROUND(I176/J176*100,1))</f>
        <v/>
      </c>
      <c r="L176">
        <f>IF($A176="","",IFERROR(INDEX(Papers!$G$2:$G$12,MATCH($C176,Papers!$A$2:$A$12,0)),""))</f>
        <v/>
      </c>
      <c r="M176">
        <f>IF($A176="","",IFERROR(SUMPRODUCT((INDEX(SubMap!$B$2:$AE$12,MATCH($C176,SubMap!$A$2:$A$12,0),0)=3)*Attempts!$AR176:$BU176),0))</f>
        <v/>
      </c>
      <c r="N176">
        <f>IF($A176="","",IFERROR(COUNTIF(INDEX(SubMap!$B$2:$AE$12,MATCH($C176,SubMap!$A$2:$A$12,0),0),3),0))</f>
        <v/>
      </c>
      <c r="O176">
        <f>IF(OR($A176="",N176=0),"",ROUND(M176/N176*100,1))</f>
        <v/>
      </c>
      <c r="P176">
        <f>IF($A176="","",IFERROR(INDEX(Papers!$H$2:$H$12,MATCH($C176,Papers!$A$2:$A$12,0)),""))</f>
        <v/>
      </c>
      <c r="Q176">
        <f>IF($A176="","",IFERROR(SUMPRODUCT((INDEX(SubMap!$B$2:$AE$12,MATCH($C176,SubMap!$A$2:$A$12,0),0)=4)*Attempts!$AR176:$BU176),0))</f>
        <v/>
      </c>
      <c r="R176">
        <f>IF($A176="","",IFERROR(COUNTIF(INDEX(SubMap!$B$2:$AE$12,MATCH($C176,SubMap!$A$2:$A$12,0),0),4),0))</f>
        <v/>
      </c>
      <c r="S176">
        <f>IF(OR($A176="",R176=0),"",ROUND(Q176/R176*100,1))</f>
        <v/>
      </c>
      <c r="T176">
        <f>IF($A176="","",IFERROR(INDEX(Papers!$I$2:$I$12,MATCH($C176,Papers!$A$2:$A$12,0)),""))</f>
        <v/>
      </c>
      <c r="U176">
        <f>IF($A176="","",IFERROR(SUMPRODUCT((INDEX(SubMap!$B$2:$AE$12,MATCH($C176,SubMap!$A$2:$A$12,0),0)=5)*Attempts!$AR176:$BU176),0))</f>
        <v/>
      </c>
      <c r="V176">
        <f>IF($A176="","",IFERROR(COUNTIF(INDEX(SubMap!$B$2:$AE$12,MATCH($C176,SubMap!$A$2:$A$12,0),0),5),0))</f>
        <v/>
      </c>
      <c r="W176">
        <f>IF(OR($A176="",V176=0),"",ROUND(U176/V176*100,1))</f>
        <v/>
      </c>
      <c r="X176">
        <f>IF($A176="","",IFERROR(INDEX(Papers!$J$2:$J$12,MATCH($C176,Papers!$A$2:$A$12,0)),""))</f>
        <v/>
      </c>
      <c r="Y176">
        <f>IF($A176="","",IFERROR(SUMPRODUCT((INDEX(SubMap!$B$2:$AE$12,MATCH($C176,SubMap!$A$2:$A$12,0),0)=6)*Attempts!$AR176:$BU176),0))</f>
        <v/>
      </c>
      <c r="Z176">
        <f>IF($A176="","",IFERROR(COUNTIF(INDEX(SubMap!$B$2:$AE$12,MATCH($C176,SubMap!$A$2:$A$12,0),0),6),0))</f>
        <v/>
      </c>
      <c r="AA176">
        <f>IF(OR($A176="",Z176=0),"",ROUND(Y176/Z176*100,1))</f>
        <v/>
      </c>
      <c r="AB176">
        <f>IF($A176="","",IFERROR(INDEX(CHOOSE({1,2,3,4,5,6},D176,H176,L176,P176,T176,X176),MATCH(MIN(G176,K176,O176,S176,W176,AA176),CHOOSE({1,2,3,4,5,6},G176,K176,O176,S176,W176,AA176),0)),""))</f>
        <v/>
      </c>
      <c r="AC176">
        <f>IF($A176="","",IF(COUNT(G176,K176,O176,S176,W176,AA176)=0,"",MIN(G176,K176,O176,S176,W176,AA176)))</f>
        <v/>
      </c>
      <c r="AD176">
        <f>IF($A176="","",IFERROR(INDEX(CHOOSE({1,2,3,4,5,6},IFERROR(INDEX(Papers!$K$2:$K$12,MATCH($C176,Papers!$A$2:$A$12,0)),""),IFERROR(INDEX(Papers!$L$2:$L$12,MATCH($C176,Papers!$A$2:$A$12,0)),""),IFERROR(INDEX(Papers!$M$2:$M$12,MATCH($C176,Papers!$A$2:$A$12,0)),""),IFERROR(INDEX(Papers!$N$2:$N$12,MATCH($C176,Papers!$A$2:$A$12,0)),""),IFERROR(INDEX(Papers!$O$2:$O$12,MATCH($C176,Papers!$A$2:$A$12,0)),""),IFERROR(INDEX(Papers!$P$2:$P$12,MATCH($C176,Papers!$A$2:$A$12,0)),"")),MATCH(MIN(G176,K176,O176,S176,W176,AA176),CHOOSE({1,2,3,4,5,6},G176,K176,O176,S176,W176,AA176),0)),""))</f>
        <v/>
      </c>
      <c r="AE176">
        <f>IF(AC176="","",IF(AC176&lt;50,"Re-teach",IF(AC176&lt;75,"Practice more","Relatively secure")))</f>
        <v/>
      </c>
    </row>
    <row r="177">
      <c r="A177">
        <f>IF(Attempts!A177="","",Attempts!A177)</f>
        <v/>
      </c>
      <c r="B177">
        <f>IF(Attempts!A177="","",Attempts!B177)</f>
        <v/>
      </c>
      <c r="C177">
        <f>IF(Attempts!A177="","",Attempts!D177)</f>
        <v/>
      </c>
      <c r="D177">
        <f>IF($A177="","",IFERROR(INDEX(Papers!$E$2:$E$12,MATCH($C177,Papers!$A$2:$A$12,0)),""))</f>
        <v/>
      </c>
      <c r="E177">
        <f>IF($A177="","",IFERROR(SUMPRODUCT((INDEX(SubMap!$B$2:$AE$12,MATCH($C177,SubMap!$A$2:$A$12,0),0)=1)*Attempts!$AR177:$BU177),0))</f>
        <v/>
      </c>
      <c r="F177">
        <f>IF($A177="","",IFERROR(COUNTIF(INDEX(SubMap!$B$2:$AE$12,MATCH($C177,SubMap!$A$2:$A$12,0),0),1),0))</f>
        <v/>
      </c>
      <c r="G177">
        <f>IF(OR($A177="",F177=0),"",ROUND(E177/F177*100,1))</f>
        <v/>
      </c>
      <c r="H177">
        <f>IF($A177="","",IFERROR(INDEX(Papers!$F$2:$F$12,MATCH($C177,Papers!$A$2:$A$12,0)),""))</f>
        <v/>
      </c>
      <c r="I177">
        <f>IF($A177="","",IFERROR(SUMPRODUCT((INDEX(SubMap!$B$2:$AE$12,MATCH($C177,SubMap!$A$2:$A$12,0),0)=2)*Attempts!$AR177:$BU177),0))</f>
        <v/>
      </c>
      <c r="J177">
        <f>IF($A177="","",IFERROR(COUNTIF(INDEX(SubMap!$B$2:$AE$12,MATCH($C177,SubMap!$A$2:$A$12,0),0),2),0))</f>
        <v/>
      </c>
      <c r="K177">
        <f>IF(OR($A177="",J177=0),"",ROUND(I177/J177*100,1))</f>
        <v/>
      </c>
      <c r="L177">
        <f>IF($A177="","",IFERROR(INDEX(Papers!$G$2:$G$12,MATCH($C177,Papers!$A$2:$A$12,0)),""))</f>
        <v/>
      </c>
      <c r="M177">
        <f>IF($A177="","",IFERROR(SUMPRODUCT((INDEX(SubMap!$B$2:$AE$12,MATCH($C177,SubMap!$A$2:$A$12,0),0)=3)*Attempts!$AR177:$BU177),0))</f>
        <v/>
      </c>
      <c r="N177">
        <f>IF($A177="","",IFERROR(COUNTIF(INDEX(SubMap!$B$2:$AE$12,MATCH($C177,SubMap!$A$2:$A$12,0),0),3),0))</f>
        <v/>
      </c>
      <c r="O177">
        <f>IF(OR($A177="",N177=0),"",ROUND(M177/N177*100,1))</f>
        <v/>
      </c>
      <c r="P177">
        <f>IF($A177="","",IFERROR(INDEX(Papers!$H$2:$H$12,MATCH($C177,Papers!$A$2:$A$12,0)),""))</f>
        <v/>
      </c>
      <c r="Q177">
        <f>IF($A177="","",IFERROR(SUMPRODUCT((INDEX(SubMap!$B$2:$AE$12,MATCH($C177,SubMap!$A$2:$A$12,0),0)=4)*Attempts!$AR177:$BU177),0))</f>
        <v/>
      </c>
      <c r="R177">
        <f>IF($A177="","",IFERROR(COUNTIF(INDEX(SubMap!$B$2:$AE$12,MATCH($C177,SubMap!$A$2:$A$12,0),0),4),0))</f>
        <v/>
      </c>
      <c r="S177">
        <f>IF(OR($A177="",R177=0),"",ROUND(Q177/R177*100,1))</f>
        <v/>
      </c>
      <c r="T177">
        <f>IF($A177="","",IFERROR(INDEX(Papers!$I$2:$I$12,MATCH($C177,Papers!$A$2:$A$12,0)),""))</f>
        <v/>
      </c>
      <c r="U177">
        <f>IF($A177="","",IFERROR(SUMPRODUCT((INDEX(SubMap!$B$2:$AE$12,MATCH($C177,SubMap!$A$2:$A$12,0),0)=5)*Attempts!$AR177:$BU177),0))</f>
        <v/>
      </c>
      <c r="V177">
        <f>IF($A177="","",IFERROR(COUNTIF(INDEX(SubMap!$B$2:$AE$12,MATCH($C177,SubMap!$A$2:$A$12,0),0),5),0))</f>
        <v/>
      </c>
      <c r="W177">
        <f>IF(OR($A177="",V177=0),"",ROUND(U177/V177*100,1))</f>
        <v/>
      </c>
      <c r="X177">
        <f>IF($A177="","",IFERROR(INDEX(Papers!$J$2:$J$12,MATCH($C177,Papers!$A$2:$A$12,0)),""))</f>
        <v/>
      </c>
      <c r="Y177">
        <f>IF($A177="","",IFERROR(SUMPRODUCT((INDEX(SubMap!$B$2:$AE$12,MATCH($C177,SubMap!$A$2:$A$12,0),0)=6)*Attempts!$AR177:$BU177),0))</f>
        <v/>
      </c>
      <c r="Z177">
        <f>IF($A177="","",IFERROR(COUNTIF(INDEX(SubMap!$B$2:$AE$12,MATCH($C177,SubMap!$A$2:$A$12,0),0),6),0))</f>
        <v/>
      </c>
      <c r="AA177">
        <f>IF(OR($A177="",Z177=0),"",ROUND(Y177/Z177*100,1))</f>
        <v/>
      </c>
      <c r="AB177">
        <f>IF($A177="","",IFERROR(INDEX(CHOOSE({1,2,3,4,5,6},D177,H177,L177,P177,T177,X177),MATCH(MIN(G177,K177,O177,S177,W177,AA177),CHOOSE({1,2,3,4,5,6},G177,K177,O177,S177,W177,AA177),0)),""))</f>
        <v/>
      </c>
      <c r="AC177">
        <f>IF($A177="","",IF(COUNT(G177,K177,O177,S177,W177,AA177)=0,"",MIN(G177,K177,O177,S177,W177,AA177)))</f>
        <v/>
      </c>
      <c r="AD177">
        <f>IF($A177="","",IFERROR(INDEX(CHOOSE({1,2,3,4,5,6},IFERROR(INDEX(Papers!$K$2:$K$12,MATCH($C177,Papers!$A$2:$A$12,0)),""),IFERROR(INDEX(Papers!$L$2:$L$12,MATCH($C177,Papers!$A$2:$A$12,0)),""),IFERROR(INDEX(Papers!$M$2:$M$12,MATCH($C177,Papers!$A$2:$A$12,0)),""),IFERROR(INDEX(Papers!$N$2:$N$12,MATCH($C177,Papers!$A$2:$A$12,0)),""),IFERROR(INDEX(Papers!$O$2:$O$12,MATCH($C177,Papers!$A$2:$A$12,0)),""),IFERROR(INDEX(Papers!$P$2:$P$12,MATCH($C177,Papers!$A$2:$A$12,0)),"")),MATCH(MIN(G177,K177,O177,S177,W177,AA177),CHOOSE({1,2,3,4,5,6},G177,K177,O177,S177,W177,AA177),0)),""))</f>
        <v/>
      </c>
      <c r="AE177">
        <f>IF(AC177="","",IF(AC177&lt;50,"Re-teach",IF(AC177&lt;75,"Practice more","Relatively secure")))</f>
        <v/>
      </c>
    </row>
    <row r="178">
      <c r="A178">
        <f>IF(Attempts!A178="","",Attempts!A178)</f>
        <v/>
      </c>
      <c r="B178">
        <f>IF(Attempts!A178="","",Attempts!B178)</f>
        <v/>
      </c>
      <c r="C178">
        <f>IF(Attempts!A178="","",Attempts!D178)</f>
        <v/>
      </c>
      <c r="D178">
        <f>IF($A178="","",IFERROR(INDEX(Papers!$E$2:$E$12,MATCH($C178,Papers!$A$2:$A$12,0)),""))</f>
        <v/>
      </c>
      <c r="E178">
        <f>IF($A178="","",IFERROR(SUMPRODUCT((INDEX(SubMap!$B$2:$AE$12,MATCH($C178,SubMap!$A$2:$A$12,0),0)=1)*Attempts!$AR178:$BU178),0))</f>
        <v/>
      </c>
      <c r="F178">
        <f>IF($A178="","",IFERROR(COUNTIF(INDEX(SubMap!$B$2:$AE$12,MATCH($C178,SubMap!$A$2:$A$12,0),0),1),0))</f>
        <v/>
      </c>
      <c r="G178">
        <f>IF(OR($A178="",F178=0),"",ROUND(E178/F178*100,1))</f>
        <v/>
      </c>
      <c r="H178">
        <f>IF($A178="","",IFERROR(INDEX(Papers!$F$2:$F$12,MATCH($C178,Papers!$A$2:$A$12,0)),""))</f>
        <v/>
      </c>
      <c r="I178">
        <f>IF($A178="","",IFERROR(SUMPRODUCT((INDEX(SubMap!$B$2:$AE$12,MATCH($C178,SubMap!$A$2:$A$12,0),0)=2)*Attempts!$AR178:$BU178),0))</f>
        <v/>
      </c>
      <c r="J178">
        <f>IF($A178="","",IFERROR(COUNTIF(INDEX(SubMap!$B$2:$AE$12,MATCH($C178,SubMap!$A$2:$A$12,0),0),2),0))</f>
        <v/>
      </c>
      <c r="K178">
        <f>IF(OR($A178="",J178=0),"",ROUND(I178/J178*100,1))</f>
        <v/>
      </c>
      <c r="L178">
        <f>IF($A178="","",IFERROR(INDEX(Papers!$G$2:$G$12,MATCH($C178,Papers!$A$2:$A$12,0)),""))</f>
        <v/>
      </c>
      <c r="M178">
        <f>IF($A178="","",IFERROR(SUMPRODUCT((INDEX(SubMap!$B$2:$AE$12,MATCH($C178,SubMap!$A$2:$A$12,0),0)=3)*Attempts!$AR178:$BU178),0))</f>
        <v/>
      </c>
      <c r="N178">
        <f>IF($A178="","",IFERROR(COUNTIF(INDEX(SubMap!$B$2:$AE$12,MATCH($C178,SubMap!$A$2:$A$12,0),0),3),0))</f>
        <v/>
      </c>
      <c r="O178">
        <f>IF(OR($A178="",N178=0),"",ROUND(M178/N178*100,1))</f>
        <v/>
      </c>
      <c r="P178">
        <f>IF($A178="","",IFERROR(INDEX(Papers!$H$2:$H$12,MATCH($C178,Papers!$A$2:$A$12,0)),""))</f>
        <v/>
      </c>
      <c r="Q178">
        <f>IF($A178="","",IFERROR(SUMPRODUCT((INDEX(SubMap!$B$2:$AE$12,MATCH($C178,SubMap!$A$2:$A$12,0),0)=4)*Attempts!$AR178:$BU178),0))</f>
        <v/>
      </c>
      <c r="R178">
        <f>IF($A178="","",IFERROR(COUNTIF(INDEX(SubMap!$B$2:$AE$12,MATCH($C178,SubMap!$A$2:$A$12,0),0),4),0))</f>
        <v/>
      </c>
      <c r="S178">
        <f>IF(OR($A178="",R178=0),"",ROUND(Q178/R178*100,1))</f>
        <v/>
      </c>
      <c r="T178">
        <f>IF($A178="","",IFERROR(INDEX(Papers!$I$2:$I$12,MATCH($C178,Papers!$A$2:$A$12,0)),""))</f>
        <v/>
      </c>
      <c r="U178">
        <f>IF($A178="","",IFERROR(SUMPRODUCT((INDEX(SubMap!$B$2:$AE$12,MATCH($C178,SubMap!$A$2:$A$12,0),0)=5)*Attempts!$AR178:$BU178),0))</f>
        <v/>
      </c>
      <c r="V178">
        <f>IF($A178="","",IFERROR(COUNTIF(INDEX(SubMap!$B$2:$AE$12,MATCH($C178,SubMap!$A$2:$A$12,0),0),5),0))</f>
        <v/>
      </c>
      <c r="W178">
        <f>IF(OR($A178="",V178=0),"",ROUND(U178/V178*100,1))</f>
        <v/>
      </c>
      <c r="X178">
        <f>IF($A178="","",IFERROR(INDEX(Papers!$J$2:$J$12,MATCH($C178,Papers!$A$2:$A$12,0)),""))</f>
        <v/>
      </c>
      <c r="Y178">
        <f>IF($A178="","",IFERROR(SUMPRODUCT((INDEX(SubMap!$B$2:$AE$12,MATCH($C178,SubMap!$A$2:$A$12,0),0)=6)*Attempts!$AR178:$BU178),0))</f>
        <v/>
      </c>
      <c r="Z178">
        <f>IF($A178="","",IFERROR(COUNTIF(INDEX(SubMap!$B$2:$AE$12,MATCH($C178,SubMap!$A$2:$A$12,0),0),6),0))</f>
        <v/>
      </c>
      <c r="AA178">
        <f>IF(OR($A178="",Z178=0),"",ROUND(Y178/Z178*100,1))</f>
        <v/>
      </c>
      <c r="AB178">
        <f>IF($A178="","",IFERROR(INDEX(CHOOSE({1,2,3,4,5,6},D178,H178,L178,P178,T178,X178),MATCH(MIN(G178,K178,O178,S178,W178,AA178),CHOOSE({1,2,3,4,5,6},G178,K178,O178,S178,W178,AA178),0)),""))</f>
        <v/>
      </c>
      <c r="AC178">
        <f>IF($A178="","",IF(COUNT(G178,K178,O178,S178,W178,AA178)=0,"",MIN(G178,K178,O178,S178,W178,AA178)))</f>
        <v/>
      </c>
      <c r="AD178">
        <f>IF($A178="","",IFERROR(INDEX(CHOOSE({1,2,3,4,5,6},IFERROR(INDEX(Papers!$K$2:$K$12,MATCH($C178,Papers!$A$2:$A$12,0)),""),IFERROR(INDEX(Papers!$L$2:$L$12,MATCH($C178,Papers!$A$2:$A$12,0)),""),IFERROR(INDEX(Papers!$M$2:$M$12,MATCH($C178,Papers!$A$2:$A$12,0)),""),IFERROR(INDEX(Papers!$N$2:$N$12,MATCH($C178,Papers!$A$2:$A$12,0)),""),IFERROR(INDEX(Papers!$O$2:$O$12,MATCH($C178,Papers!$A$2:$A$12,0)),""),IFERROR(INDEX(Papers!$P$2:$P$12,MATCH($C178,Papers!$A$2:$A$12,0)),"")),MATCH(MIN(G178,K178,O178,S178,W178,AA178),CHOOSE({1,2,3,4,5,6},G178,K178,O178,S178,W178,AA178),0)),""))</f>
        <v/>
      </c>
      <c r="AE178">
        <f>IF(AC178="","",IF(AC178&lt;50,"Re-teach",IF(AC178&lt;75,"Practice more","Relatively secure")))</f>
        <v/>
      </c>
    </row>
    <row r="179">
      <c r="A179">
        <f>IF(Attempts!A179="","",Attempts!A179)</f>
        <v/>
      </c>
      <c r="B179">
        <f>IF(Attempts!A179="","",Attempts!B179)</f>
        <v/>
      </c>
      <c r="C179">
        <f>IF(Attempts!A179="","",Attempts!D179)</f>
        <v/>
      </c>
      <c r="D179">
        <f>IF($A179="","",IFERROR(INDEX(Papers!$E$2:$E$12,MATCH($C179,Papers!$A$2:$A$12,0)),""))</f>
        <v/>
      </c>
      <c r="E179">
        <f>IF($A179="","",IFERROR(SUMPRODUCT((INDEX(SubMap!$B$2:$AE$12,MATCH($C179,SubMap!$A$2:$A$12,0),0)=1)*Attempts!$AR179:$BU179),0))</f>
        <v/>
      </c>
      <c r="F179">
        <f>IF($A179="","",IFERROR(COUNTIF(INDEX(SubMap!$B$2:$AE$12,MATCH($C179,SubMap!$A$2:$A$12,0),0),1),0))</f>
        <v/>
      </c>
      <c r="G179">
        <f>IF(OR($A179="",F179=0),"",ROUND(E179/F179*100,1))</f>
        <v/>
      </c>
      <c r="H179">
        <f>IF($A179="","",IFERROR(INDEX(Papers!$F$2:$F$12,MATCH($C179,Papers!$A$2:$A$12,0)),""))</f>
        <v/>
      </c>
      <c r="I179">
        <f>IF($A179="","",IFERROR(SUMPRODUCT((INDEX(SubMap!$B$2:$AE$12,MATCH($C179,SubMap!$A$2:$A$12,0),0)=2)*Attempts!$AR179:$BU179),0))</f>
        <v/>
      </c>
      <c r="J179">
        <f>IF($A179="","",IFERROR(COUNTIF(INDEX(SubMap!$B$2:$AE$12,MATCH($C179,SubMap!$A$2:$A$12,0),0),2),0))</f>
        <v/>
      </c>
      <c r="K179">
        <f>IF(OR($A179="",J179=0),"",ROUND(I179/J179*100,1))</f>
        <v/>
      </c>
      <c r="L179">
        <f>IF($A179="","",IFERROR(INDEX(Papers!$G$2:$G$12,MATCH($C179,Papers!$A$2:$A$12,0)),""))</f>
        <v/>
      </c>
      <c r="M179">
        <f>IF($A179="","",IFERROR(SUMPRODUCT((INDEX(SubMap!$B$2:$AE$12,MATCH($C179,SubMap!$A$2:$A$12,0),0)=3)*Attempts!$AR179:$BU179),0))</f>
        <v/>
      </c>
      <c r="N179">
        <f>IF($A179="","",IFERROR(COUNTIF(INDEX(SubMap!$B$2:$AE$12,MATCH($C179,SubMap!$A$2:$A$12,0),0),3),0))</f>
        <v/>
      </c>
      <c r="O179">
        <f>IF(OR($A179="",N179=0),"",ROUND(M179/N179*100,1))</f>
        <v/>
      </c>
      <c r="P179">
        <f>IF($A179="","",IFERROR(INDEX(Papers!$H$2:$H$12,MATCH($C179,Papers!$A$2:$A$12,0)),""))</f>
        <v/>
      </c>
      <c r="Q179">
        <f>IF($A179="","",IFERROR(SUMPRODUCT((INDEX(SubMap!$B$2:$AE$12,MATCH($C179,SubMap!$A$2:$A$12,0),0)=4)*Attempts!$AR179:$BU179),0))</f>
        <v/>
      </c>
      <c r="R179">
        <f>IF($A179="","",IFERROR(COUNTIF(INDEX(SubMap!$B$2:$AE$12,MATCH($C179,SubMap!$A$2:$A$12,0),0),4),0))</f>
        <v/>
      </c>
      <c r="S179">
        <f>IF(OR($A179="",R179=0),"",ROUND(Q179/R179*100,1))</f>
        <v/>
      </c>
      <c r="T179">
        <f>IF($A179="","",IFERROR(INDEX(Papers!$I$2:$I$12,MATCH($C179,Papers!$A$2:$A$12,0)),""))</f>
        <v/>
      </c>
      <c r="U179">
        <f>IF($A179="","",IFERROR(SUMPRODUCT((INDEX(SubMap!$B$2:$AE$12,MATCH($C179,SubMap!$A$2:$A$12,0),0)=5)*Attempts!$AR179:$BU179),0))</f>
        <v/>
      </c>
      <c r="V179">
        <f>IF($A179="","",IFERROR(COUNTIF(INDEX(SubMap!$B$2:$AE$12,MATCH($C179,SubMap!$A$2:$A$12,0),0),5),0))</f>
        <v/>
      </c>
      <c r="W179">
        <f>IF(OR($A179="",V179=0),"",ROUND(U179/V179*100,1))</f>
        <v/>
      </c>
      <c r="X179">
        <f>IF($A179="","",IFERROR(INDEX(Papers!$J$2:$J$12,MATCH($C179,Papers!$A$2:$A$12,0)),""))</f>
        <v/>
      </c>
      <c r="Y179">
        <f>IF($A179="","",IFERROR(SUMPRODUCT((INDEX(SubMap!$B$2:$AE$12,MATCH($C179,SubMap!$A$2:$A$12,0),0)=6)*Attempts!$AR179:$BU179),0))</f>
        <v/>
      </c>
      <c r="Z179">
        <f>IF($A179="","",IFERROR(COUNTIF(INDEX(SubMap!$B$2:$AE$12,MATCH($C179,SubMap!$A$2:$A$12,0),0),6),0))</f>
        <v/>
      </c>
      <c r="AA179">
        <f>IF(OR($A179="",Z179=0),"",ROUND(Y179/Z179*100,1))</f>
        <v/>
      </c>
      <c r="AB179">
        <f>IF($A179="","",IFERROR(INDEX(CHOOSE({1,2,3,4,5,6},D179,H179,L179,P179,T179,X179),MATCH(MIN(G179,K179,O179,S179,W179,AA179),CHOOSE({1,2,3,4,5,6},G179,K179,O179,S179,W179,AA179),0)),""))</f>
        <v/>
      </c>
      <c r="AC179">
        <f>IF($A179="","",IF(COUNT(G179,K179,O179,S179,W179,AA179)=0,"",MIN(G179,K179,O179,S179,W179,AA179)))</f>
        <v/>
      </c>
      <c r="AD179">
        <f>IF($A179="","",IFERROR(INDEX(CHOOSE({1,2,3,4,5,6},IFERROR(INDEX(Papers!$K$2:$K$12,MATCH($C179,Papers!$A$2:$A$12,0)),""),IFERROR(INDEX(Papers!$L$2:$L$12,MATCH($C179,Papers!$A$2:$A$12,0)),""),IFERROR(INDEX(Papers!$M$2:$M$12,MATCH($C179,Papers!$A$2:$A$12,0)),""),IFERROR(INDEX(Papers!$N$2:$N$12,MATCH($C179,Papers!$A$2:$A$12,0)),""),IFERROR(INDEX(Papers!$O$2:$O$12,MATCH($C179,Papers!$A$2:$A$12,0)),""),IFERROR(INDEX(Papers!$P$2:$P$12,MATCH($C179,Papers!$A$2:$A$12,0)),"")),MATCH(MIN(G179,K179,O179,S179,W179,AA179),CHOOSE({1,2,3,4,5,6},G179,K179,O179,S179,W179,AA179),0)),""))</f>
        <v/>
      </c>
      <c r="AE179">
        <f>IF(AC179="","",IF(AC179&lt;50,"Re-teach",IF(AC179&lt;75,"Practice more","Relatively secure")))</f>
        <v/>
      </c>
    </row>
    <row r="180">
      <c r="A180">
        <f>IF(Attempts!A180="","",Attempts!A180)</f>
        <v/>
      </c>
      <c r="B180">
        <f>IF(Attempts!A180="","",Attempts!B180)</f>
        <v/>
      </c>
      <c r="C180">
        <f>IF(Attempts!A180="","",Attempts!D180)</f>
        <v/>
      </c>
      <c r="D180">
        <f>IF($A180="","",IFERROR(INDEX(Papers!$E$2:$E$12,MATCH($C180,Papers!$A$2:$A$12,0)),""))</f>
        <v/>
      </c>
      <c r="E180">
        <f>IF($A180="","",IFERROR(SUMPRODUCT((INDEX(SubMap!$B$2:$AE$12,MATCH($C180,SubMap!$A$2:$A$12,0),0)=1)*Attempts!$AR180:$BU180),0))</f>
        <v/>
      </c>
      <c r="F180">
        <f>IF($A180="","",IFERROR(COUNTIF(INDEX(SubMap!$B$2:$AE$12,MATCH($C180,SubMap!$A$2:$A$12,0),0),1),0))</f>
        <v/>
      </c>
      <c r="G180">
        <f>IF(OR($A180="",F180=0),"",ROUND(E180/F180*100,1))</f>
        <v/>
      </c>
      <c r="H180">
        <f>IF($A180="","",IFERROR(INDEX(Papers!$F$2:$F$12,MATCH($C180,Papers!$A$2:$A$12,0)),""))</f>
        <v/>
      </c>
      <c r="I180">
        <f>IF($A180="","",IFERROR(SUMPRODUCT((INDEX(SubMap!$B$2:$AE$12,MATCH($C180,SubMap!$A$2:$A$12,0),0)=2)*Attempts!$AR180:$BU180),0))</f>
        <v/>
      </c>
      <c r="J180">
        <f>IF($A180="","",IFERROR(COUNTIF(INDEX(SubMap!$B$2:$AE$12,MATCH($C180,SubMap!$A$2:$A$12,0),0),2),0))</f>
        <v/>
      </c>
      <c r="K180">
        <f>IF(OR($A180="",J180=0),"",ROUND(I180/J180*100,1))</f>
        <v/>
      </c>
      <c r="L180">
        <f>IF($A180="","",IFERROR(INDEX(Papers!$G$2:$G$12,MATCH($C180,Papers!$A$2:$A$12,0)),""))</f>
        <v/>
      </c>
      <c r="M180">
        <f>IF($A180="","",IFERROR(SUMPRODUCT((INDEX(SubMap!$B$2:$AE$12,MATCH($C180,SubMap!$A$2:$A$12,0),0)=3)*Attempts!$AR180:$BU180),0))</f>
        <v/>
      </c>
      <c r="N180">
        <f>IF($A180="","",IFERROR(COUNTIF(INDEX(SubMap!$B$2:$AE$12,MATCH($C180,SubMap!$A$2:$A$12,0),0),3),0))</f>
        <v/>
      </c>
      <c r="O180">
        <f>IF(OR($A180="",N180=0),"",ROUND(M180/N180*100,1))</f>
        <v/>
      </c>
      <c r="P180">
        <f>IF($A180="","",IFERROR(INDEX(Papers!$H$2:$H$12,MATCH($C180,Papers!$A$2:$A$12,0)),""))</f>
        <v/>
      </c>
      <c r="Q180">
        <f>IF($A180="","",IFERROR(SUMPRODUCT((INDEX(SubMap!$B$2:$AE$12,MATCH($C180,SubMap!$A$2:$A$12,0),0)=4)*Attempts!$AR180:$BU180),0))</f>
        <v/>
      </c>
      <c r="R180">
        <f>IF($A180="","",IFERROR(COUNTIF(INDEX(SubMap!$B$2:$AE$12,MATCH($C180,SubMap!$A$2:$A$12,0),0),4),0))</f>
        <v/>
      </c>
      <c r="S180">
        <f>IF(OR($A180="",R180=0),"",ROUND(Q180/R180*100,1))</f>
        <v/>
      </c>
      <c r="T180">
        <f>IF($A180="","",IFERROR(INDEX(Papers!$I$2:$I$12,MATCH($C180,Papers!$A$2:$A$12,0)),""))</f>
        <v/>
      </c>
      <c r="U180">
        <f>IF($A180="","",IFERROR(SUMPRODUCT((INDEX(SubMap!$B$2:$AE$12,MATCH($C180,SubMap!$A$2:$A$12,0),0)=5)*Attempts!$AR180:$BU180),0))</f>
        <v/>
      </c>
      <c r="V180">
        <f>IF($A180="","",IFERROR(COUNTIF(INDEX(SubMap!$B$2:$AE$12,MATCH($C180,SubMap!$A$2:$A$12,0),0),5),0))</f>
        <v/>
      </c>
      <c r="W180">
        <f>IF(OR($A180="",V180=0),"",ROUND(U180/V180*100,1))</f>
        <v/>
      </c>
      <c r="X180">
        <f>IF($A180="","",IFERROR(INDEX(Papers!$J$2:$J$12,MATCH($C180,Papers!$A$2:$A$12,0)),""))</f>
        <v/>
      </c>
      <c r="Y180">
        <f>IF($A180="","",IFERROR(SUMPRODUCT((INDEX(SubMap!$B$2:$AE$12,MATCH($C180,SubMap!$A$2:$A$12,0),0)=6)*Attempts!$AR180:$BU180),0))</f>
        <v/>
      </c>
      <c r="Z180">
        <f>IF($A180="","",IFERROR(COUNTIF(INDEX(SubMap!$B$2:$AE$12,MATCH($C180,SubMap!$A$2:$A$12,0),0),6),0))</f>
        <v/>
      </c>
      <c r="AA180">
        <f>IF(OR($A180="",Z180=0),"",ROUND(Y180/Z180*100,1))</f>
        <v/>
      </c>
      <c r="AB180">
        <f>IF($A180="","",IFERROR(INDEX(CHOOSE({1,2,3,4,5,6},D180,H180,L180,P180,T180,X180),MATCH(MIN(G180,K180,O180,S180,W180,AA180),CHOOSE({1,2,3,4,5,6},G180,K180,O180,S180,W180,AA180),0)),""))</f>
        <v/>
      </c>
      <c r="AC180">
        <f>IF($A180="","",IF(COUNT(G180,K180,O180,S180,W180,AA180)=0,"",MIN(G180,K180,O180,S180,W180,AA180)))</f>
        <v/>
      </c>
      <c r="AD180">
        <f>IF($A180="","",IFERROR(INDEX(CHOOSE({1,2,3,4,5,6},IFERROR(INDEX(Papers!$K$2:$K$12,MATCH($C180,Papers!$A$2:$A$12,0)),""),IFERROR(INDEX(Papers!$L$2:$L$12,MATCH($C180,Papers!$A$2:$A$12,0)),""),IFERROR(INDEX(Papers!$M$2:$M$12,MATCH($C180,Papers!$A$2:$A$12,0)),""),IFERROR(INDEX(Papers!$N$2:$N$12,MATCH($C180,Papers!$A$2:$A$12,0)),""),IFERROR(INDEX(Papers!$O$2:$O$12,MATCH($C180,Papers!$A$2:$A$12,0)),""),IFERROR(INDEX(Papers!$P$2:$P$12,MATCH($C180,Papers!$A$2:$A$12,0)),"")),MATCH(MIN(G180,K180,O180,S180,W180,AA180),CHOOSE({1,2,3,4,5,6},G180,K180,O180,S180,W180,AA180),0)),""))</f>
        <v/>
      </c>
      <c r="AE180">
        <f>IF(AC180="","",IF(AC180&lt;50,"Re-teach",IF(AC180&lt;75,"Practice more","Relatively secure")))</f>
        <v/>
      </c>
    </row>
    <row r="181">
      <c r="A181">
        <f>IF(Attempts!A181="","",Attempts!A181)</f>
        <v/>
      </c>
      <c r="B181">
        <f>IF(Attempts!A181="","",Attempts!B181)</f>
        <v/>
      </c>
      <c r="C181">
        <f>IF(Attempts!A181="","",Attempts!D181)</f>
        <v/>
      </c>
      <c r="D181">
        <f>IF($A181="","",IFERROR(INDEX(Papers!$E$2:$E$12,MATCH($C181,Papers!$A$2:$A$12,0)),""))</f>
        <v/>
      </c>
      <c r="E181">
        <f>IF($A181="","",IFERROR(SUMPRODUCT((INDEX(SubMap!$B$2:$AE$12,MATCH($C181,SubMap!$A$2:$A$12,0),0)=1)*Attempts!$AR181:$BU181),0))</f>
        <v/>
      </c>
      <c r="F181">
        <f>IF($A181="","",IFERROR(COUNTIF(INDEX(SubMap!$B$2:$AE$12,MATCH($C181,SubMap!$A$2:$A$12,0),0),1),0))</f>
        <v/>
      </c>
      <c r="G181">
        <f>IF(OR($A181="",F181=0),"",ROUND(E181/F181*100,1))</f>
        <v/>
      </c>
      <c r="H181">
        <f>IF($A181="","",IFERROR(INDEX(Papers!$F$2:$F$12,MATCH($C181,Papers!$A$2:$A$12,0)),""))</f>
        <v/>
      </c>
      <c r="I181">
        <f>IF($A181="","",IFERROR(SUMPRODUCT((INDEX(SubMap!$B$2:$AE$12,MATCH($C181,SubMap!$A$2:$A$12,0),0)=2)*Attempts!$AR181:$BU181),0))</f>
        <v/>
      </c>
      <c r="J181">
        <f>IF($A181="","",IFERROR(COUNTIF(INDEX(SubMap!$B$2:$AE$12,MATCH($C181,SubMap!$A$2:$A$12,0),0),2),0))</f>
        <v/>
      </c>
      <c r="K181">
        <f>IF(OR($A181="",J181=0),"",ROUND(I181/J181*100,1))</f>
        <v/>
      </c>
      <c r="L181">
        <f>IF($A181="","",IFERROR(INDEX(Papers!$G$2:$G$12,MATCH($C181,Papers!$A$2:$A$12,0)),""))</f>
        <v/>
      </c>
      <c r="M181">
        <f>IF($A181="","",IFERROR(SUMPRODUCT((INDEX(SubMap!$B$2:$AE$12,MATCH($C181,SubMap!$A$2:$A$12,0),0)=3)*Attempts!$AR181:$BU181),0))</f>
        <v/>
      </c>
      <c r="N181">
        <f>IF($A181="","",IFERROR(COUNTIF(INDEX(SubMap!$B$2:$AE$12,MATCH($C181,SubMap!$A$2:$A$12,0),0),3),0))</f>
        <v/>
      </c>
      <c r="O181">
        <f>IF(OR($A181="",N181=0),"",ROUND(M181/N181*100,1))</f>
        <v/>
      </c>
      <c r="P181">
        <f>IF($A181="","",IFERROR(INDEX(Papers!$H$2:$H$12,MATCH($C181,Papers!$A$2:$A$12,0)),""))</f>
        <v/>
      </c>
      <c r="Q181">
        <f>IF($A181="","",IFERROR(SUMPRODUCT((INDEX(SubMap!$B$2:$AE$12,MATCH($C181,SubMap!$A$2:$A$12,0),0)=4)*Attempts!$AR181:$BU181),0))</f>
        <v/>
      </c>
      <c r="R181">
        <f>IF($A181="","",IFERROR(COUNTIF(INDEX(SubMap!$B$2:$AE$12,MATCH($C181,SubMap!$A$2:$A$12,0),0),4),0))</f>
        <v/>
      </c>
      <c r="S181">
        <f>IF(OR($A181="",R181=0),"",ROUND(Q181/R181*100,1))</f>
        <v/>
      </c>
      <c r="T181">
        <f>IF($A181="","",IFERROR(INDEX(Papers!$I$2:$I$12,MATCH($C181,Papers!$A$2:$A$12,0)),""))</f>
        <v/>
      </c>
      <c r="U181">
        <f>IF($A181="","",IFERROR(SUMPRODUCT((INDEX(SubMap!$B$2:$AE$12,MATCH($C181,SubMap!$A$2:$A$12,0),0)=5)*Attempts!$AR181:$BU181),0))</f>
        <v/>
      </c>
      <c r="V181">
        <f>IF($A181="","",IFERROR(COUNTIF(INDEX(SubMap!$B$2:$AE$12,MATCH($C181,SubMap!$A$2:$A$12,0),0),5),0))</f>
        <v/>
      </c>
      <c r="W181">
        <f>IF(OR($A181="",V181=0),"",ROUND(U181/V181*100,1))</f>
        <v/>
      </c>
      <c r="X181">
        <f>IF($A181="","",IFERROR(INDEX(Papers!$J$2:$J$12,MATCH($C181,Papers!$A$2:$A$12,0)),""))</f>
        <v/>
      </c>
      <c r="Y181">
        <f>IF($A181="","",IFERROR(SUMPRODUCT((INDEX(SubMap!$B$2:$AE$12,MATCH($C181,SubMap!$A$2:$A$12,0),0)=6)*Attempts!$AR181:$BU181),0))</f>
        <v/>
      </c>
      <c r="Z181">
        <f>IF($A181="","",IFERROR(COUNTIF(INDEX(SubMap!$B$2:$AE$12,MATCH($C181,SubMap!$A$2:$A$12,0),0),6),0))</f>
        <v/>
      </c>
      <c r="AA181">
        <f>IF(OR($A181="",Z181=0),"",ROUND(Y181/Z181*100,1))</f>
        <v/>
      </c>
      <c r="AB181">
        <f>IF($A181="","",IFERROR(INDEX(CHOOSE({1,2,3,4,5,6},D181,H181,L181,P181,T181,X181),MATCH(MIN(G181,K181,O181,S181,W181,AA181),CHOOSE({1,2,3,4,5,6},G181,K181,O181,S181,W181,AA181),0)),""))</f>
        <v/>
      </c>
      <c r="AC181">
        <f>IF($A181="","",IF(COUNT(G181,K181,O181,S181,W181,AA181)=0,"",MIN(G181,K181,O181,S181,W181,AA181)))</f>
        <v/>
      </c>
      <c r="AD181">
        <f>IF($A181="","",IFERROR(INDEX(CHOOSE({1,2,3,4,5,6},IFERROR(INDEX(Papers!$K$2:$K$12,MATCH($C181,Papers!$A$2:$A$12,0)),""),IFERROR(INDEX(Papers!$L$2:$L$12,MATCH($C181,Papers!$A$2:$A$12,0)),""),IFERROR(INDEX(Papers!$M$2:$M$12,MATCH($C181,Papers!$A$2:$A$12,0)),""),IFERROR(INDEX(Papers!$N$2:$N$12,MATCH($C181,Papers!$A$2:$A$12,0)),""),IFERROR(INDEX(Papers!$O$2:$O$12,MATCH($C181,Papers!$A$2:$A$12,0)),""),IFERROR(INDEX(Papers!$P$2:$P$12,MATCH($C181,Papers!$A$2:$A$12,0)),"")),MATCH(MIN(G181,K181,O181,S181,W181,AA181),CHOOSE({1,2,3,4,5,6},G181,K181,O181,S181,W181,AA181),0)),""))</f>
        <v/>
      </c>
      <c r="AE181">
        <f>IF(AC181="","",IF(AC181&lt;50,"Re-teach",IF(AC181&lt;75,"Practice more","Relatively secure")))</f>
        <v/>
      </c>
    </row>
    <row r="182">
      <c r="A182">
        <f>IF(Attempts!A182="","",Attempts!A182)</f>
        <v/>
      </c>
      <c r="B182">
        <f>IF(Attempts!A182="","",Attempts!B182)</f>
        <v/>
      </c>
      <c r="C182">
        <f>IF(Attempts!A182="","",Attempts!D182)</f>
        <v/>
      </c>
      <c r="D182">
        <f>IF($A182="","",IFERROR(INDEX(Papers!$E$2:$E$12,MATCH($C182,Papers!$A$2:$A$12,0)),""))</f>
        <v/>
      </c>
      <c r="E182">
        <f>IF($A182="","",IFERROR(SUMPRODUCT((INDEX(SubMap!$B$2:$AE$12,MATCH($C182,SubMap!$A$2:$A$12,0),0)=1)*Attempts!$AR182:$BU182),0))</f>
        <v/>
      </c>
      <c r="F182">
        <f>IF($A182="","",IFERROR(COUNTIF(INDEX(SubMap!$B$2:$AE$12,MATCH($C182,SubMap!$A$2:$A$12,0),0),1),0))</f>
        <v/>
      </c>
      <c r="G182">
        <f>IF(OR($A182="",F182=0),"",ROUND(E182/F182*100,1))</f>
        <v/>
      </c>
      <c r="H182">
        <f>IF($A182="","",IFERROR(INDEX(Papers!$F$2:$F$12,MATCH($C182,Papers!$A$2:$A$12,0)),""))</f>
        <v/>
      </c>
      <c r="I182">
        <f>IF($A182="","",IFERROR(SUMPRODUCT((INDEX(SubMap!$B$2:$AE$12,MATCH($C182,SubMap!$A$2:$A$12,0),0)=2)*Attempts!$AR182:$BU182),0))</f>
        <v/>
      </c>
      <c r="J182">
        <f>IF($A182="","",IFERROR(COUNTIF(INDEX(SubMap!$B$2:$AE$12,MATCH($C182,SubMap!$A$2:$A$12,0),0),2),0))</f>
        <v/>
      </c>
      <c r="K182">
        <f>IF(OR($A182="",J182=0),"",ROUND(I182/J182*100,1))</f>
        <v/>
      </c>
      <c r="L182">
        <f>IF($A182="","",IFERROR(INDEX(Papers!$G$2:$G$12,MATCH($C182,Papers!$A$2:$A$12,0)),""))</f>
        <v/>
      </c>
      <c r="M182">
        <f>IF($A182="","",IFERROR(SUMPRODUCT((INDEX(SubMap!$B$2:$AE$12,MATCH($C182,SubMap!$A$2:$A$12,0),0)=3)*Attempts!$AR182:$BU182),0))</f>
        <v/>
      </c>
      <c r="N182">
        <f>IF($A182="","",IFERROR(COUNTIF(INDEX(SubMap!$B$2:$AE$12,MATCH($C182,SubMap!$A$2:$A$12,0),0),3),0))</f>
        <v/>
      </c>
      <c r="O182">
        <f>IF(OR($A182="",N182=0),"",ROUND(M182/N182*100,1))</f>
        <v/>
      </c>
      <c r="P182">
        <f>IF($A182="","",IFERROR(INDEX(Papers!$H$2:$H$12,MATCH($C182,Papers!$A$2:$A$12,0)),""))</f>
        <v/>
      </c>
      <c r="Q182">
        <f>IF($A182="","",IFERROR(SUMPRODUCT((INDEX(SubMap!$B$2:$AE$12,MATCH($C182,SubMap!$A$2:$A$12,0),0)=4)*Attempts!$AR182:$BU182),0))</f>
        <v/>
      </c>
      <c r="R182">
        <f>IF($A182="","",IFERROR(COUNTIF(INDEX(SubMap!$B$2:$AE$12,MATCH($C182,SubMap!$A$2:$A$12,0),0),4),0))</f>
        <v/>
      </c>
      <c r="S182">
        <f>IF(OR($A182="",R182=0),"",ROUND(Q182/R182*100,1))</f>
        <v/>
      </c>
      <c r="T182">
        <f>IF($A182="","",IFERROR(INDEX(Papers!$I$2:$I$12,MATCH($C182,Papers!$A$2:$A$12,0)),""))</f>
        <v/>
      </c>
      <c r="U182">
        <f>IF($A182="","",IFERROR(SUMPRODUCT((INDEX(SubMap!$B$2:$AE$12,MATCH($C182,SubMap!$A$2:$A$12,0),0)=5)*Attempts!$AR182:$BU182),0))</f>
        <v/>
      </c>
      <c r="V182">
        <f>IF($A182="","",IFERROR(COUNTIF(INDEX(SubMap!$B$2:$AE$12,MATCH($C182,SubMap!$A$2:$A$12,0),0),5),0))</f>
        <v/>
      </c>
      <c r="W182">
        <f>IF(OR($A182="",V182=0),"",ROUND(U182/V182*100,1))</f>
        <v/>
      </c>
      <c r="X182">
        <f>IF($A182="","",IFERROR(INDEX(Papers!$J$2:$J$12,MATCH($C182,Papers!$A$2:$A$12,0)),""))</f>
        <v/>
      </c>
      <c r="Y182">
        <f>IF($A182="","",IFERROR(SUMPRODUCT((INDEX(SubMap!$B$2:$AE$12,MATCH($C182,SubMap!$A$2:$A$12,0),0)=6)*Attempts!$AR182:$BU182),0))</f>
        <v/>
      </c>
      <c r="Z182">
        <f>IF($A182="","",IFERROR(COUNTIF(INDEX(SubMap!$B$2:$AE$12,MATCH($C182,SubMap!$A$2:$A$12,0),0),6),0))</f>
        <v/>
      </c>
      <c r="AA182">
        <f>IF(OR($A182="",Z182=0),"",ROUND(Y182/Z182*100,1))</f>
        <v/>
      </c>
      <c r="AB182">
        <f>IF($A182="","",IFERROR(INDEX(CHOOSE({1,2,3,4,5,6},D182,H182,L182,P182,T182,X182),MATCH(MIN(G182,K182,O182,S182,W182,AA182),CHOOSE({1,2,3,4,5,6},G182,K182,O182,S182,W182,AA182),0)),""))</f>
        <v/>
      </c>
      <c r="AC182">
        <f>IF($A182="","",IF(COUNT(G182,K182,O182,S182,W182,AA182)=0,"",MIN(G182,K182,O182,S182,W182,AA182)))</f>
        <v/>
      </c>
      <c r="AD182">
        <f>IF($A182="","",IFERROR(INDEX(CHOOSE({1,2,3,4,5,6},IFERROR(INDEX(Papers!$K$2:$K$12,MATCH($C182,Papers!$A$2:$A$12,0)),""),IFERROR(INDEX(Papers!$L$2:$L$12,MATCH($C182,Papers!$A$2:$A$12,0)),""),IFERROR(INDEX(Papers!$M$2:$M$12,MATCH($C182,Papers!$A$2:$A$12,0)),""),IFERROR(INDEX(Papers!$N$2:$N$12,MATCH($C182,Papers!$A$2:$A$12,0)),""),IFERROR(INDEX(Papers!$O$2:$O$12,MATCH($C182,Papers!$A$2:$A$12,0)),""),IFERROR(INDEX(Papers!$P$2:$P$12,MATCH($C182,Papers!$A$2:$A$12,0)),"")),MATCH(MIN(G182,K182,O182,S182,W182,AA182),CHOOSE({1,2,3,4,5,6},G182,K182,O182,S182,W182,AA182),0)),""))</f>
        <v/>
      </c>
      <c r="AE182">
        <f>IF(AC182="","",IF(AC182&lt;50,"Re-teach",IF(AC182&lt;75,"Practice more","Relatively secure")))</f>
        <v/>
      </c>
    </row>
    <row r="183">
      <c r="A183">
        <f>IF(Attempts!A183="","",Attempts!A183)</f>
        <v/>
      </c>
      <c r="B183">
        <f>IF(Attempts!A183="","",Attempts!B183)</f>
        <v/>
      </c>
      <c r="C183">
        <f>IF(Attempts!A183="","",Attempts!D183)</f>
        <v/>
      </c>
      <c r="D183">
        <f>IF($A183="","",IFERROR(INDEX(Papers!$E$2:$E$12,MATCH($C183,Papers!$A$2:$A$12,0)),""))</f>
        <v/>
      </c>
      <c r="E183">
        <f>IF($A183="","",IFERROR(SUMPRODUCT((INDEX(SubMap!$B$2:$AE$12,MATCH($C183,SubMap!$A$2:$A$12,0),0)=1)*Attempts!$AR183:$BU183),0))</f>
        <v/>
      </c>
      <c r="F183">
        <f>IF($A183="","",IFERROR(COUNTIF(INDEX(SubMap!$B$2:$AE$12,MATCH($C183,SubMap!$A$2:$A$12,0),0),1),0))</f>
        <v/>
      </c>
      <c r="G183">
        <f>IF(OR($A183="",F183=0),"",ROUND(E183/F183*100,1))</f>
        <v/>
      </c>
      <c r="H183">
        <f>IF($A183="","",IFERROR(INDEX(Papers!$F$2:$F$12,MATCH($C183,Papers!$A$2:$A$12,0)),""))</f>
        <v/>
      </c>
      <c r="I183">
        <f>IF($A183="","",IFERROR(SUMPRODUCT((INDEX(SubMap!$B$2:$AE$12,MATCH($C183,SubMap!$A$2:$A$12,0),0)=2)*Attempts!$AR183:$BU183),0))</f>
        <v/>
      </c>
      <c r="J183">
        <f>IF($A183="","",IFERROR(COUNTIF(INDEX(SubMap!$B$2:$AE$12,MATCH($C183,SubMap!$A$2:$A$12,0),0),2),0))</f>
        <v/>
      </c>
      <c r="K183">
        <f>IF(OR($A183="",J183=0),"",ROUND(I183/J183*100,1))</f>
        <v/>
      </c>
      <c r="L183">
        <f>IF($A183="","",IFERROR(INDEX(Papers!$G$2:$G$12,MATCH($C183,Papers!$A$2:$A$12,0)),""))</f>
        <v/>
      </c>
      <c r="M183">
        <f>IF($A183="","",IFERROR(SUMPRODUCT((INDEX(SubMap!$B$2:$AE$12,MATCH($C183,SubMap!$A$2:$A$12,0),0)=3)*Attempts!$AR183:$BU183),0))</f>
        <v/>
      </c>
      <c r="N183">
        <f>IF($A183="","",IFERROR(COUNTIF(INDEX(SubMap!$B$2:$AE$12,MATCH($C183,SubMap!$A$2:$A$12,0),0),3),0))</f>
        <v/>
      </c>
      <c r="O183">
        <f>IF(OR($A183="",N183=0),"",ROUND(M183/N183*100,1))</f>
        <v/>
      </c>
      <c r="P183">
        <f>IF($A183="","",IFERROR(INDEX(Papers!$H$2:$H$12,MATCH($C183,Papers!$A$2:$A$12,0)),""))</f>
        <v/>
      </c>
      <c r="Q183">
        <f>IF($A183="","",IFERROR(SUMPRODUCT((INDEX(SubMap!$B$2:$AE$12,MATCH($C183,SubMap!$A$2:$A$12,0),0)=4)*Attempts!$AR183:$BU183),0))</f>
        <v/>
      </c>
      <c r="R183">
        <f>IF($A183="","",IFERROR(COUNTIF(INDEX(SubMap!$B$2:$AE$12,MATCH($C183,SubMap!$A$2:$A$12,0),0),4),0))</f>
        <v/>
      </c>
      <c r="S183">
        <f>IF(OR($A183="",R183=0),"",ROUND(Q183/R183*100,1))</f>
        <v/>
      </c>
      <c r="T183">
        <f>IF($A183="","",IFERROR(INDEX(Papers!$I$2:$I$12,MATCH($C183,Papers!$A$2:$A$12,0)),""))</f>
        <v/>
      </c>
      <c r="U183">
        <f>IF($A183="","",IFERROR(SUMPRODUCT((INDEX(SubMap!$B$2:$AE$12,MATCH($C183,SubMap!$A$2:$A$12,0),0)=5)*Attempts!$AR183:$BU183),0))</f>
        <v/>
      </c>
      <c r="V183">
        <f>IF($A183="","",IFERROR(COUNTIF(INDEX(SubMap!$B$2:$AE$12,MATCH($C183,SubMap!$A$2:$A$12,0),0),5),0))</f>
        <v/>
      </c>
      <c r="W183">
        <f>IF(OR($A183="",V183=0),"",ROUND(U183/V183*100,1))</f>
        <v/>
      </c>
      <c r="X183">
        <f>IF($A183="","",IFERROR(INDEX(Papers!$J$2:$J$12,MATCH($C183,Papers!$A$2:$A$12,0)),""))</f>
        <v/>
      </c>
      <c r="Y183">
        <f>IF($A183="","",IFERROR(SUMPRODUCT((INDEX(SubMap!$B$2:$AE$12,MATCH($C183,SubMap!$A$2:$A$12,0),0)=6)*Attempts!$AR183:$BU183),0))</f>
        <v/>
      </c>
      <c r="Z183">
        <f>IF($A183="","",IFERROR(COUNTIF(INDEX(SubMap!$B$2:$AE$12,MATCH($C183,SubMap!$A$2:$A$12,0),0),6),0))</f>
        <v/>
      </c>
      <c r="AA183">
        <f>IF(OR($A183="",Z183=0),"",ROUND(Y183/Z183*100,1))</f>
        <v/>
      </c>
      <c r="AB183">
        <f>IF($A183="","",IFERROR(INDEX(CHOOSE({1,2,3,4,5,6},D183,H183,L183,P183,T183,X183),MATCH(MIN(G183,K183,O183,S183,W183,AA183),CHOOSE({1,2,3,4,5,6},G183,K183,O183,S183,W183,AA183),0)),""))</f>
        <v/>
      </c>
      <c r="AC183">
        <f>IF($A183="","",IF(COUNT(G183,K183,O183,S183,W183,AA183)=0,"",MIN(G183,K183,O183,S183,W183,AA183)))</f>
        <v/>
      </c>
      <c r="AD183">
        <f>IF($A183="","",IFERROR(INDEX(CHOOSE({1,2,3,4,5,6},IFERROR(INDEX(Papers!$K$2:$K$12,MATCH($C183,Papers!$A$2:$A$12,0)),""),IFERROR(INDEX(Papers!$L$2:$L$12,MATCH($C183,Papers!$A$2:$A$12,0)),""),IFERROR(INDEX(Papers!$M$2:$M$12,MATCH($C183,Papers!$A$2:$A$12,0)),""),IFERROR(INDEX(Papers!$N$2:$N$12,MATCH($C183,Papers!$A$2:$A$12,0)),""),IFERROR(INDEX(Papers!$O$2:$O$12,MATCH($C183,Papers!$A$2:$A$12,0)),""),IFERROR(INDEX(Papers!$P$2:$P$12,MATCH($C183,Papers!$A$2:$A$12,0)),"")),MATCH(MIN(G183,K183,O183,S183,W183,AA183),CHOOSE({1,2,3,4,5,6},G183,K183,O183,S183,W183,AA183),0)),""))</f>
        <v/>
      </c>
      <c r="AE183">
        <f>IF(AC183="","",IF(AC183&lt;50,"Re-teach",IF(AC183&lt;75,"Practice more","Relatively secure")))</f>
        <v/>
      </c>
    </row>
    <row r="184">
      <c r="A184">
        <f>IF(Attempts!A184="","",Attempts!A184)</f>
        <v/>
      </c>
      <c r="B184">
        <f>IF(Attempts!A184="","",Attempts!B184)</f>
        <v/>
      </c>
      <c r="C184">
        <f>IF(Attempts!A184="","",Attempts!D184)</f>
        <v/>
      </c>
      <c r="D184">
        <f>IF($A184="","",IFERROR(INDEX(Papers!$E$2:$E$12,MATCH($C184,Papers!$A$2:$A$12,0)),""))</f>
        <v/>
      </c>
      <c r="E184">
        <f>IF($A184="","",IFERROR(SUMPRODUCT((INDEX(SubMap!$B$2:$AE$12,MATCH($C184,SubMap!$A$2:$A$12,0),0)=1)*Attempts!$AR184:$BU184),0))</f>
        <v/>
      </c>
      <c r="F184">
        <f>IF($A184="","",IFERROR(COUNTIF(INDEX(SubMap!$B$2:$AE$12,MATCH($C184,SubMap!$A$2:$A$12,0),0),1),0))</f>
        <v/>
      </c>
      <c r="G184">
        <f>IF(OR($A184="",F184=0),"",ROUND(E184/F184*100,1))</f>
        <v/>
      </c>
      <c r="H184">
        <f>IF($A184="","",IFERROR(INDEX(Papers!$F$2:$F$12,MATCH($C184,Papers!$A$2:$A$12,0)),""))</f>
        <v/>
      </c>
      <c r="I184">
        <f>IF($A184="","",IFERROR(SUMPRODUCT((INDEX(SubMap!$B$2:$AE$12,MATCH($C184,SubMap!$A$2:$A$12,0),0)=2)*Attempts!$AR184:$BU184),0))</f>
        <v/>
      </c>
      <c r="J184">
        <f>IF($A184="","",IFERROR(COUNTIF(INDEX(SubMap!$B$2:$AE$12,MATCH($C184,SubMap!$A$2:$A$12,0),0),2),0))</f>
        <v/>
      </c>
      <c r="K184">
        <f>IF(OR($A184="",J184=0),"",ROUND(I184/J184*100,1))</f>
        <v/>
      </c>
      <c r="L184">
        <f>IF($A184="","",IFERROR(INDEX(Papers!$G$2:$G$12,MATCH($C184,Papers!$A$2:$A$12,0)),""))</f>
        <v/>
      </c>
      <c r="M184">
        <f>IF($A184="","",IFERROR(SUMPRODUCT((INDEX(SubMap!$B$2:$AE$12,MATCH($C184,SubMap!$A$2:$A$12,0),0)=3)*Attempts!$AR184:$BU184),0))</f>
        <v/>
      </c>
      <c r="N184">
        <f>IF($A184="","",IFERROR(COUNTIF(INDEX(SubMap!$B$2:$AE$12,MATCH($C184,SubMap!$A$2:$A$12,0),0),3),0))</f>
        <v/>
      </c>
      <c r="O184">
        <f>IF(OR($A184="",N184=0),"",ROUND(M184/N184*100,1))</f>
        <v/>
      </c>
      <c r="P184">
        <f>IF($A184="","",IFERROR(INDEX(Papers!$H$2:$H$12,MATCH($C184,Papers!$A$2:$A$12,0)),""))</f>
        <v/>
      </c>
      <c r="Q184">
        <f>IF($A184="","",IFERROR(SUMPRODUCT((INDEX(SubMap!$B$2:$AE$12,MATCH($C184,SubMap!$A$2:$A$12,0),0)=4)*Attempts!$AR184:$BU184),0))</f>
        <v/>
      </c>
      <c r="R184">
        <f>IF($A184="","",IFERROR(COUNTIF(INDEX(SubMap!$B$2:$AE$12,MATCH($C184,SubMap!$A$2:$A$12,0),0),4),0))</f>
        <v/>
      </c>
      <c r="S184">
        <f>IF(OR($A184="",R184=0),"",ROUND(Q184/R184*100,1))</f>
        <v/>
      </c>
      <c r="T184">
        <f>IF($A184="","",IFERROR(INDEX(Papers!$I$2:$I$12,MATCH($C184,Papers!$A$2:$A$12,0)),""))</f>
        <v/>
      </c>
      <c r="U184">
        <f>IF($A184="","",IFERROR(SUMPRODUCT((INDEX(SubMap!$B$2:$AE$12,MATCH($C184,SubMap!$A$2:$A$12,0),0)=5)*Attempts!$AR184:$BU184),0))</f>
        <v/>
      </c>
      <c r="V184">
        <f>IF($A184="","",IFERROR(COUNTIF(INDEX(SubMap!$B$2:$AE$12,MATCH($C184,SubMap!$A$2:$A$12,0),0),5),0))</f>
        <v/>
      </c>
      <c r="W184">
        <f>IF(OR($A184="",V184=0),"",ROUND(U184/V184*100,1))</f>
        <v/>
      </c>
      <c r="X184">
        <f>IF($A184="","",IFERROR(INDEX(Papers!$J$2:$J$12,MATCH($C184,Papers!$A$2:$A$12,0)),""))</f>
        <v/>
      </c>
      <c r="Y184">
        <f>IF($A184="","",IFERROR(SUMPRODUCT((INDEX(SubMap!$B$2:$AE$12,MATCH($C184,SubMap!$A$2:$A$12,0),0)=6)*Attempts!$AR184:$BU184),0))</f>
        <v/>
      </c>
      <c r="Z184">
        <f>IF($A184="","",IFERROR(COUNTIF(INDEX(SubMap!$B$2:$AE$12,MATCH($C184,SubMap!$A$2:$A$12,0),0),6),0))</f>
        <v/>
      </c>
      <c r="AA184">
        <f>IF(OR($A184="",Z184=0),"",ROUND(Y184/Z184*100,1))</f>
        <v/>
      </c>
      <c r="AB184">
        <f>IF($A184="","",IFERROR(INDEX(CHOOSE({1,2,3,4,5,6},D184,H184,L184,P184,T184,X184),MATCH(MIN(G184,K184,O184,S184,W184,AA184),CHOOSE({1,2,3,4,5,6},G184,K184,O184,S184,W184,AA184),0)),""))</f>
        <v/>
      </c>
      <c r="AC184">
        <f>IF($A184="","",IF(COUNT(G184,K184,O184,S184,W184,AA184)=0,"",MIN(G184,K184,O184,S184,W184,AA184)))</f>
        <v/>
      </c>
      <c r="AD184">
        <f>IF($A184="","",IFERROR(INDEX(CHOOSE({1,2,3,4,5,6},IFERROR(INDEX(Papers!$K$2:$K$12,MATCH($C184,Papers!$A$2:$A$12,0)),""),IFERROR(INDEX(Papers!$L$2:$L$12,MATCH($C184,Papers!$A$2:$A$12,0)),""),IFERROR(INDEX(Papers!$M$2:$M$12,MATCH($C184,Papers!$A$2:$A$12,0)),""),IFERROR(INDEX(Papers!$N$2:$N$12,MATCH($C184,Papers!$A$2:$A$12,0)),""),IFERROR(INDEX(Papers!$O$2:$O$12,MATCH($C184,Papers!$A$2:$A$12,0)),""),IFERROR(INDEX(Papers!$P$2:$P$12,MATCH($C184,Papers!$A$2:$A$12,0)),"")),MATCH(MIN(G184,K184,O184,S184,W184,AA184),CHOOSE({1,2,3,4,5,6},G184,K184,O184,S184,W184,AA184),0)),""))</f>
        <v/>
      </c>
      <c r="AE184">
        <f>IF(AC184="","",IF(AC184&lt;50,"Re-teach",IF(AC184&lt;75,"Practice more","Relatively secure")))</f>
        <v/>
      </c>
    </row>
    <row r="185">
      <c r="A185">
        <f>IF(Attempts!A185="","",Attempts!A185)</f>
        <v/>
      </c>
      <c r="B185">
        <f>IF(Attempts!A185="","",Attempts!B185)</f>
        <v/>
      </c>
      <c r="C185">
        <f>IF(Attempts!A185="","",Attempts!D185)</f>
        <v/>
      </c>
      <c r="D185">
        <f>IF($A185="","",IFERROR(INDEX(Papers!$E$2:$E$12,MATCH($C185,Papers!$A$2:$A$12,0)),""))</f>
        <v/>
      </c>
      <c r="E185">
        <f>IF($A185="","",IFERROR(SUMPRODUCT((INDEX(SubMap!$B$2:$AE$12,MATCH($C185,SubMap!$A$2:$A$12,0),0)=1)*Attempts!$AR185:$BU185),0))</f>
        <v/>
      </c>
      <c r="F185">
        <f>IF($A185="","",IFERROR(COUNTIF(INDEX(SubMap!$B$2:$AE$12,MATCH($C185,SubMap!$A$2:$A$12,0),0),1),0))</f>
        <v/>
      </c>
      <c r="G185">
        <f>IF(OR($A185="",F185=0),"",ROUND(E185/F185*100,1))</f>
        <v/>
      </c>
      <c r="H185">
        <f>IF($A185="","",IFERROR(INDEX(Papers!$F$2:$F$12,MATCH($C185,Papers!$A$2:$A$12,0)),""))</f>
        <v/>
      </c>
      <c r="I185">
        <f>IF($A185="","",IFERROR(SUMPRODUCT((INDEX(SubMap!$B$2:$AE$12,MATCH($C185,SubMap!$A$2:$A$12,0),0)=2)*Attempts!$AR185:$BU185),0))</f>
        <v/>
      </c>
      <c r="J185">
        <f>IF($A185="","",IFERROR(COUNTIF(INDEX(SubMap!$B$2:$AE$12,MATCH($C185,SubMap!$A$2:$A$12,0),0),2),0))</f>
        <v/>
      </c>
      <c r="K185">
        <f>IF(OR($A185="",J185=0),"",ROUND(I185/J185*100,1))</f>
        <v/>
      </c>
      <c r="L185">
        <f>IF($A185="","",IFERROR(INDEX(Papers!$G$2:$G$12,MATCH($C185,Papers!$A$2:$A$12,0)),""))</f>
        <v/>
      </c>
      <c r="M185">
        <f>IF($A185="","",IFERROR(SUMPRODUCT((INDEX(SubMap!$B$2:$AE$12,MATCH($C185,SubMap!$A$2:$A$12,0),0)=3)*Attempts!$AR185:$BU185),0))</f>
        <v/>
      </c>
      <c r="N185">
        <f>IF($A185="","",IFERROR(COUNTIF(INDEX(SubMap!$B$2:$AE$12,MATCH($C185,SubMap!$A$2:$A$12,0),0),3),0))</f>
        <v/>
      </c>
      <c r="O185">
        <f>IF(OR($A185="",N185=0),"",ROUND(M185/N185*100,1))</f>
        <v/>
      </c>
      <c r="P185">
        <f>IF($A185="","",IFERROR(INDEX(Papers!$H$2:$H$12,MATCH($C185,Papers!$A$2:$A$12,0)),""))</f>
        <v/>
      </c>
      <c r="Q185">
        <f>IF($A185="","",IFERROR(SUMPRODUCT((INDEX(SubMap!$B$2:$AE$12,MATCH($C185,SubMap!$A$2:$A$12,0),0)=4)*Attempts!$AR185:$BU185),0))</f>
        <v/>
      </c>
      <c r="R185">
        <f>IF($A185="","",IFERROR(COUNTIF(INDEX(SubMap!$B$2:$AE$12,MATCH($C185,SubMap!$A$2:$A$12,0),0),4),0))</f>
        <v/>
      </c>
      <c r="S185">
        <f>IF(OR($A185="",R185=0),"",ROUND(Q185/R185*100,1))</f>
        <v/>
      </c>
      <c r="T185">
        <f>IF($A185="","",IFERROR(INDEX(Papers!$I$2:$I$12,MATCH($C185,Papers!$A$2:$A$12,0)),""))</f>
        <v/>
      </c>
      <c r="U185">
        <f>IF($A185="","",IFERROR(SUMPRODUCT((INDEX(SubMap!$B$2:$AE$12,MATCH($C185,SubMap!$A$2:$A$12,0),0)=5)*Attempts!$AR185:$BU185),0))</f>
        <v/>
      </c>
      <c r="V185">
        <f>IF($A185="","",IFERROR(COUNTIF(INDEX(SubMap!$B$2:$AE$12,MATCH($C185,SubMap!$A$2:$A$12,0),0),5),0))</f>
        <v/>
      </c>
      <c r="W185">
        <f>IF(OR($A185="",V185=0),"",ROUND(U185/V185*100,1))</f>
        <v/>
      </c>
      <c r="X185">
        <f>IF($A185="","",IFERROR(INDEX(Papers!$J$2:$J$12,MATCH($C185,Papers!$A$2:$A$12,0)),""))</f>
        <v/>
      </c>
      <c r="Y185">
        <f>IF($A185="","",IFERROR(SUMPRODUCT((INDEX(SubMap!$B$2:$AE$12,MATCH($C185,SubMap!$A$2:$A$12,0),0)=6)*Attempts!$AR185:$BU185),0))</f>
        <v/>
      </c>
      <c r="Z185">
        <f>IF($A185="","",IFERROR(COUNTIF(INDEX(SubMap!$B$2:$AE$12,MATCH($C185,SubMap!$A$2:$A$12,0),0),6),0))</f>
        <v/>
      </c>
      <c r="AA185">
        <f>IF(OR($A185="",Z185=0),"",ROUND(Y185/Z185*100,1))</f>
        <v/>
      </c>
      <c r="AB185">
        <f>IF($A185="","",IFERROR(INDEX(CHOOSE({1,2,3,4,5,6},D185,H185,L185,P185,T185,X185),MATCH(MIN(G185,K185,O185,S185,W185,AA185),CHOOSE({1,2,3,4,5,6},G185,K185,O185,S185,W185,AA185),0)),""))</f>
        <v/>
      </c>
      <c r="AC185">
        <f>IF($A185="","",IF(COUNT(G185,K185,O185,S185,W185,AA185)=0,"",MIN(G185,K185,O185,S185,W185,AA185)))</f>
        <v/>
      </c>
      <c r="AD185">
        <f>IF($A185="","",IFERROR(INDEX(CHOOSE({1,2,3,4,5,6},IFERROR(INDEX(Papers!$K$2:$K$12,MATCH($C185,Papers!$A$2:$A$12,0)),""),IFERROR(INDEX(Papers!$L$2:$L$12,MATCH($C185,Papers!$A$2:$A$12,0)),""),IFERROR(INDEX(Papers!$M$2:$M$12,MATCH($C185,Papers!$A$2:$A$12,0)),""),IFERROR(INDEX(Papers!$N$2:$N$12,MATCH($C185,Papers!$A$2:$A$12,0)),""),IFERROR(INDEX(Papers!$O$2:$O$12,MATCH($C185,Papers!$A$2:$A$12,0)),""),IFERROR(INDEX(Papers!$P$2:$P$12,MATCH($C185,Papers!$A$2:$A$12,0)),"")),MATCH(MIN(G185,K185,O185,S185,W185,AA185),CHOOSE({1,2,3,4,5,6},G185,K185,O185,S185,W185,AA185),0)),""))</f>
        <v/>
      </c>
      <c r="AE185">
        <f>IF(AC185="","",IF(AC185&lt;50,"Re-teach",IF(AC185&lt;75,"Practice more","Relatively secure")))</f>
        <v/>
      </c>
    </row>
    <row r="186">
      <c r="A186">
        <f>IF(Attempts!A186="","",Attempts!A186)</f>
        <v/>
      </c>
      <c r="B186">
        <f>IF(Attempts!A186="","",Attempts!B186)</f>
        <v/>
      </c>
      <c r="C186">
        <f>IF(Attempts!A186="","",Attempts!D186)</f>
        <v/>
      </c>
      <c r="D186">
        <f>IF($A186="","",IFERROR(INDEX(Papers!$E$2:$E$12,MATCH($C186,Papers!$A$2:$A$12,0)),""))</f>
        <v/>
      </c>
      <c r="E186">
        <f>IF($A186="","",IFERROR(SUMPRODUCT((INDEX(SubMap!$B$2:$AE$12,MATCH($C186,SubMap!$A$2:$A$12,0),0)=1)*Attempts!$AR186:$BU186),0))</f>
        <v/>
      </c>
      <c r="F186">
        <f>IF($A186="","",IFERROR(COUNTIF(INDEX(SubMap!$B$2:$AE$12,MATCH($C186,SubMap!$A$2:$A$12,0),0),1),0))</f>
        <v/>
      </c>
      <c r="G186">
        <f>IF(OR($A186="",F186=0),"",ROUND(E186/F186*100,1))</f>
        <v/>
      </c>
      <c r="H186">
        <f>IF($A186="","",IFERROR(INDEX(Papers!$F$2:$F$12,MATCH($C186,Papers!$A$2:$A$12,0)),""))</f>
        <v/>
      </c>
      <c r="I186">
        <f>IF($A186="","",IFERROR(SUMPRODUCT((INDEX(SubMap!$B$2:$AE$12,MATCH($C186,SubMap!$A$2:$A$12,0),0)=2)*Attempts!$AR186:$BU186),0))</f>
        <v/>
      </c>
      <c r="J186">
        <f>IF($A186="","",IFERROR(COUNTIF(INDEX(SubMap!$B$2:$AE$12,MATCH($C186,SubMap!$A$2:$A$12,0),0),2),0))</f>
        <v/>
      </c>
      <c r="K186">
        <f>IF(OR($A186="",J186=0),"",ROUND(I186/J186*100,1))</f>
        <v/>
      </c>
      <c r="L186">
        <f>IF($A186="","",IFERROR(INDEX(Papers!$G$2:$G$12,MATCH($C186,Papers!$A$2:$A$12,0)),""))</f>
        <v/>
      </c>
      <c r="M186">
        <f>IF($A186="","",IFERROR(SUMPRODUCT((INDEX(SubMap!$B$2:$AE$12,MATCH($C186,SubMap!$A$2:$A$12,0),0)=3)*Attempts!$AR186:$BU186),0))</f>
        <v/>
      </c>
      <c r="N186">
        <f>IF($A186="","",IFERROR(COUNTIF(INDEX(SubMap!$B$2:$AE$12,MATCH($C186,SubMap!$A$2:$A$12,0),0),3),0))</f>
        <v/>
      </c>
      <c r="O186">
        <f>IF(OR($A186="",N186=0),"",ROUND(M186/N186*100,1))</f>
        <v/>
      </c>
      <c r="P186">
        <f>IF($A186="","",IFERROR(INDEX(Papers!$H$2:$H$12,MATCH($C186,Papers!$A$2:$A$12,0)),""))</f>
        <v/>
      </c>
      <c r="Q186">
        <f>IF($A186="","",IFERROR(SUMPRODUCT((INDEX(SubMap!$B$2:$AE$12,MATCH($C186,SubMap!$A$2:$A$12,0),0)=4)*Attempts!$AR186:$BU186),0))</f>
        <v/>
      </c>
      <c r="R186">
        <f>IF($A186="","",IFERROR(COUNTIF(INDEX(SubMap!$B$2:$AE$12,MATCH($C186,SubMap!$A$2:$A$12,0),0),4),0))</f>
        <v/>
      </c>
      <c r="S186">
        <f>IF(OR($A186="",R186=0),"",ROUND(Q186/R186*100,1))</f>
        <v/>
      </c>
      <c r="T186">
        <f>IF($A186="","",IFERROR(INDEX(Papers!$I$2:$I$12,MATCH($C186,Papers!$A$2:$A$12,0)),""))</f>
        <v/>
      </c>
      <c r="U186">
        <f>IF($A186="","",IFERROR(SUMPRODUCT((INDEX(SubMap!$B$2:$AE$12,MATCH($C186,SubMap!$A$2:$A$12,0),0)=5)*Attempts!$AR186:$BU186),0))</f>
        <v/>
      </c>
      <c r="V186">
        <f>IF($A186="","",IFERROR(COUNTIF(INDEX(SubMap!$B$2:$AE$12,MATCH($C186,SubMap!$A$2:$A$12,0),0),5),0))</f>
        <v/>
      </c>
      <c r="W186">
        <f>IF(OR($A186="",V186=0),"",ROUND(U186/V186*100,1))</f>
        <v/>
      </c>
      <c r="X186">
        <f>IF($A186="","",IFERROR(INDEX(Papers!$J$2:$J$12,MATCH($C186,Papers!$A$2:$A$12,0)),""))</f>
        <v/>
      </c>
      <c r="Y186">
        <f>IF($A186="","",IFERROR(SUMPRODUCT((INDEX(SubMap!$B$2:$AE$12,MATCH($C186,SubMap!$A$2:$A$12,0),0)=6)*Attempts!$AR186:$BU186),0))</f>
        <v/>
      </c>
      <c r="Z186">
        <f>IF($A186="","",IFERROR(COUNTIF(INDEX(SubMap!$B$2:$AE$12,MATCH($C186,SubMap!$A$2:$A$12,0),0),6),0))</f>
        <v/>
      </c>
      <c r="AA186">
        <f>IF(OR($A186="",Z186=0),"",ROUND(Y186/Z186*100,1))</f>
        <v/>
      </c>
      <c r="AB186">
        <f>IF($A186="","",IFERROR(INDEX(CHOOSE({1,2,3,4,5,6},D186,H186,L186,P186,T186,X186),MATCH(MIN(G186,K186,O186,S186,W186,AA186),CHOOSE({1,2,3,4,5,6},G186,K186,O186,S186,W186,AA186),0)),""))</f>
        <v/>
      </c>
      <c r="AC186">
        <f>IF($A186="","",IF(COUNT(G186,K186,O186,S186,W186,AA186)=0,"",MIN(G186,K186,O186,S186,W186,AA186)))</f>
        <v/>
      </c>
      <c r="AD186">
        <f>IF($A186="","",IFERROR(INDEX(CHOOSE({1,2,3,4,5,6},IFERROR(INDEX(Papers!$K$2:$K$12,MATCH($C186,Papers!$A$2:$A$12,0)),""),IFERROR(INDEX(Papers!$L$2:$L$12,MATCH($C186,Papers!$A$2:$A$12,0)),""),IFERROR(INDEX(Papers!$M$2:$M$12,MATCH($C186,Papers!$A$2:$A$12,0)),""),IFERROR(INDEX(Papers!$N$2:$N$12,MATCH($C186,Papers!$A$2:$A$12,0)),""),IFERROR(INDEX(Papers!$O$2:$O$12,MATCH($C186,Papers!$A$2:$A$12,0)),""),IFERROR(INDEX(Papers!$P$2:$P$12,MATCH($C186,Papers!$A$2:$A$12,0)),"")),MATCH(MIN(G186,K186,O186,S186,W186,AA186),CHOOSE({1,2,3,4,5,6},G186,K186,O186,S186,W186,AA186),0)),""))</f>
        <v/>
      </c>
      <c r="AE186">
        <f>IF(AC186="","",IF(AC186&lt;50,"Re-teach",IF(AC186&lt;75,"Practice more","Relatively secure")))</f>
        <v/>
      </c>
    </row>
    <row r="187">
      <c r="A187">
        <f>IF(Attempts!A187="","",Attempts!A187)</f>
        <v/>
      </c>
      <c r="B187">
        <f>IF(Attempts!A187="","",Attempts!B187)</f>
        <v/>
      </c>
      <c r="C187">
        <f>IF(Attempts!A187="","",Attempts!D187)</f>
        <v/>
      </c>
      <c r="D187">
        <f>IF($A187="","",IFERROR(INDEX(Papers!$E$2:$E$12,MATCH($C187,Papers!$A$2:$A$12,0)),""))</f>
        <v/>
      </c>
      <c r="E187">
        <f>IF($A187="","",IFERROR(SUMPRODUCT((INDEX(SubMap!$B$2:$AE$12,MATCH($C187,SubMap!$A$2:$A$12,0),0)=1)*Attempts!$AR187:$BU187),0))</f>
        <v/>
      </c>
      <c r="F187">
        <f>IF($A187="","",IFERROR(COUNTIF(INDEX(SubMap!$B$2:$AE$12,MATCH($C187,SubMap!$A$2:$A$12,0),0),1),0))</f>
        <v/>
      </c>
      <c r="G187">
        <f>IF(OR($A187="",F187=0),"",ROUND(E187/F187*100,1))</f>
        <v/>
      </c>
      <c r="H187">
        <f>IF($A187="","",IFERROR(INDEX(Papers!$F$2:$F$12,MATCH($C187,Papers!$A$2:$A$12,0)),""))</f>
        <v/>
      </c>
      <c r="I187">
        <f>IF($A187="","",IFERROR(SUMPRODUCT((INDEX(SubMap!$B$2:$AE$12,MATCH($C187,SubMap!$A$2:$A$12,0),0)=2)*Attempts!$AR187:$BU187),0))</f>
        <v/>
      </c>
      <c r="J187">
        <f>IF($A187="","",IFERROR(COUNTIF(INDEX(SubMap!$B$2:$AE$12,MATCH($C187,SubMap!$A$2:$A$12,0),0),2),0))</f>
        <v/>
      </c>
      <c r="K187">
        <f>IF(OR($A187="",J187=0),"",ROUND(I187/J187*100,1))</f>
        <v/>
      </c>
      <c r="L187">
        <f>IF($A187="","",IFERROR(INDEX(Papers!$G$2:$G$12,MATCH($C187,Papers!$A$2:$A$12,0)),""))</f>
        <v/>
      </c>
      <c r="M187">
        <f>IF($A187="","",IFERROR(SUMPRODUCT((INDEX(SubMap!$B$2:$AE$12,MATCH($C187,SubMap!$A$2:$A$12,0),0)=3)*Attempts!$AR187:$BU187),0))</f>
        <v/>
      </c>
      <c r="N187">
        <f>IF($A187="","",IFERROR(COUNTIF(INDEX(SubMap!$B$2:$AE$12,MATCH($C187,SubMap!$A$2:$A$12,0),0),3),0))</f>
        <v/>
      </c>
      <c r="O187">
        <f>IF(OR($A187="",N187=0),"",ROUND(M187/N187*100,1))</f>
        <v/>
      </c>
      <c r="P187">
        <f>IF($A187="","",IFERROR(INDEX(Papers!$H$2:$H$12,MATCH($C187,Papers!$A$2:$A$12,0)),""))</f>
        <v/>
      </c>
      <c r="Q187">
        <f>IF($A187="","",IFERROR(SUMPRODUCT((INDEX(SubMap!$B$2:$AE$12,MATCH($C187,SubMap!$A$2:$A$12,0),0)=4)*Attempts!$AR187:$BU187),0))</f>
        <v/>
      </c>
      <c r="R187">
        <f>IF($A187="","",IFERROR(COUNTIF(INDEX(SubMap!$B$2:$AE$12,MATCH($C187,SubMap!$A$2:$A$12,0),0),4),0))</f>
        <v/>
      </c>
      <c r="S187">
        <f>IF(OR($A187="",R187=0),"",ROUND(Q187/R187*100,1))</f>
        <v/>
      </c>
      <c r="T187">
        <f>IF($A187="","",IFERROR(INDEX(Papers!$I$2:$I$12,MATCH($C187,Papers!$A$2:$A$12,0)),""))</f>
        <v/>
      </c>
      <c r="U187">
        <f>IF($A187="","",IFERROR(SUMPRODUCT((INDEX(SubMap!$B$2:$AE$12,MATCH($C187,SubMap!$A$2:$A$12,0),0)=5)*Attempts!$AR187:$BU187),0))</f>
        <v/>
      </c>
      <c r="V187">
        <f>IF($A187="","",IFERROR(COUNTIF(INDEX(SubMap!$B$2:$AE$12,MATCH($C187,SubMap!$A$2:$A$12,0),0),5),0))</f>
        <v/>
      </c>
      <c r="W187">
        <f>IF(OR($A187="",V187=0),"",ROUND(U187/V187*100,1))</f>
        <v/>
      </c>
      <c r="X187">
        <f>IF($A187="","",IFERROR(INDEX(Papers!$J$2:$J$12,MATCH($C187,Papers!$A$2:$A$12,0)),""))</f>
        <v/>
      </c>
      <c r="Y187">
        <f>IF($A187="","",IFERROR(SUMPRODUCT((INDEX(SubMap!$B$2:$AE$12,MATCH($C187,SubMap!$A$2:$A$12,0),0)=6)*Attempts!$AR187:$BU187),0))</f>
        <v/>
      </c>
      <c r="Z187">
        <f>IF($A187="","",IFERROR(COUNTIF(INDEX(SubMap!$B$2:$AE$12,MATCH($C187,SubMap!$A$2:$A$12,0),0),6),0))</f>
        <v/>
      </c>
      <c r="AA187">
        <f>IF(OR($A187="",Z187=0),"",ROUND(Y187/Z187*100,1))</f>
        <v/>
      </c>
      <c r="AB187">
        <f>IF($A187="","",IFERROR(INDEX(CHOOSE({1,2,3,4,5,6},D187,H187,L187,P187,T187,X187),MATCH(MIN(G187,K187,O187,S187,W187,AA187),CHOOSE({1,2,3,4,5,6},G187,K187,O187,S187,W187,AA187),0)),""))</f>
        <v/>
      </c>
      <c r="AC187">
        <f>IF($A187="","",IF(COUNT(G187,K187,O187,S187,W187,AA187)=0,"",MIN(G187,K187,O187,S187,W187,AA187)))</f>
        <v/>
      </c>
      <c r="AD187">
        <f>IF($A187="","",IFERROR(INDEX(CHOOSE({1,2,3,4,5,6},IFERROR(INDEX(Papers!$K$2:$K$12,MATCH($C187,Papers!$A$2:$A$12,0)),""),IFERROR(INDEX(Papers!$L$2:$L$12,MATCH($C187,Papers!$A$2:$A$12,0)),""),IFERROR(INDEX(Papers!$M$2:$M$12,MATCH($C187,Papers!$A$2:$A$12,0)),""),IFERROR(INDEX(Papers!$N$2:$N$12,MATCH($C187,Papers!$A$2:$A$12,0)),""),IFERROR(INDEX(Papers!$O$2:$O$12,MATCH($C187,Papers!$A$2:$A$12,0)),""),IFERROR(INDEX(Papers!$P$2:$P$12,MATCH($C187,Papers!$A$2:$A$12,0)),"")),MATCH(MIN(G187,K187,O187,S187,W187,AA187),CHOOSE({1,2,3,4,5,6},G187,K187,O187,S187,W187,AA187),0)),""))</f>
        <v/>
      </c>
      <c r="AE187">
        <f>IF(AC187="","",IF(AC187&lt;50,"Re-teach",IF(AC187&lt;75,"Practice more","Relatively secure")))</f>
        <v/>
      </c>
    </row>
    <row r="188">
      <c r="A188">
        <f>IF(Attempts!A188="","",Attempts!A188)</f>
        <v/>
      </c>
      <c r="B188">
        <f>IF(Attempts!A188="","",Attempts!B188)</f>
        <v/>
      </c>
      <c r="C188">
        <f>IF(Attempts!A188="","",Attempts!D188)</f>
        <v/>
      </c>
      <c r="D188">
        <f>IF($A188="","",IFERROR(INDEX(Papers!$E$2:$E$12,MATCH($C188,Papers!$A$2:$A$12,0)),""))</f>
        <v/>
      </c>
      <c r="E188">
        <f>IF($A188="","",IFERROR(SUMPRODUCT((INDEX(SubMap!$B$2:$AE$12,MATCH($C188,SubMap!$A$2:$A$12,0),0)=1)*Attempts!$AR188:$BU188),0))</f>
        <v/>
      </c>
      <c r="F188">
        <f>IF($A188="","",IFERROR(COUNTIF(INDEX(SubMap!$B$2:$AE$12,MATCH($C188,SubMap!$A$2:$A$12,0),0),1),0))</f>
        <v/>
      </c>
      <c r="G188">
        <f>IF(OR($A188="",F188=0),"",ROUND(E188/F188*100,1))</f>
        <v/>
      </c>
      <c r="H188">
        <f>IF($A188="","",IFERROR(INDEX(Papers!$F$2:$F$12,MATCH($C188,Papers!$A$2:$A$12,0)),""))</f>
        <v/>
      </c>
      <c r="I188">
        <f>IF($A188="","",IFERROR(SUMPRODUCT((INDEX(SubMap!$B$2:$AE$12,MATCH($C188,SubMap!$A$2:$A$12,0),0)=2)*Attempts!$AR188:$BU188),0))</f>
        <v/>
      </c>
      <c r="J188">
        <f>IF($A188="","",IFERROR(COUNTIF(INDEX(SubMap!$B$2:$AE$12,MATCH($C188,SubMap!$A$2:$A$12,0),0),2),0))</f>
        <v/>
      </c>
      <c r="K188">
        <f>IF(OR($A188="",J188=0),"",ROUND(I188/J188*100,1))</f>
        <v/>
      </c>
      <c r="L188">
        <f>IF($A188="","",IFERROR(INDEX(Papers!$G$2:$G$12,MATCH($C188,Papers!$A$2:$A$12,0)),""))</f>
        <v/>
      </c>
      <c r="M188">
        <f>IF($A188="","",IFERROR(SUMPRODUCT((INDEX(SubMap!$B$2:$AE$12,MATCH($C188,SubMap!$A$2:$A$12,0),0)=3)*Attempts!$AR188:$BU188),0))</f>
        <v/>
      </c>
      <c r="N188">
        <f>IF($A188="","",IFERROR(COUNTIF(INDEX(SubMap!$B$2:$AE$12,MATCH($C188,SubMap!$A$2:$A$12,0),0),3),0))</f>
        <v/>
      </c>
      <c r="O188">
        <f>IF(OR($A188="",N188=0),"",ROUND(M188/N188*100,1))</f>
        <v/>
      </c>
      <c r="P188">
        <f>IF($A188="","",IFERROR(INDEX(Papers!$H$2:$H$12,MATCH($C188,Papers!$A$2:$A$12,0)),""))</f>
        <v/>
      </c>
      <c r="Q188">
        <f>IF($A188="","",IFERROR(SUMPRODUCT((INDEX(SubMap!$B$2:$AE$12,MATCH($C188,SubMap!$A$2:$A$12,0),0)=4)*Attempts!$AR188:$BU188),0))</f>
        <v/>
      </c>
      <c r="R188">
        <f>IF($A188="","",IFERROR(COUNTIF(INDEX(SubMap!$B$2:$AE$12,MATCH($C188,SubMap!$A$2:$A$12,0),0),4),0))</f>
        <v/>
      </c>
      <c r="S188">
        <f>IF(OR($A188="",R188=0),"",ROUND(Q188/R188*100,1))</f>
        <v/>
      </c>
      <c r="T188">
        <f>IF($A188="","",IFERROR(INDEX(Papers!$I$2:$I$12,MATCH($C188,Papers!$A$2:$A$12,0)),""))</f>
        <v/>
      </c>
      <c r="U188">
        <f>IF($A188="","",IFERROR(SUMPRODUCT((INDEX(SubMap!$B$2:$AE$12,MATCH($C188,SubMap!$A$2:$A$12,0),0)=5)*Attempts!$AR188:$BU188),0))</f>
        <v/>
      </c>
      <c r="V188">
        <f>IF($A188="","",IFERROR(COUNTIF(INDEX(SubMap!$B$2:$AE$12,MATCH($C188,SubMap!$A$2:$A$12,0),0),5),0))</f>
        <v/>
      </c>
      <c r="W188">
        <f>IF(OR($A188="",V188=0),"",ROUND(U188/V188*100,1))</f>
        <v/>
      </c>
      <c r="X188">
        <f>IF($A188="","",IFERROR(INDEX(Papers!$J$2:$J$12,MATCH($C188,Papers!$A$2:$A$12,0)),""))</f>
        <v/>
      </c>
      <c r="Y188">
        <f>IF($A188="","",IFERROR(SUMPRODUCT((INDEX(SubMap!$B$2:$AE$12,MATCH($C188,SubMap!$A$2:$A$12,0),0)=6)*Attempts!$AR188:$BU188),0))</f>
        <v/>
      </c>
      <c r="Z188">
        <f>IF($A188="","",IFERROR(COUNTIF(INDEX(SubMap!$B$2:$AE$12,MATCH($C188,SubMap!$A$2:$A$12,0),0),6),0))</f>
        <v/>
      </c>
      <c r="AA188">
        <f>IF(OR($A188="",Z188=0),"",ROUND(Y188/Z188*100,1))</f>
        <v/>
      </c>
      <c r="AB188">
        <f>IF($A188="","",IFERROR(INDEX(CHOOSE({1,2,3,4,5,6},D188,H188,L188,P188,T188,X188),MATCH(MIN(G188,K188,O188,S188,W188,AA188),CHOOSE({1,2,3,4,5,6},G188,K188,O188,S188,W188,AA188),0)),""))</f>
        <v/>
      </c>
      <c r="AC188">
        <f>IF($A188="","",IF(COUNT(G188,K188,O188,S188,W188,AA188)=0,"",MIN(G188,K188,O188,S188,W188,AA188)))</f>
        <v/>
      </c>
      <c r="AD188">
        <f>IF($A188="","",IFERROR(INDEX(CHOOSE({1,2,3,4,5,6},IFERROR(INDEX(Papers!$K$2:$K$12,MATCH($C188,Papers!$A$2:$A$12,0)),""),IFERROR(INDEX(Papers!$L$2:$L$12,MATCH($C188,Papers!$A$2:$A$12,0)),""),IFERROR(INDEX(Papers!$M$2:$M$12,MATCH($C188,Papers!$A$2:$A$12,0)),""),IFERROR(INDEX(Papers!$N$2:$N$12,MATCH($C188,Papers!$A$2:$A$12,0)),""),IFERROR(INDEX(Papers!$O$2:$O$12,MATCH($C188,Papers!$A$2:$A$12,0)),""),IFERROR(INDEX(Papers!$P$2:$P$12,MATCH($C188,Papers!$A$2:$A$12,0)),"")),MATCH(MIN(G188,K188,O188,S188,W188,AA188),CHOOSE({1,2,3,4,5,6},G188,K188,O188,S188,W188,AA188),0)),""))</f>
        <v/>
      </c>
      <c r="AE188">
        <f>IF(AC188="","",IF(AC188&lt;50,"Re-teach",IF(AC188&lt;75,"Practice more","Relatively secure")))</f>
        <v/>
      </c>
    </row>
    <row r="189">
      <c r="A189">
        <f>IF(Attempts!A189="","",Attempts!A189)</f>
        <v/>
      </c>
      <c r="B189">
        <f>IF(Attempts!A189="","",Attempts!B189)</f>
        <v/>
      </c>
      <c r="C189">
        <f>IF(Attempts!A189="","",Attempts!D189)</f>
        <v/>
      </c>
      <c r="D189">
        <f>IF($A189="","",IFERROR(INDEX(Papers!$E$2:$E$12,MATCH($C189,Papers!$A$2:$A$12,0)),""))</f>
        <v/>
      </c>
      <c r="E189">
        <f>IF($A189="","",IFERROR(SUMPRODUCT((INDEX(SubMap!$B$2:$AE$12,MATCH($C189,SubMap!$A$2:$A$12,0),0)=1)*Attempts!$AR189:$BU189),0))</f>
        <v/>
      </c>
      <c r="F189">
        <f>IF($A189="","",IFERROR(COUNTIF(INDEX(SubMap!$B$2:$AE$12,MATCH($C189,SubMap!$A$2:$A$12,0),0),1),0))</f>
        <v/>
      </c>
      <c r="G189">
        <f>IF(OR($A189="",F189=0),"",ROUND(E189/F189*100,1))</f>
        <v/>
      </c>
      <c r="H189">
        <f>IF($A189="","",IFERROR(INDEX(Papers!$F$2:$F$12,MATCH($C189,Papers!$A$2:$A$12,0)),""))</f>
        <v/>
      </c>
      <c r="I189">
        <f>IF($A189="","",IFERROR(SUMPRODUCT((INDEX(SubMap!$B$2:$AE$12,MATCH($C189,SubMap!$A$2:$A$12,0),0)=2)*Attempts!$AR189:$BU189),0))</f>
        <v/>
      </c>
      <c r="J189">
        <f>IF($A189="","",IFERROR(COUNTIF(INDEX(SubMap!$B$2:$AE$12,MATCH($C189,SubMap!$A$2:$A$12,0),0),2),0))</f>
        <v/>
      </c>
      <c r="K189">
        <f>IF(OR($A189="",J189=0),"",ROUND(I189/J189*100,1))</f>
        <v/>
      </c>
      <c r="L189">
        <f>IF($A189="","",IFERROR(INDEX(Papers!$G$2:$G$12,MATCH($C189,Papers!$A$2:$A$12,0)),""))</f>
        <v/>
      </c>
      <c r="M189">
        <f>IF($A189="","",IFERROR(SUMPRODUCT((INDEX(SubMap!$B$2:$AE$12,MATCH($C189,SubMap!$A$2:$A$12,0),0)=3)*Attempts!$AR189:$BU189),0))</f>
        <v/>
      </c>
      <c r="N189">
        <f>IF($A189="","",IFERROR(COUNTIF(INDEX(SubMap!$B$2:$AE$12,MATCH($C189,SubMap!$A$2:$A$12,0),0),3),0))</f>
        <v/>
      </c>
      <c r="O189">
        <f>IF(OR($A189="",N189=0),"",ROUND(M189/N189*100,1))</f>
        <v/>
      </c>
      <c r="P189">
        <f>IF($A189="","",IFERROR(INDEX(Papers!$H$2:$H$12,MATCH($C189,Papers!$A$2:$A$12,0)),""))</f>
        <v/>
      </c>
      <c r="Q189">
        <f>IF($A189="","",IFERROR(SUMPRODUCT((INDEX(SubMap!$B$2:$AE$12,MATCH($C189,SubMap!$A$2:$A$12,0),0)=4)*Attempts!$AR189:$BU189),0))</f>
        <v/>
      </c>
      <c r="R189">
        <f>IF($A189="","",IFERROR(COUNTIF(INDEX(SubMap!$B$2:$AE$12,MATCH($C189,SubMap!$A$2:$A$12,0),0),4),0))</f>
        <v/>
      </c>
      <c r="S189">
        <f>IF(OR($A189="",R189=0),"",ROUND(Q189/R189*100,1))</f>
        <v/>
      </c>
      <c r="T189">
        <f>IF($A189="","",IFERROR(INDEX(Papers!$I$2:$I$12,MATCH($C189,Papers!$A$2:$A$12,0)),""))</f>
        <v/>
      </c>
      <c r="U189">
        <f>IF($A189="","",IFERROR(SUMPRODUCT((INDEX(SubMap!$B$2:$AE$12,MATCH($C189,SubMap!$A$2:$A$12,0),0)=5)*Attempts!$AR189:$BU189),0))</f>
        <v/>
      </c>
      <c r="V189">
        <f>IF($A189="","",IFERROR(COUNTIF(INDEX(SubMap!$B$2:$AE$12,MATCH($C189,SubMap!$A$2:$A$12,0),0),5),0))</f>
        <v/>
      </c>
      <c r="W189">
        <f>IF(OR($A189="",V189=0),"",ROUND(U189/V189*100,1))</f>
        <v/>
      </c>
      <c r="X189">
        <f>IF($A189="","",IFERROR(INDEX(Papers!$J$2:$J$12,MATCH($C189,Papers!$A$2:$A$12,0)),""))</f>
        <v/>
      </c>
      <c r="Y189">
        <f>IF($A189="","",IFERROR(SUMPRODUCT((INDEX(SubMap!$B$2:$AE$12,MATCH($C189,SubMap!$A$2:$A$12,0),0)=6)*Attempts!$AR189:$BU189),0))</f>
        <v/>
      </c>
      <c r="Z189">
        <f>IF($A189="","",IFERROR(COUNTIF(INDEX(SubMap!$B$2:$AE$12,MATCH($C189,SubMap!$A$2:$A$12,0),0),6),0))</f>
        <v/>
      </c>
      <c r="AA189">
        <f>IF(OR($A189="",Z189=0),"",ROUND(Y189/Z189*100,1))</f>
        <v/>
      </c>
      <c r="AB189">
        <f>IF($A189="","",IFERROR(INDEX(CHOOSE({1,2,3,4,5,6},D189,H189,L189,P189,T189,X189),MATCH(MIN(G189,K189,O189,S189,W189,AA189),CHOOSE({1,2,3,4,5,6},G189,K189,O189,S189,W189,AA189),0)),""))</f>
        <v/>
      </c>
      <c r="AC189">
        <f>IF($A189="","",IF(COUNT(G189,K189,O189,S189,W189,AA189)=0,"",MIN(G189,K189,O189,S189,W189,AA189)))</f>
        <v/>
      </c>
      <c r="AD189">
        <f>IF($A189="","",IFERROR(INDEX(CHOOSE({1,2,3,4,5,6},IFERROR(INDEX(Papers!$K$2:$K$12,MATCH($C189,Papers!$A$2:$A$12,0)),""),IFERROR(INDEX(Papers!$L$2:$L$12,MATCH($C189,Papers!$A$2:$A$12,0)),""),IFERROR(INDEX(Papers!$M$2:$M$12,MATCH($C189,Papers!$A$2:$A$12,0)),""),IFERROR(INDEX(Papers!$N$2:$N$12,MATCH($C189,Papers!$A$2:$A$12,0)),""),IFERROR(INDEX(Papers!$O$2:$O$12,MATCH($C189,Papers!$A$2:$A$12,0)),""),IFERROR(INDEX(Papers!$P$2:$P$12,MATCH($C189,Papers!$A$2:$A$12,0)),"")),MATCH(MIN(G189,K189,O189,S189,W189,AA189),CHOOSE({1,2,3,4,5,6},G189,K189,O189,S189,W189,AA189),0)),""))</f>
        <v/>
      </c>
      <c r="AE189">
        <f>IF(AC189="","",IF(AC189&lt;50,"Re-teach",IF(AC189&lt;75,"Practice more","Relatively secure")))</f>
        <v/>
      </c>
    </row>
    <row r="190">
      <c r="A190">
        <f>IF(Attempts!A190="","",Attempts!A190)</f>
        <v/>
      </c>
      <c r="B190">
        <f>IF(Attempts!A190="","",Attempts!B190)</f>
        <v/>
      </c>
      <c r="C190">
        <f>IF(Attempts!A190="","",Attempts!D190)</f>
        <v/>
      </c>
      <c r="D190">
        <f>IF($A190="","",IFERROR(INDEX(Papers!$E$2:$E$12,MATCH($C190,Papers!$A$2:$A$12,0)),""))</f>
        <v/>
      </c>
      <c r="E190">
        <f>IF($A190="","",IFERROR(SUMPRODUCT((INDEX(SubMap!$B$2:$AE$12,MATCH($C190,SubMap!$A$2:$A$12,0),0)=1)*Attempts!$AR190:$BU190),0))</f>
        <v/>
      </c>
      <c r="F190">
        <f>IF($A190="","",IFERROR(COUNTIF(INDEX(SubMap!$B$2:$AE$12,MATCH($C190,SubMap!$A$2:$A$12,0),0),1),0))</f>
        <v/>
      </c>
      <c r="G190">
        <f>IF(OR($A190="",F190=0),"",ROUND(E190/F190*100,1))</f>
        <v/>
      </c>
      <c r="H190">
        <f>IF($A190="","",IFERROR(INDEX(Papers!$F$2:$F$12,MATCH($C190,Papers!$A$2:$A$12,0)),""))</f>
        <v/>
      </c>
      <c r="I190">
        <f>IF($A190="","",IFERROR(SUMPRODUCT((INDEX(SubMap!$B$2:$AE$12,MATCH($C190,SubMap!$A$2:$A$12,0),0)=2)*Attempts!$AR190:$BU190),0))</f>
        <v/>
      </c>
      <c r="J190">
        <f>IF($A190="","",IFERROR(COUNTIF(INDEX(SubMap!$B$2:$AE$12,MATCH($C190,SubMap!$A$2:$A$12,0),0),2),0))</f>
        <v/>
      </c>
      <c r="K190">
        <f>IF(OR($A190="",J190=0),"",ROUND(I190/J190*100,1))</f>
        <v/>
      </c>
      <c r="L190">
        <f>IF($A190="","",IFERROR(INDEX(Papers!$G$2:$G$12,MATCH($C190,Papers!$A$2:$A$12,0)),""))</f>
        <v/>
      </c>
      <c r="M190">
        <f>IF($A190="","",IFERROR(SUMPRODUCT((INDEX(SubMap!$B$2:$AE$12,MATCH($C190,SubMap!$A$2:$A$12,0),0)=3)*Attempts!$AR190:$BU190),0))</f>
        <v/>
      </c>
      <c r="N190">
        <f>IF($A190="","",IFERROR(COUNTIF(INDEX(SubMap!$B$2:$AE$12,MATCH($C190,SubMap!$A$2:$A$12,0),0),3),0))</f>
        <v/>
      </c>
      <c r="O190">
        <f>IF(OR($A190="",N190=0),"",ROUND(M190/N190*100,1))</f>
        <v/>
      </c>
      <c r="P190">
        <f>IF($A190="","",IFERROR(INDEX(Papers!$H$2:$H$12,MATCH($C190,Papers!$A$2:$A$12,0)),""))</f>
        <v/>
      </c>
      <c r="Q190">
        <f>IF($A190="","",IFERROR(SUMPRODUCT((INDEX(SubMap!$B$2:$AE$12,MATCH($C190,SubMap!$A$2:$A$12,0),0)=4)*Attempts!$AR190:$BU190),0))</f>
        <v/>
      </c>
      <c r="R190">
        <f>IF($A190="","",IFERROR(COUNTIF(INDEX(SubMap!$B$2:$AE$12,MATCH($C190,SubMap!$A$2:$A$12,0),0),4),0))</f>
        <v/>
      </c>
      <c r="S190">
        <f>IF(OR($A190="",R190=0),"",ROUND(Q190/R190*100,1))</f>
        <v/>
      </c>
      <c r="T190">
        <f>IF($A190="","",IFERROR(INDEX(Papers!$I$2:$I$12,MATCH($C190,Papers!$A$2:$A$12,0)),""))</f>
        <v/>
      </c>
      <c r="U190">
        <f>IF($A190="","",IFERROR(SUMPRODUCT((INDEX(SubMap!$B$2:$AE$12,MATCH($C190,SubMap!$A$2:$A$12,0),0)=5)*Attempts!$AR190:$BU190),0))</f>
        <v/>
      </c>
      <c r="V190">
        <f>IF($A190="","",IFERROR(COUNTIF(INDEX(SubMap!$B$2:$AE$12,MATCH($C190,SubMap!$A$2:$A$12,0),0),5),0))</f>
        <v/>
      </c>
      <c r="W190">
        <f>IF(OR($A190="",V190=0),"",ROUND(U190/V190*100,1))</f>
        <v/>
      </c>
      <c r="X190">
        <f>IF($A190="","",IFERROR(INDEX(Papers!$J$2:$J$12,MATCH($C190,Papers!$A$2:$A$12,0)),""))</f>
        <v/>
      </c>
      <c r="Y190">
        <f>IF($A190="","",IFERROR(SUMPRODUCT((INDEX(SubMap!$B$2:$AE$12,MATCH($C190,SubMap!$A$2:$A$12,0),0)=6)*Attempts!$AR190:$BU190),0))</f>
        <v/>
      </c>
      <c r="Z190">
        <f>IF($A190="","",IFERROR(COUNTIF(INDEX(SubMap!$B$2:$AE$12,MATCH($C190,SubMap!$A$2:$A$12,0),0),6),0))</f>
        <v/>
      </c>
      <c r="AA190">
        <f>IF(OR($A190="",Z190=0),"",ROUND(Y190/Z190*100,1))</f>
        <v/>
      </c>
      <c r="AB190">
        <f>IF($A190="","",IFERROR(INDEX(CHOOSE({1,2,3,4,5,6},D190,H190,L190,P190,T190,X190),MATCH(MIN(G190,K190,O190,S190,W190,AA190),CHOOSE({1,2,3,4,5,6},G190,K190,O190,S190,W190,AA190),0)),""))</f>
        <v/>
      </c>
      <c r="AC190">
        <f>IF($A190="","",IF(COUNT(G190,K190,O190,S190,W190,AA190)=0,"",MIN(G190,K190,O190,S190,W190,AA190)))</f>
        <v/>
      </c>
      <c r="AD190">
        <f>IF($A190="","",IFERROR(INDEX(CHOOSE({1,2,3,4,5,6},IFERROR(INDEX(Papers!$K$2:$K$12,MATCH($C190,Papers!$A$2:$A$12,0)),""),IFERROR(INDEX(Papers!$L$2:$L$12,MATCH($C190,Papers!$A$2:$A$12,0)),""),IFERROR(INDEX(Papers!$M$2:$M$12,MATCH($C190,Papers!$A$2:$A$12,0)),""),IFERROR(INDEX(Papers!$N$2:$N$12,MATCH($C190,Papers!$A$2:$A$12,0)),""),IFERROR(INDEX(Papers!$O$2:$O$12,MATCH($C190,Papers!$A$2:$A$12,0)),""),IFERROR(INDEX(Papers!$P$2:$P$12,MATCH($C190,Papers!$A$2:$A$12,0)),"")),MATCH(MIN(G190,K190,O190,S190,W190,AA190),CHOOSE({1,2,3,4,5,6},G190,K190,O190,S190,W190,AA190),0)),""))</f>
        <v/>
      </c>
      <c r="AE190">
        <f>IF(AC190="","",IF(AC190&lt;50,"Re-teach",IF(AC190&lt;75,"Practice more","Relatively secure")))</f>
        <v/>
      </c>
    </row>
    <row r="191">
      <c r="A191">
        <f>IF(Attempts!A191="","",Attempts!A191)</f>
        <v/>
      </c>
      <c r="B191">
        <f>IF(Attempts!A191="","",Attempts!B191)</f>
        <v/>
      </c>
      <c r="C191">
        <f>IF(Attempts!A191="","",Attempts!D191)</f>
        <v/>
      </c>
      <c r="D191">
        <f>IF($A191="","",IFERROR(INDEX(Papers!$E$2:$E$12,MATCH($C191,Papers!$A$2:$A$12,0)),""))</f>
        <v/>
      </c>
      <c r="E191">
        <f>IF($A191="","",IFERROR(SUMPRODUCT((INDEX(SubMap!$B$2:$AE$12,MATCH($C191,SubMap!$A$2:$A$12,0),0)=1)*Attempts!$AR191:$BU191),0))</f>
        <v/>
      </c>
      <c r="F191">
        <f>IF($A191="","",IFERROR(COUNTIF(INDEX(SubMap!$B$2:$AE$12,MATCH($C191,SubMap!$A$2:$A$12,0),0),1),0))</f>
        <v/>
      </c>
      <c r="G191">
        <f>IF(OR($A191="",F191=0),"",ROUND(E191/F191*100,1))</f>
        <v/>
      </c>
      <c r="H191">
        <f>IF($A191="","",IFERROR(INDEX(Papers!$F$2:$F$12,MATCH($C191,Papers!$A$2:$A$12,0)),""))</f>
        <v/>
      </c>
      <c r="I191">
        <f>IF($A191="","",IFERROR(SUMPRODUCT((INDEX(SubMap!$B$2:$AE$12,MATCH($C191,SubMap!$A$2:$A$12,0),0)=2)*Attempts!$AR191:$BU191),0))</f>
        <v/>
      </c>
      <c r="J191">
        <f>IF($A191="","",IFERROR(COUNTIF(INDEX(SubMap!$B$2:$AE$12,MATCH($C191,SubMap!$A$2:$A$12,0),0),2),0))</f>
        <v/>
      </c>
      <c r="K191">
        <f>IF(OR($A191="",J191=0),"",ROUND(I191/J191*100,1))</f>
        <v/>
      </c>
      <c r="L191">
        <f>IF($A191="","",IFERROR(INDEX(Papers!$G$2:$G$12,MATCH($C191,Papers!$A$2:$A$12,0)),""))</f>
        <v/>
      </c>
      <c r="M191">
        <f>IF($A191="","",IFERROR(SUMPRODUCT((INDEX(SubMap!$B$2:$AE$12,MATCH($C191,SubMap!$A$2:$A$12,0),0)=3)*Attempts!$AR191:$BU191),0))</f>
        <v/>
      </c>
      <c r="N191">
        <f>IF($A191="","",IFERROR(COUNTIF(INDEX(SubMap!$B$2:$AE$12,MATCH($C191,SubMap!$A$2:$A$12,0),0),3),0))</f>
        <v/>
      </c>
      <c r="O191">
        <f>IF(OR($A191="",N191=0),"",ROUND(M191/N191*100,1))</f>
        <v/>
      </c>
      <c r="P191">
        <f>IF($A191="","",IFERROR(INDEX(Papers!$H$2:$H$12,MATCH($C191,Papers!$A$2:$A$12,0)),""))</f>
        <v/>
      </c>
      <c r="Q191">
        <f>IF($A191="","",IFERROR(SUMPRODUCT((INDEX(SubMap!$B$2:$AE$12,MATCH($C191,SubMap!$A$2:$A$12,0),0)=4)*Attempts!$AR191:$BU191),0))</f>
        <v/>
      </c>
      <c r="R191">
        <f>IF($A191="","",IFERROR(COUNTIF(INDEX(SubMap!$B$2:$AE$12,MATCH($C191,SubMap!$A$2:$A$12,0),0),4),0))</f>
        <v/>
      </c>
      <c r="S191">
        <f>IF(OR($A191="",R191=0),"",ROUND(Q191/R191*100,1))</f>
        <v/>
      </c>
      <c r="T191">
        <f>IF($A191="","",IFERROR(INDEX(Papers!$I$2:$I$12,MATCH($C191,Papers!$A$2:$A$12,0)),""))</f>
        <v/>
      </c>
      <c r="U191">
        <f>IF($A191="","",IFERROR(SUMPRODUCT((INDEX(SubMap!$B$2:$AE$12,MATCH($C191,SubMap!$A$2:$A$12,0),0)=5)*Attempts!$AR191:$BU191),0))</f>
        <v/>
      </c>
      <c r="V191">
        <f>IF($A191="","",IFERROR(COUNTIF(INDEX(SubMap!$B$2:$AE$12,MATCH($C191,SubMap!$A$2:$A$12,0),0),5),0))</f>
        <v/>
      </c>
      <c r="W191">
        <f>IF(OR($A191="",V191=0),"",ROUND(U191/V191*100,1))</f>
        <v/>
      </c>
      <c r="X191">
        <f>IF($A191="","",IFERROR(INDEX(Papers!$J$2:$J$12,MATCH($C191,Papers!$A$2:$A$12,0)),""))</f>
        <v/>
      </c>
      <c r="Y191">
        <f>IF($A191="","",IFERROR(SUMPRODUCT((INDEX(SubMap!$B$2:$AE$12,MATCH($C191,SubMap!$A$2:$A$12,0),0)=6)*Attempts!$AR191:$BU191),0))</f>
        <v/>
      </c>
      <c r="Z191">
        <f>IF($A191="","",IFERROR(COUNTIF(INDEX(SubMap!$B$2:$AE$12,MATCH($C191,SubMap!$A$2:$A$12,0),0),6),0))</f>
        <v/>
      </c>
      <c r="AA191">
        <f>IF(OR($A191="",Z191=0),"",ROUND(Y191/Z191*100,1))</f>
        <v/>
      </c>
      <c r="AB191">
        <f>IF($A191="","",IFERROR(INDEX(CHOOSE({1,2,3,4,5,6},D191,H191,L191,P191,T191,X191),MATCH(MIN(G191,K191,O191,S191,W191,AA191),CHOOSE({1,2,3,4,5,6},G191,K191,O191,S191,W191,AA191),0)),""))</f>
        <v/>
      </c>
      <c r="AC191">
        <f>IF($A191="","",IF(COUNT(G191,K191,O191,S191,W191,AA191)=0,"",MIN(G191,K191,O191,S191,W191,AA191)))</f>
        <v/>
      </c>
      <c r="AD191">
        <f>IF($A191="","",IFERROR(INDEX(CHOOSE({1,2,3,4,5,6},IFERROR(INDEX(Papers!$K$2:$K$12,MATCH($C191,Papers!$A$2:$A$12,0)),""),IFERROR(INDEX(Papers!$L$2:$L$12,MATCH($C191,Papers!$A$2:$A$12,0)),""),IFERROR(INDEX(Papers!$M$2:$M$12,MATCH($C191,Papers!$A$2:$A$12,0)),""),IFERROR(INDEX(Papers!$N$2:$N$12,MATCH($C191,Papers!$A$2:$A$12,0)),""),IFERROR(INDEX(Papers!$O$2:$O$12,MATCH($C191,Papers!$A$2:$A$12,0)),""),IFERROR(INDEX(Papers!$P$2:$P$12,MATCH($C191,Papers!$A$2:$A$12,0)),"")),MATCH(MIN(G191,K191,O191,S191,W191,AA191),CHOOSE({1,2,3,4,5,6},G191,K191,O191,S191,W191,AA191),0)),""))</f>
        <v/>
      </c>
      <c r="AE191">
        <f>IF(AC191="","",IF(AC191&lt;50,"Re-teach",IF(AC191&lt;75,"Practice more","Relatively secure")))</f>
        <v/>
      </c>
    </row>
    <row r="192">
      <c r="A192">
        <f>IF(Attempts!A192="","",Attempts!A192)</f>
        <v/>
      </c>
      <c r="B192">
        <f>IF(Attempts!A192="","",Attempts!B192)</f>
        <v/>
      </c>
      <c r="C192">
        <f>IF(Attempts!A192="","",Attempts!D192)</f>
        <v/>
      </c>
      <c r="D192">
        <f>IF($A192="","",IFERROR(INDEX(Papers!$E$2:$E$12,MATCH($C192,Papers!$A$2:$A$12,0)),""))</f>
        <v/>
      </c>
      <c r="E192">
        <f>IF($A192="","",IFERROR(SUMPRODUCT((INDEX(SubMap!$B$2:$AE$12,MATCH($C192,SubMap!$A$2:$A$12,0),0)=1)*Attempts!$AR192:$BU192),0))</f>
        <v/>
      </c>
      <c r="F192">
        <f>IF($A192="","",IFERROR(COUNTIF(INDEX(SubMap!$B$2:$AE$12,MATCH($C192,SubMap!$A$2:$A$12,0),0),1),0))</f>
        <v/>
      </c>
      <c r="G192">
        <f>IF(OR($A192="",F192=0),"",ROUND(E192/F192*100,1))</f>
        <v/>
      </c>
      <c r="H192">
        <f>IF($A192="","",IFERROR(INDEX(Papers!$F$2:$F$12,MATCH($C192,Papers!$A$2:$A$12,0)),""))</f>
        <v/>
      </c>
      <c r="I192">
        <f>IF($A192="","",IFERROR(SUMPRODUCT((INDEX(SubMap!$B$2:$AE$12,MATCH($C192,SubMap!$A$2:$A$12,0),0)=2)*Attempts!$AR192:$BU192),0))</f>
        <v/>
      </c>
      <c r="J192">
        <f>IF($A192="","",IFERROR(COUNTIF(INDEX(SubMap!$B$2:$AE$12,MATCH($C192,SubMap!$A$2:$A$12,0),0),2),0))</f>
        <v/>
      </c>
      <c r="K192">
        <f>IF(OR($A192="",J192=0),"",ROUND(I192/J192*100,1))</f>
        <v/>
      </c>
      <c r="L192">
        <f>IF($A192="","",IFERROR(INDEX(Papers!$G$2:$G$12,MATCH($C192,Papers!$A$2:$A$12,0)),""))</f>
        <v/>
      </c>
      <c r="M192">
        <f>IF($A192="","",IFERROR(SUMPRODUCT((INDEX(SubMap!$B$2:$AE$12,MATCH($C192,SubMap!$A$2:$A$12,0),0)=3)*Attempts!$AR192:$BU192),0))</f>
        <v/>
      </c>
      <c r="N192">
        <f>IF($A192="","",IFERROR(COUNTIF(INDEX(SubMap!$B$2:$AE$12,MATCH($C192,SubMap!$A$2:$A$12,0),0),3),0))</f>
        <v/>
      </c>
      <c r="O192">
        <f>IF(OR($A192="",N192=0),"",ROUND(M192/N192*100,1))</f>
        <v/>
      </c>
      <c r="P192">
        <f>IF($A192="","",IFERROR(INDEX(Papers!$H$2:$H$12,MATCH($C192,Papers!$A$2:$A$12,0)),""))</f>
        <v/>
      </c>
      <c r="Q192">
        <f>IF($A192="","",IFERROR(SUMPRODUCT((INDEX(SubMap!$B$2:$AE$12,MATCH($C192,SubMap!$A$2:$A$12,0),0)=4)*Attempts!$AR192:$BU192),0))</f>
        <v/>
      </c>
      <c r="R192">
        <f>IF($A192="","",IFERROR(COUNTIF(INDEX(SubMap!$B$2:$AE$12,MATCH($C192,SubMap!$A$2:$A$12,0),0),4),0))</f>
        <v/>
      </c>
      <c r="S192">
        <f>IF(OR($A192="",R192=0),"",ROUND(Q192/R192*100,1))</f>
        <v/>
      </c>
      <c r="T192">
        <f>IF($A192="","",IFERROR(INDEX(Papers!$I$2:$I$12,MATCH($C192,Papers!$A$2:$A$12,0)),""))</f>
        <v/>
      </c>
      <c r="U192">
        <f>IF($A192="","",IFERROR(SUMPRODUCT((INDEX(SubMap!$B$2:$AE$12,MATCH($C192,SubMap!$A$2:$A$12,0),0)=5)*Attempts!$AR192:$BU192),0))</f>
        <v/>
      </c>
      <c r="V192">
        <f>IF($A192="","",IFERROR(COUNTIF(INDEX(SubMap!$B$2:$AE$12,MATCH($C192,SubMap!$A$2:$A$12,0),0),5),0))</f>
        <v/>
      </c>
      <c r="W192">
        <f>IF(OR($A192="",V192=0),"",ROUND(U192/V192*100,1))</f>
        <v/>
      </c>
      <c r="X192">
        <f>IF($A192="","",IFERROR(INDEX(Papers!$J$2:$J$12,MATCH($C192,Papers!$A$2:$A$12,0)),""))</f>
        <v/>
      </c>
      <c r="Y192">
        <f>IF($A192="","",IFERROR(SUMPRODUCT((INDEX(SubMap!$B$2:$AE$12,MATCH($C192,SubMap!$A$2:$A$12,0),0)=6)*Attempts!$AR192:$BU192),0))</f>
        <v/>
      </c>
      <c r="Z192">
        <f>IF($A192="","",IFERROR(COUNTIF(INDEX(SubMap!$B$2:$AE$12,MATCH($C192,SubMap!$A$2:$A$12,0),0),6),0))</f>
        <v/>
      </c>
      <c r="AA192">
        <f>IF(OR($A192="",Z192=0),"",ROUND(Y192/Z192*100,1))</f>
        <v/>
      </c>
      <c r="AB192">
        <f>IF($A192="","",IFERROR(INDEX(CHOOSE({1,2,3,4,5,6},D192,H192,L192,P192,T192,X192),MATCH(MIN(G192,K192,O192,S192,W192,AA192),CHOOSE({1,2,3,4,5,6},G192,K192,O192,S192,W192,AA192),0)),""))</f>
        <v/>
      </c>
      <c r="AC192">
        <f>IF($A192="","",IF(COUNT(G192,K192,O192,S192,W192,AA192)=0,"",MIN(G192,K192,O192,S192,W192,AA192)))</f>
        <v/>
      </c>
      <c r="AD192">
        <f>IF($A192="","",IFERROR(INDEX(CHOOSE({1,2,3,4,5,6},IFERROR(INDEX(Papers!$K$2:$K$12,MATCH($C192,Papers!$A$2:$A$12,0)),""),IFERROR(INDEX(Papers!$L$2:$L$12,MATCH($C192,Papers!$A$2:$A$12,0)),""),IFERROR(INDEX(Papers!$M$2:$M$12,MATCH($C192,Papers!$A$2:$A$12,0)),""),IFERROR(INDEX(Papers!$N$2:$N$12,MATCH($C192,Papers!$A$2:$A$12,0)),""),IFERROR(INDEX(Papers!$O$2:$O$12,MATCH($C192,Papers!$A$2:$A$12,0)),""),IFERROR(INDEX(Papers!$P$2:$P$12,MATCH($C192,Papers!$A$2:$A$12,0)),"")),MATCH(MIN(G192,K192,O192,S192,W192,AA192),CHOOSE({1,2,3,4,5,6},G192,K192,O192,S192,W192,AA192),0)),""))</f>
        <v/>
      </c>
      <c r="AE192">
        <f>IF(AC192="","",IF(AC192&lt;50,"Re-teach",IF(AC192&lt;75,"Practice more","Relatively secure")))</f>
        <v/>
      </c>
    </row>
    <row r="193">
      <c r="A193">
        <f>IF(Attempts!A193="","",Attempts!A193)</f>
        <v/>
      </c>
      <c r="B193">
        <f>IF(Attempts!A193="","",Attempts!B193)</f>
        <v/>
      </c>
      <c r="C193">
        <f>IF(Attempts!A193="","",Attempts!D193)</f>
        <v/>
      </c>
      <c r="D193">
        <f>IF($A193="","",IFERROR(INDEX(Papers!$E$2:$E$12,MATCH($C193,Papers!$A$2:$A$12,0)),""))</f>
        <v/>
      </c>
      <c r="E193">
        <f>IF($A193="","",IFERROR(SUMPRODUCT((INDEX(SubMap!$B$2:$AE$12,MATCH($C193,SubMap!$A$2:$A$12,0),0)=1)*Attempts!$AR193:$BU193),0))</f>
        <v/>
      </c>
      <c r="F193">
        <f>IF($A193="","",IFERROR(COUNTIF(INDEX(SubMap!$B$2:$AE$12,MATCH($C193,SubMap!$A$2:$A$12,0),0),1),0))</f>
        <v/>
      </c>
      <c r="G193">
        <f>IF(OR($A193="",F193=0),"",ROUND(E193/F193*100,1))</f>
        <v/>
      </c>
      <c r="H193">
        <f>IF($A193="","",IFERROR(INDEX(Papers!$F$2:$F$12,MATCH($C193,Papers!$A$2:$A$12,0)),""))</f>
        <v/>
      </c>
      <c r="I193">
        <f>IF($A193="","",IFERROR(SUMPRODUCT((INDEX(SubMap!$B$2:$AE$12,MATCH($C193,SubMap!$A$2:$A$12,0),0)=2)*Attempts!$AR193:$BU193),0))</f>
        <v/>
      </c>
      <c r="J193">
        <f>IF($A193="","",IFERROR(COUNTIF(INDEX(SubMap!$B$2:$AE$12,MATCH($C193,SubMap!$A$2:$A$12,0),0),2),0))</f>
        <v/>
      </c>
      <c r="K193">
        <f>IF(OR($A193="",J193=0),"",ROUND(I193/J193*100,1))</f>
        <v/>
      </c>
      <c r="L193">
        <f>IF($A193="","",IFERROR(INDEX(Papers!$G$2:$G$12,MATCH($C193,Papers!$A$2:$A$12,0)),""))</f>
        <v/>
      </c>
      <c r="M193">
        <f>IF($A193="","",IFERROR(SUMPRODUCT((INDEX(SubMap!$B$2:$AE$12,MATCH($C193,SubMap!$A$2:$A$12,0),0)=3)*Attempts!$AR193:$BU193),0))</f>
        <v/>
      </c>
      <c r="N193">
        <f>IF($A193="","",IFERROR(COUNTIF(INDEX(SubMap!$B$2:$AE$12,MATCH($C193,SubMap!$A$2:$A$12,0),0),3),0))</f>
        <v/>
      </c>
      <c r="O193">
        <f>IF(OR($A193="",N193=0),"",ROUND(M193/N193*100,1))</f>
        <v/>
      </c>
      <c r="P193">
        <f>IF($A193="","",IFERROR(INDEX(Papers!$H$2:$H$12,MATCH($C193,Papers!$A$2:$A$12,0)),""))</f>
        <v/>
      </c>
      <c r="Q193">
        <f>IF($A193="","",IFERROR(SUMPRODUCT((INDEX(SubMap!$B$2:$AE$12,MATCH($C193,SubMap!$A$2:$A$12,0),0)=4)*Attempts!$AR193:$BU193),0))</f>
        <v/>
      </c>
      <c r="R193">
        <f>IF($A193="","",IFERROR(COUNTIF(INDEX(SubMap!$B$2:$AE$12,MATCH($C193,SubMap!$A$2:$A$12,0),0),4),0))</f>
        <v/>
      </c>
      <c r="S193">
        <f>IF(OR($A193="",R193=0),"",ROUND(Q193/R193*100,1))</f>
        <v/>
      </c>
      <c r="T193">
        <f>IF($A193="","",IFERROR(INDEX(Papers!$I$2:$I$12,MATCH($C193,Papers!$A$2:$A$12,0)),""))</f>
        <v/>
      </c>
      <c r="U193">
        <f>IF($A193="","",IFERROR(SUMPRODUCT((INDEX(SubMap!$B$2:$AE$12,MATCH($C193,SubMap!$A$2:$A$12,0),0)=5)*Attempts!$AR193:$BU193),0))</f>
        <v/>
      </c>
      <c r="V193">
        <f>IF($A193="","",IFERROR(COUNTIF(INDEX(SubMap!$B$2:$AE$12,MATCH($C193,SubMap!$A$2:$A$12,0),0),5),0))</f>
        <v/>
      </c>
      <c r="W193">
        <f>IF(OR($A193="",V193=0),"",ROUND(U193/V193*100,1))</f>
        <v/>
      </c>
      <c r="X193">
        <f>IF($A193="","",IFERROR(INDEX(Papers!$J$2:$J$12,MATCH($C193,Papers!$A$2:$A$12,0)),""))</f>
        <v/>
      </c>
      <c r="Y193">
        <f>IF($A193="","",IFERROR(SUMPRODUCT((INDEX(SubMap!$B$2:$AE$12,MATCH($C193,SubMap!$A$2:$A$12,0),0)=6)*Attempts!$AR193:$BU193),0))</f>
        <v/>
      </c>
      <c r="Z193">
        <f>IF($A193="","",IFERROR(COUNTIF(INDEX(SubMap!$B$2:$AE$12,MATCH($C193,SubMap!$A$2:$A$12,0),0),6),0))</f>
        <v/>
      </c>
      <c r="AA193">
        <f>IF(OR($A193="",Z193=0),"",ROUND(Y193/Z193*100,1))</f>
        <v/>
      </c>
      <c r="AB193">
        <f>IF($A193="","",IFERROR(INDEX(CHOOSE({1,2,3,4,5,6},D193,H193,L193,P193,T193,X193),MATCH(MIN(G193,K193,O193,S193,W193,AA193),CHOOSE({1,2,3,4,5,6},G193,K193,O193,S193,W193,AA193),0)),""))</f>
        <v/>
      </c>
      <c r="AC193">
        <f>IF($A193="","",IF(COUNT(G193,K193,O193,S193,W193,AA193)=0,"",MIN(G193,K193,O193,S193,W193,AA193)))</f>
        <v/>
      </c>
      <c r="AD193">
        <f>IF($A193="","",IFERROR(INDEX(CHOOSE({1,2,3,4,5,6},IFERROR(INDEX(Papers!$K$2:$K$12,MATCH($C193,Papers!$A$2:$A$12,0)),""),IFERROR(INDEX(Papers!$L$2:$L$12,MATCH($C193,Papers!$A$2:$A$12,0)),""),IFERROR(INDEX(Papers!$M$2:$M$12,MATCH($C193,Papers!$A$2:$A$12,0)),""),IFERROR(INDEX(Papers!$N$2:$N$12,MATCH($C193,Papers!$A$2:$A$12,0)),""),IFERROR(INDEX(Papers!$O$2:$O$12,MATCH($C193,Papers!$A$2:$A$12,0)),""),IFERROR(INDEX(Papers!$P$2:$P$12,MATCH($C193,Papers!$A$2:$A$12,0)),"")),MATCH(MIN(G193,K193,O193,S193,W193,AA193),CHOOSE({1,2,3,4,5,6},G193,K193,O193,S193,W193,AA193),0)),""))</f>
        <v/>
      </c>
      <c r="AE193">
        <f>IF(AC193="","",IF(AC193&lt;50,"Re-teach",IF(AC193&lt;75,"Practice more","Relatively secure")))</f>
        <v/>
      </c>
    </row>
    <row r="194">
      <c r="A194">
        <f>IF(Attempts!A194="","",Attempts!A194)</f>
        <v/>
      </c>
      <c r="B194">
        <f>IF(Attempts!A194="","",Attempts!B194)</f>
        <v/>
      </c>
      <c r="C194">
        <f>IF(Attempts!A194="","",Attempts!D194)</f>
        <v/>
      </c>
      <c r="D194">
        <f>IF($A194="","",IFERROR(INDEX(Papers!$E$2:$E$12,MATCH($C194,Papers!$A$2:$A$12,0)),""))</f>
        <v/>
      </c>
      <c r="E194">
        <f>IF($A194="","",IFERROR(SUMPRODUCT((INDEX(SubMap!$B$2:$AE$12,MATCH($C194,SubMap!$A$2:$A$12,0),0)=1)*Attempts!$AR194:$BU194),0))</f>
        <v/>
      </c>
      <c r="F194">
        <f>IF($A194="","",IFERROR(COUNTIF(INDEX(SubMap!$B$2:$AE$12,MATCH($C194,SubMap!$A$2:$A$12,0),0),1),0))</f>
        <v/>
      </c>
      <c r="G194">
        <f>IF(OR($A194="",F194=0),"",ROUND(E194/F194*100,1))</f>
        <v/>
      </c>
      <c r="H194">
        <f>IF($A194="","",IFERROR(INDEX(Papers!$F$2:$F$12,MATCH($C194,Papers!$A$2:$A$12,0)),""))</f>
        <v/>
      </c>
      <c r="I194">
        <f>IF($A194="","",IFERROR(SUMPRODUCT((INDEX(SubMap!$B$2:$AE$12,MATCH($C194,SubMap!$A$2:$A$12,0),0)=2)*Attempts!$AR194:$BU194),0))</f>
        <v/>
      </c>
      <c r="J194">
        <f>IF($A194="","",IFERROR(COUNTIF(INDEX(SubMap!$B$2:$AE$12,MATCH($C194,SubMap!$A$2:$A$12,0),0),2),0))</f>
        <v/>
      </c>
      <c r="K194">
        <f>IF(OR($A194="",J194=0),"",ROUND(I194/J194*100,1))</f>
        <v/>
      </c>
      <c r="L194">
        <f>IF($A194="","",IFERROR(INDEX(Papers!$G$2:$G$12,MATCH($C194,Papers!$A$2:$A$12,0)),""))</f>
        <v/>
      </c>
      <c r="M194">
        <f>IF($A194="","",IFERROR(SUMPRODUCT((INDEX(SubMap!$B$2:$AE$12,MATCH($C194,SubMap!$A$2:$A$12,0),0)=3)*Attempts!$AR194:$BU194),0))</f>
        <v/>
      </c>
      <c r="N194">
        <f>IF($A194="","",IFERROR(COUNTIF(INDEX(SubMap!$B$2:$AE$12,MATCH($C194,SubMap!$A$2:$A$12,0),0),3),0))</f>
        <v/>
      </c>
      <c r="O194">
        <f>IF(OR($A194="",N194=0),"",ROUND(M194/N194*100,1))</f>
        <v/>
      </c>
      <c r="P194">
        <f>IF($A194="","",IFERROR(INDEX(Papers!$H$2:$H$12,MATCH($C194,Papers!$A$2:$A$12,0)),""))</f>
        <v/>
      </c>
      <c r="Q194">
        <f>IF($A194="","",IFERROR(SUMPRODUCT((INDEX(SubMap!$B$2:$AE$12,MATCH($C194,SubMap!$A$2:$A$12,0),0)=4)*Attempts!$AR194:$BU194),0))</f>
        <v/>
      </c>
      <c r="R194">
        <f>IF($A194="","",IFERROR(COUNTIF(INDEX(SubMap!$B$2:$AE$12,MATCH($C194,SubMap!$A$2:$A$12,0),0),4),0))</f>
        <v/>
      </c>
      <c r="S194">
        <f>IF(OR($A194="",R194=0),"",ROUND(Q194/R194*100,1))</f>
        <v/>
      </c>
      <c r="T194">
        <f>IF($A194="","",IFERROR(INDEX(Papers!$I$2:$I$12,MATCH($C194,Papers!$A$2:$A$12,0)),""))</f>
        <v/>
      </c>
      <c r="U194">
        <f>IF($A194="","",IFERROR(SUMPRODUCT((INDEX(SubMap!$B$2:$AE$12,MATCH($C194,SubMap!$A$2:$A$12,0),0)=5)*Attempts!$AR194:$BU194),0))</f>
        <v/>
      </c>
      <c r="V194">
        <f>IF($A194="","",IFERROR(COUNTIF(INDEX(SubMap!$B$2:$AE$12,MATCH($C194,SubMap!$A$2:$A$12,0),0),5),0))</f>
        <v/>
      </c>
      <c r="W194">
        <f>IF(OR($A194="",V194=0),"",ROUND(U194/V194*100,1))</f>
        <v/>
      </c>
      <c r="X194">
        <f>IF($A194="","",IFERROR(INDEX(Papers!$J$2:$J$12,MATCH($C194,Papers!$A$2:$A$12,0)),""))</f>
        <v/>
      </c>
      <c r="Y194">
        <f>IF($A194="","",IFERROR(SUMPRODUCT((INDEX(SubMap!$B$2:$AE$12,MATCH($C194,SubMap!$A$2:$A$12,0),0)=6)*Attempts!$AR194:$BU194),0))</f>
        <v/>
      </c>
      <c r="Z194">
        <f>IF($A194="","",IFERROR(COUNTIF(INDEX(SubMap!$B$2:$AE$12,MATCH($C194,SubMap!$A$2:$A$12,0),0),6),0))</f>
        <v/>
      </c>
      <c r="AA194">
        <f>IF(OR($A194="",Z194=0),"",ROUND(Y194/Z194*100,1))</f>
        <v/>
      </c>
      <c r="AB194">
        <f>IF($A194="","",IFERROR(INDEX(CHOOSE({1,2,3,4,5,6},D194,H194,L194,P194,T194,X194),MATCH(MIN(G194,K194,O194,S194,W194,AA194),CHOOSE({1,2,3,4,5,6},G194,K194,O194,S194,W194,AA194),0)),""))</f>
        <v/>
      </c>
      <c r="AC194">
        <f>IF($A194="","",IF(COUNT(G194,K194,O194,S194,W194,AA194)=0,"",MIN(G194,K194,O194,S194,W194,AA194)))</f>
        <v/>
      </c>
      <c r="AD194">
        <f>IF($A194="","",IFERROR(INDEX(CHOOSE({1,2,3,4,5,6},IFERROR(INDEX(Papers!$K$2:$K$12,MATCH($C194,Papers!$A$2:$A$12,0)),""),IFERROR(INDEX(Papers!$L$2:$L$12,MATCH($C194,Papers!$A$2:$A$12,0)),""),IFERROR(INDEX(Papers!$M$2:$M$12,MATCH($C194,Papers!$A$2:$A$12,0)),""),IFERROR(INDEX(Papers!$N$2:$N$12,MATCH($C194,Papers!$A$2:$A$12,0)),""),IFERROR(INDEX(Papers!$O$2:$O$12,MATCH($C194,Papers!$A$2:$A$12,0)),""),IFERROR(INDEX(Papers!$P$2:$P$12,MATCH($C194,Papers!$A$2:$A$12,0)),"")),MATCH(MIN(G194,K194,O194,S194,W194,AA194),CHOOSE({1,2,3,4,5,6},G194,K194,O194,S194,W194,AA194),0)),""))</f>
        <v/>
      </c>
      <c r="AE194">
        <f>IF(AC194="","",IF(AC194&lt;50,"Re-teach",IF(AC194&lt;75,"Practice more","Relatively secure")))</f>
        <v/>
      </c>
    </row>
    <row r="195">
      <c r="A195">
        <f>IF(Attempts!A195="","",Attempts!A195)</f>
        <v/>
      </c>
      <c r="B195">
        <f>IF(Attempts!A195="","",Attempts!B195)</f>
        <v/>
      </c>
      <c r="C195">
        <f>IF(Attempts!A195="","",Attempts!D195)</f>
        <v/>
      </c>
      <c r="D195">
        <f>IF($A195="","",IFERROR(INDEX(Papers!$E$2:$E$12,MATCH($C195,Papers!$A$2:$A$12,0)),""))</f>
        <v/>
      </c>
      <c r="E195">
        <f>IF($A195="","",IFERROR(SUMPRODUCT((INDEX(SubMap!$B$2:$AE$12,MATCH($C195,SubMap!$A$2:$A$12,0),0)=1)*Attempts!$AR195:$BU195),0))</f>
        <v/>
      </c>
      <c r="F195">
        <f>IF($A195="","",IFERROR(COUNTIF(INDEX(SubMap!$B$2:$AE$12,MATCH($C195,SubMap!$A$2:$A$12,0),0),1),0))</f>
        <v/>
      </c>
      <c r="G195">
        <f>IF(OR($A195="",F195=0),"",ROUND(E195/F195*100,1))</f>
        <v/>
      </c>
      <c r="H195">
        <f>IF($A195="","",IFERROR(INDEX(Papers!$F$2:$F$12,MATCH($C195,Papers!$A$2:$A$12,0)),""))</f>
        <v/>
      </c>
      <c r="I195">
        <f>IF($A195="","",IFERROR(SUMPRODUCT((INDEX(SubMap!$B$2:$AE$12,MATCH($C195,SubMap!$A$2:$A$12,0),0)=2)*Attempts!$AR195:$BU195),0))</f>
        <v/>
      </c>
      <c r="J195">
        <f>IF($A195="","",IFERROR(COUNTIF(INDEX(SubMap!$B$2:$AE$12,MATCH($C195,SubMap!$A$2:$A$12,0),0),2),0))</f>
        <v/>
      </c>
      <c r="K195">
        <f>IF(OR($A195="",J195=0),"",ROUND(I195/J195*100,1))</f>
        <v/>
      </c>
      <c r="L195">
        <f>IF($A195="","",IFERROR(INDEX(Papers!$G$2:$G$12,MATCH($C195,Papers!$A$2:$A$12,0)),""))</f>
        <v/>
      </c>
      <c r="M195">
        <f>IF($A195="","",IFERROR(SUMPRODUCT((INDEX(SubMap!$B$2:$AE$12,MATCH($C195,SubMap!$A$2:$A$12,0),0)=3)*Attempts!$AR195:$BU195),0))</f>
        <v/>
      </c>
      <c r="N195">
        <f>IF($A195="","",IFERROR(COUNTIF(INDEX(SubMap!$B$2:$AE$12,MATCH($C195,SubMap!$A$2:$A$12,0),0),3),0))</f>
        <v/>
      </c>
      <c r="O195">
        <f>IF(OR($A195="",N195=0),"",ROUND(M195/N195*100,1))</f>
        <v/>
      </c>
      <c r="P195">
        <f>IF($A195="","",IFERROR(INDEX(Papers!$H$2:$H$12,MATCH($C195,Papers!$A$2:$A$12,0)),""))</f>
        <v/>
      </c>
      <c r="Q195">
        <f>IF($A195="","",IFERROR(SUMPRODUCT((INDEX(SubMap!$B$2:$AE$12,MATCH($C195,SubMap!$A$2:$A$12,0),0)=4)*Attempts!$AR195:$BU195),0))</f>
        <v/>
      </c>
      <c r="R195">
        <f>IF($A195="","",IFERROR(COUNTIF(INDEX(SubMap!$B$2:$AE$12,MATCH($C195,SubMap!$A$2:$A$12,0),0),4),0))</f>
        <v/>
      </c>
      <c r="S195">
        <f>IF(OR($A195="",R195=0),"",ROUND(Q195/R195*100,1))</f>
        <v/>
      </c>
      <c r="T195">
        <f>IF($A195="","",IFERROR(INDEX(Papers!$I$2:$I$12,MATCH($C195,Papers!$A$2:$A$12,0)),""))</f>
        <v/>
      </c>
      <c r="U195">
        <f>IF($A195="","",IFERROR(SUMPRODUCT((INDEX(SubMap!$B$2:$AE$12,MATCH($C195,SubMap!$A$2:$A$12,0),0)=5)*Attempts!$AR195:$BU195),0))</f>
        <v/>
      </c>
      <c r="V195">
        <f>IF($A195="","",IFERROR(COUNTIF(INDEX(SubMap!$B$2:$AE$12,MATCH($C195,SubMap!$A$2:$A$12,0),0),5),0))</f>
        <v/>
      </c>
      <c r="W195">
        <f>IF(OR($A195="",V195=0),"",ROUND(U195/V195*100,1))</f>
        <v/>
      </c>
      <c r="X195">
        <f>IF($A195="","",IFERROR(INDEX(Papers!$J$2:$J$12,MATCH($C195,Papers!$A$2:$A$12,0)),""))</f>
        <v/>
      </c>
      <c r="Y195">
        <f>IF($A195="","",IFERROR(SUMPRODUCT((INDEX(SubMap!$B$2:$AE$12,MATCH($C195,SubMap!$A$2:$A$12,0),0)=6)*Attempts!$AR195:$BU195),0))</f>
        <v/>
      </c>
      <c r="Z195">
        <f>IF($A195="","",IFERROR(COUNTIF(INDEX(SubMap!$B$2:$AE$12,MATCH($C195,SubMap!$A$2:$A$12,0),0),6),0))</f>
        <v/>
      </c>
      <c r="AA195">
        <f>IF(OR($A195="",Z195=0),"",ROUND(Y195/Z195*100,1))</f>
        <v/>
      </c>
      <c r="AB195">
        <f>IF($A195="","",IFERROR(INDEX(CHOOSE({1,2,3,4,5,6},D195,H195,L195,P195,T195,X195),MATCH(MIN(G195,K195,O195,S195,W195,AA195),CHOOSE({1,2,3,4,5,6},G195,K195,O195,S195,W195,AA195),0)),""))</f>
        <v/>
      </c>
      <c r="AC195">
        <f>IF($A195="","",IF(COUNT(G195,K195,O195,S195,W195,AA195)=0,"",MIN(G195,K195,O195,S195,W195,AA195)))</f>
        <v/>
      </c>
      <c r="AD195">
        <f>IF($A195="","",IFERROR(INDEX(CHOOSE({1,2,3,4,5,6},IFERROR(INDEX(Papers!$K$2:$K$12,MATCH($C195,Papers!$A$2:$A$12,0)),""),IFERROR(INDEX(Papers!$L$2:$L$12,MATCH($C195,Papers!$A$2:$A$12,0)),""),IFERROR(INDEX(Papers!$M$2:$M$12,MATCH($C195,Papers!$A$2:$A$12,0)),""),IFERROR(INDEX(Papers!$N$2:$N$12,MATCH($C195,Papers!$A$2:$A$12,0)),""),IFERROR(INDEX(Papers!$O$2:$O$12,MATCH($C195,Papers!$A$2:$A$12,0)),""),IFERROR(INDEX(Papers!$P$2:$P$12,MATCH($C195,Papers!$A$2:$A$12,0)),"")),MATCH(MIN(G195,K195,O195,S195,W195,AA195),CHOOSE({1,2,3,4,5,6},G195,K195,O195,S195,W195,AA195),0)),""))</f>
        <v/>
      </c>
      <c r="AE195">
        <f>IF(AC195="","",IF(AC195&lt;50,"Re-teach",IF(AC195&lt;75,"Practice more","Relatively secure")))</f>
        <v/>
      </c>
    </row>
    <row r="196">
      <c r="A196">
        <f>IF(Attempts!A196="","",Attempts!A196)</f>
        <v/>
      </c>
      <c r="B196">
        <f>IF(Attempts!A196="","",Attempts!B196)</f>
        <v/>
      </c>
      <c r="C196">
        <f>IF(Attempts!A196="","",Attempts!D196)</f>
        <v/>
      </c>
      <c r="D196">
        <f>IF($A196="","",IFERROR(INDEX(Papers!$E$2:$E$12,MATCH($C196,Papers!$A$2:$A$12,0)),""))</f>
        <v/>
      </c>
      <c r="E196">
        <f>IF($A196="","",IFERROR(SUMPRODUCT((INDEX(SubMap!$B$2:$AE$12,MATCH($C196,SubMap!$A$2:$A$12,0),0)=1)*Attempts!$AR196:$BU196),0))</f>
        <v/>
      </c>
      <c r="F196">
        <f>IF($A196="","",IFERROR(COUNTIF(INDEX(SubMap!$B$2:$AE$12,MATCH($C196,SubMap!$A$2:$A$12,0),0),1),0))</f>
        <v/>
      </c>
      <c r="G196">
        <f>IF(OR($A196="",F196=0),"",ROUND(E196/F196*100,1))</f>
        <v/>
      </c>
      <c r="H196">
        <f>IF($A196="","",IFERROR(INDEX(Papers!$F$2:$F$12,MATCH($C196,Papers!$A$2:$A$12,0)),""))</f>
        <v/>
      </c>
      <c r="I196">
        <f>IF($A196="","",IFERROR(SUMPRODUCT((INDEX(SubMap!$B$2:$AE$12,MATCH($C196,SubMap!$A$2:$A$12,0),0)=2)*Attempts!$AR196:$BU196),0))</f>
        <v/>
      </c>
      <c r="J196">
        <f>IF($A196="","",IFERROR(COUNTIF(INDEX(SubMap!$B$2:$AE$12,MATCH($C196,SubMap!$A$2:$A$12,0),0),2),0))</f>
        <v/>
      </c>
      <c r="K196">
        <f>IF(OR($A196="",J196=0),"",ROUND(I196/J196*100,1))</f>
        <v/>
      </c>
      <c r="L196">
        <f>IF($A196="","",IFERROR(INDEX(Papers!$G$2:$G$12,MATCH($C196,Papers!$A$2:$A$12,0)),""))</f>
        <v/>
      </c>
      <c r="M196">
        <f>IF($A196="","",IFERROR(SUMPRODUCT((INDEX(SubMap!$B$2:$AE$12,MATCH($C196,SubMap!$A$2:$A$12,0),0)=3)*Attempts!$AR196:$BU196),0))</f>
        <v/>
      </c>
      <c r="N196">
        <f>IF($A196="","",IFERROR(COUNTIF(INDEX(SubMap!$B$2:$AE$12,MATCH($C196,SubMap!$A$2:$A$12,0),0),3),0))</f>
        <v/>
      </c>
      <c r="O196">
        <f>IF(OR($A196="",N196=0),"",ROUND(M196/N196*100,1))</f>
        <v/>
      </c>
      <c r="P196">
        <f>IF($A196="","",IFERROR(INDEX(Papers!$H$2:$H$12,MATCH($C196,Papers!$A$2:$A$12,0)),""))</f>
        <v/>
      </c>
      <c r="Q196">
        <f>IF($A196="","",IFERROR(SUMPRODUCT((INDEX(SubMap!$B$2:$AE$12,MATCH($C196,SubMap!$A$2:$A$12,0),0)=4)*Attempts!$AR196:$BU196),0))</f>
        <v/>
      </c>
      <c r="R196">
        <f>IF($A196="","",IFERROR(COUNTIF(INDEX(SubMap!$B$2:$AE$12,MATCH($C196,SubMap!$A$2:$A$12,0),0),4),0))</f>
        <v/>
      </c>
      <c r="S196">
        <f>IF(OR($A196="",R196=0),"",ROUND(Q196/R196*100,1))</f>
        <v/>
      </c>
      <c r="T196">
        <f>IF($A196="","",IFERROR(INDEX(Papers!$I$2:$I$12,MATCH($C196,Papers!$A$2:$A$12,0)),""))</f>
        <v/>
      </c>
      <c r="U196">
        <f>IF($A196="","",IFERROR(SUMPRODUCT((INDEX(SubMap!$B$2:$AE$12,MATCH($C196,SubMap!$A$2:$A$12,0),0)=5)*Attempts!$AR196:$BU196),0))</f>
        <v/>
      </c>
      <c r="V196">
        <f>IF($A196="","",IFERROR(COUNTIF(INDEX(SubMap!$B$2:$AE$12,MATCH($C196,SubMap!$A$2:$A$12,0),0),5),0))</f>
        <v/>
      </c>
      <c r="W196">
        <f>IF(OR($A196="",V196=0),"",ROUND(U196/V196*100,1))</f>
        <v/>
      </c>
      <c r="X196">
        <f>IF($A196="","",IFERROR(INDEX(Papers!$J$2:$J$12,MATCH($C196,Papers!$A$2:$A$12,0)),""))</f>
        <v/>
      </c>
      <c r="Y196">
        <f>IF($A196="","",IFERROR(SUMPRODUCT((INDEX(SubMap!$B$2:$AE$12,MATCH($C196,SubMap!$A$2:$A$12,0),0)=6)*Attempts!$AR196:$BU196),0))</f>
        <v/>
      </c>
      <c r="Z196">
        <f>IF($A196="","",IFERROR(COUNTIF(INDEX(SubMap!$B$2:$AE$12,MATCH($C196,SubMap!$A$2:$A$12,0),0),6),0))</f>
        <v/>
      </c>
      <c r="AA196">
        <f>IF(OR($A196="",Z196=0),"",ROUND(Y196/Z196*100,1))</f>
        <v/>
      </c>
      <c r="AB196">
        <f>IF($A196="","",IFERROR(INDEX(CHOOSE({1,2,3,4,5,6},D196,H196,L196,P196,T196,X196),MATCH(MIN(G196,K196,O196,S196,W196,AA196),CHOOSE({1,2,3,4,5,6},G196,K196,O196,S196,W196,AA196),0)),""))</f>
        <v/>
      </c>
      <c r="AC196">
        <f>IF($A196="","",IF(COUNT(G196,K196,O196,S196,W196,AA196)=0,"",MIN(G196,K196,O196,S196,W196,AA196)))</f>
        <v/>
      </c>
      <c r="AD196">
        <f>IF($A196="","",IFERROR(INDEX(CHOOSE({1,2,3,4,5,6},IFERROR(INDEX(Papers!$K$2:$K$12,MATCH($C196,Papers!$A$2:$A$12,0)),""),IFERROR(INDEX(Papers!$L$2:$L$12,MATCH($C196,Papers!$A$2:$A$12,0)),""),IFERROR(INDEX(Papers!$M$2:$M$12,MATCH($C196,Papers!$A$2:$A$12,0)),""),IFERROR(INDEX(Papers!$N$2:$N$12,MATCH($C196,Papers!$A$2:$A$12,0)),""),IFERROR(INDEX(Papers!$O$2:$O$12,MATCH($C196,Papers!$A$2:$A$12,0)),""),IFERROR(INDEX(Papers!$P$2:$P$12,MATCH($C196,Papers!$A$2:$A$12,0)),"")),MATCH(MIN(G196,K196,O196,S196,W196,AA196),CHOOSE({1,2,3,4,5,6},G196,K196,O196,S196,W196,AA196),0)),""))</f>
        <v/>
      </c>
      <c r="AE196">
        <f>IF(AC196="","",IF(AC196&lt;50,"Re-teach",IF(AC196&lt;75,"Practice more","Relatively secure")))</f>
        <v/>
      </c>
    </row>
    <row r="197">
      <c r="A197">
        <f>IF(Attempts!A197="","",Attempts!A197)</f>
        <v/>
      </c>
      <c r="B197">
        <f>IF(Attempts!A197="","",Attempts!B197)</f>
        <v/>
      </c>
      <c r="C197">
        <f>IF(Attempts!A197="","",Attempts!D197)</f>
        <v/>
      </c>
      <c r="D197">
        <f>IF($A197="","",IFERROR(INDEX(Papers!$E$2:$E$12,MATCH($C197,Papers!$A$2:$A$12,0)),""))</f>
        <v/>
      </c>
      <c r="E197">
        <f>IF($A197="","",IFERROR(SUMPRODUCT((INDEX(SubMap!$B$2:$AE$12,MATCH($C197,SubMap!$A$2:$A$12,0),0)=1)*Attempts!$AR197:$BU197),0))</f>
        <v/>
      </c>
      <c r="F197">
        <f>IF($A197="","",IFERROR(COUNTIF(INDEX(SubMap!$B$2:$AE$12,MATCH($C197,SubMap!$A$2:$A$12,0),0),1),0))</f>
        <v/>
      </c>
      <c r="G197">
        <f>IF(OR($A197="",F197=0),"",ROUND(E197/F197*100,1))</f>
        <v/>
      </c>
      <c r="H197">
        <f>IF($A197="","",IFERROR(INDEX(Papers!$F$2:$F$12,MATCH($C197,Papers!$A$2:$A$12,0)),""))</f>
        <v/>
      </c>
      <c r="I197">
        <f>IF($A197="","",IFERROR(SUMPRODUCT((INDEX(SubMap!$B$2:$AE$12,MATCH($C197,SubMap!$A$2:$A$12,0),0)=2)*Attempts!$AR197:$BU197),0))</f>
        <v/>
      </c>
      <c r="J197">
        <f>IF($A197="","",IFERROR(COUNTIF(INDEX(SubMap!$B$2:$AE$12,MATCH($C197,SubMap!$A$2:$A$12,0),0),2),0))</f>
        <v/>
      </c>
      <c r="K197">
        <f>IF(OR($A197="",J197=0),"",ROUND(I197/J197*100,1))</f>
        <v/>
      </c>
      <c r="L197">
        <f>IF($A197="","",IFERROR(INDEX(Papers!$G$2:$G$12,MATCH($C197,Papers!$A$2:$A$12,0)),""))</f>
        <v/>
      </c>
      <c r="M197">
        <f>IF($A197="","",IFERROR(SUMPRODUCT((INDEX(SubMap!$B$2:$AE$12,MATCH($C197,SubMap!$A$2:$A$12,0),0)=3)*Attempts!$AR197:$BU197),0))</f>
        <v/>
      </c>
      <c r="N197">
        <f>IF($A197="","",IFERROR(COUNTIF(INDEX(SubMap!$B$2:$AE$12,MATCH($C197,SubMap!$A$2:$A$12,0),0),3),0))</f>
        <v/>
      </c>
      <c r="O197">
        <f>IF(OR($A197="",N197=0),"",ROUND(M197/N197*100,1))</f>
        <v/>
      </c>
      <c r="P197">
        <f>IF($A197="","",IFERROR(INDEX(Papers!$H$2:$H$12,MATCH($C197,Papers!$A$2:$A$12,0)),""))</f>
        <v/>
      </c>
      <c r="Q197">
        <f>IF($A197="","",IFERROR(SUMPRODUCT((INDEX(SubMap!$B$2:$AE$12,MATCH($C197,SubMap!$A$2:$A$12,0),0)=4)*Attempts!$AR197:$BU197),0))</f>
        <v/>
      </c>
      <c r="R197">
        <f>IF($A197="","",IFERROR(COUNTIF(INDEX(SubMap!$B$2:$AE$12,MATCH($C197,SubMap!$A$2:$A$12,0),0),4),0))</f>
        <v/>
      </c>
      <c r="S197">
        <f>IF(OR($A197="",R197=0),"",ROUND(Q197/R197*100,1))</f>
        <v/>
      </c>
      <c r="T197">
        <f>IF($A197="","",IFERROR(INDEX(Papers!$I$2:$I$12,MATCH($C197,Papers!$A$2:$A$12,0)),""))</f>
        <v/>
      </c>
      <c r="U197">
        <f>IF($A197="","",IFERROR(SUMPRODUCT((INDEX(SubMap!$B$2:$AE$12,MATCH($C197,SubMap!$A$2:$A$12,0),0)=5)*Attempts!$AR197:$BU197),0))</f>
        <v/>
      </c>
      <c r="V197">
        <f>IF($A197="","",IFERROR(COUNTIF(INDEX(SubMap!$B$2:$AE$12,MATCH($C197,SubMap!$A$2:$A$12,0),0),5),0))</f>
        <v/>
      </c>
      <c r="W197">
        <f>IF(OR($A197="",V197=0),"",ROUND(U197/V197*100,1))</f>
        <v/>
      </c>
      <c r="X197">
        <f>IF($A197="","",IFERROR(INDEX(Papers!$J$2:$J$12,MATCH($C197,Papers!$A$2:$A$12,0)),""))</f>
        <v/>
      </c>
      <c r="Y197">
        <f>IF($A197="","",IFERROR(SUMPRODUCT((INDEX(SubMap!$B$2:$AE$12,MATCH($C197,SubMap!$A$2:$A$12,0),0)=6)*Attempts!$AR197:$BU197),0))</f>
        <v/>
      </c>
      <c r="Z197">
        <f>IF($A197="","",IFERROR(COUNTIF(INDEX(SubMap!$B$2:$AE$12,MATCH($C197,SubMap!$A$2:$A$12,0),0),6),0))</f>
        <v/>
      </c>
      <c r="AA197">
        <f>IF(OR($A197="",Z197=0),"",ROUND(Y197/Z197*100,1))</f>
        <v/>
      </c>
      <c r="AB197">
        <f>IF($A197="","",IFERROR(INDEX(CHOOSE({1,2,3,4,5,6},D197,H197,L197,P197,T197,X197),MATCH(MIN(G197,K197,O197,S197,W197,AA197),CHOOSE({1,2,3,4,5,6},G197,K197,O197,S197,W197,AA197),0)),""))</f>
        <v/>
      </c>
      <c r="AC197">
        <f>IF($A197="","",IF(COUNT(G197,K197,O197,S197,W197,AA197)=0,"",MIN(G197,K197,O197,S197,W197,AA197)))</f>
        <v/>
      </c>
      <c r="AD197">
        <f>IF($A197="","",IFERROR(INDEX(CHOOSE({1,2,3,4,5,6},IFERROR(INDEX(Papers!$K$2:$K$12,MATCH($C197,Papers!$A$2:$A$12,0)),""),IFERROR(INDEX(Papers!$L$2:$L$12,MATCH($C197,Papers!$A$2:$A$12,0)),""),IFERROR(INDEX(Papers!$M$2:$M$12,MATCH($C197,Papers!$A$2:$A$12,0)),""),IFERROR(INDEX(Papers!$N$2:$N$12,MATCH($C197,Papers!$A$2:$A$12,0)),""),IFERROR(INDEX(Papers!$O$2:$O$12,MATCH($C197,Papers!$A$2:$A$12,0)),""),IFERROR(INDEX(Papers!$P$2:$P$12,MATCH($C197,Papers!$A$2:$A$12,0)),"")),MATCH(MIN(G197,K197,O197,S197,W197,AA197),CHOOSE({1,2,3,4,5,6},G197,K197,O197,S197,W197,AA197),0)),""))</f>
        <v/>
      </c>
      <c r="AE197">
        <f>IF(AC197="","",IF(AC197&lt;50,"Re-teach",IF(AC197&lt;75,"Practice more","Relatively secure")))</f>
        <v/>
      </c>
    </row>
    <row r="198">
      <c r="A198">
        <f>IF(Attempts!A198="","",Attempts!A198)</f>
        <v/>
      </c>
      <c r="B198">
        <f>IF(Attempts!A198="","",Attempts!B198)</f>
        <v/>
      </c>
      <c r="C198">
        <f>IF(Attempts!A198="","",Attempts!D198)</f>
        <v/>
      </c>
      <c r="D198">
        <f>IF($A198="","",IFERROR(INDEX(Papers!$E$2:$E$12,MATCH($C198,Papers!$A$2:$A$12,0)),""))</f>
        <v/>
      </c>
      <c r="E198">
        <f>IF($A198="","",IFERROR(SUMPRODUCT((INDEX(SubMap!$B$2:$AE$12,MATCH($C198,SubMap!$A$2:$A$12,0),0)=1)*Attempts!$AR198:$BU198),0))</f>
        <v/>
      </c>
      <c r="F198">
        <f>IF($A198="","",IFERROR(COUNTIF(INDEX(SubMap!$B$2:$AE$12,MATCH($C198,SubMap!$A$2:$A$12,0),0),1),0))</f>
        <v/>
      </c>
      <c r="G198">
        <f>IF(OR($A198="",F198=0),"",ROUND(E198/F198*100,1))</f>
        <v/>
      </c>
      <c r="H198">
        <f>IF($A198="","",IFERROR(INDEX(Papers!$F$2:$F$12,MATCH($C198,Papers!$A$2:$A$12,0)),""))</f>
        <v/>
      </c>
      <c r="I198">
        <f>IF($A198="","",IFERROR(SUMPRODUCT((INDEX(SubMap!$B$2:$AE$12,MATCH($C198,SubMap!$A$2:$A$12,0),0)=2)*Attempts!$AR198:$BU198),0))</f>
        <v/>
      </c>
      <c r="J198">
        <f>IF($A198="","",IFERROR(COUNTIF(INDEX(SubMap!$B$2:$AE$12,MATCH($C198,SubMap!$A$2:$A$12,0),0),2),0))</f>
        <v/>
      </c>
      <c r="K198">
        <f>IF(OR($A198="",J198=0),"",ROUND(I198/J198*100,1))</f>
        <v/>
      </c>
      <c r="L198">
        <f>IF($A198="","",IFERROR(INDEX(Papers!$G$2:$G$12,MATCH($C198,Papers!$A$2:$A$12,0)),""))</f>
        <v/>
      </c>
      <c r="M198">
        <f>IF($A198="","",IFERROR(SUMPRODUCT((INDEX(SubMap!$B$2:$AE$12,MATCH($C198,SubMap!$A$2:$A$12,0),0)=3)*Attempts!$AR198:$BU198),0))</f>
        <v/>
      </c>
      <c r="N198">
        <f>IF($A198="","",IFERROR(COUNTIF(INDEX(SubMap!$B$2:$AE$12,MATCH($C198,SubMap!$A$2:$A$12,0),0),3),0))</f>
        <v/>
      </c>
      <c r="O198">
        <f>IF(OR($A198="",N198=0),"",ROUND(M198/N198*100,1))</f>
        <v/>
      </c>
      <c r="P198">
        <f>IF($A198="","",IFERROR(INDEX(Papers!$H$2:$H$12,MATCH($C198,Papers!$A$2:$A$12,0)),""))</f>
        <v/>
      </c>
      <c r="Q198">
        <f>IF($A198="","",IFERROR(SUMPRODUCT((INDEX(SubMap!$B$2:$AE$12,MATCH($C198,SubMap!$A$2:$A$12,0),0)=4)*Attempts!$AR198:$BU198),0))</f>
        <v/>
      </c>
      <c r="R198">
        <f>IF($A198="","",IFERROR(COUNTIF(INDEX(SubMap!$B$2:$AE$12,MATCH($C198,SubMap!$A$2:$A$12,0),0),4),0))</f>
        <v/>
      </c>
      <c r="S198">
        <f>IF(OR($A198="",R198=0),"",ROUND(Q198/R198*100,1))</f>
        <v/>
      </c>
      <c r="T198">
        <f>IF($A198="","",IFERROR(INDEX(Papers!$I$2:$I$12,MATCH($C198,Papers!$A$2:$A$12,0)),""))</f>
        <v/>
      </c>
      <c r="U198">
        <f>IF($A198="","",IFERROR(SUMPRODUCT((INDEX(SubMap!$B$2:$AE$12,MATCH($C198,SubMap!$A$2:$A$12,0),0)=5)*Attempts!$AR198:$BU198),0))</f>
        <v/>
      </c>
      <c r="V198">
        <f>IF($A198="","",IFERROR(COUNTIF(INDEX(SubMap!$B$2:$AE$12,MATCH($C198,SubMap!$A$2:$A$12,0),0),5),0))</f>
        <v/>
      </c>
      <c r="W198">
        <f>IF(OR($A198="",V198=0),"",ROUND(U198/V198*100,1))</f>
        <v/>
      </c>
      <c r="X198">
        <f>IF($A198="","",IFERROR(INDEX(Papers!$J$2:$J$12,MATCH($C198,Papers!$A$2:$A$12,0)),""))</f>
        <v/>
      </c>
      <c r="Y198">
        <f>IF($A198="","",IFERROR(SUMPRODUCT((INDEX(SubMap!$B$2:$AE$12,MATCH($C198,SubMap!$A$2:$A$12,0),0)=6)*Attempts!$AR198:$BU198),0))</f>
        <v/>
      </c>
      <c r="Z198">
        <f>IF($A198="","",IFERROR(COUNTIF(INDEX(SubMap!$B$2:$AE$12,MATCH($C198,SubMap!$A$2:$A$12,0),0),6),0))</f>
        <v/>
      </c>
      <c r="AA198">
        <f>IF(OR($A198="",Z198=0),"",ROUND(Y198/Z198*100,1))</f>
        <v/>
      </c>
      <c r="AB198">
        <f>IF($A198="","",IFERROR(INDEX(CHOOSE({1,2,3,4,5,6},D198,H198,L198,P198,T198,X198),MATCH(MIN(G198,K198,O198,S198,W198,AA198),CHOOSE({1,2,3,4,5,6},G198,K198,O198,S198,W198,AA198),0)),""))</f>
        <v/>
      </c>
      <c r="AC198">
        <f>IF($A198="","",IF(COUNT(G198,K198,O198,S198,W198,AA198)=0,"",MIN(G198,K198,O198,S198,W198,AA198)))</f>
        <v/>
      </c>
      <c r="AD198">
        <f>IF($A198="","",IFERROR(INDEX(CHOOSE({1,2,3,4,5,6},IFERROR(INDEX(Papers!$K$2:$K$12,MATCH($C198,Papers!$A$2:$A$12,0)),""),IFERROR(INDEX(Papers!$L$2:$L$12,MATCH($C198,Papers!$A$2:$A$12,0)),""),IFERROR(INDEX(Papers!$M$2:$M$12,MATCH($C198,Papers!$A$2:$A$12,0)),""),IFERROR(INDEX(Papers!$N$2:$N$12,MATCH($C198,Papers!$A$2:$A$12,0)),""),IFERROR(INDEX(Papers!$O$2:$O$12,MATCH($C198,Papers!$A$2:$A$12,0)),""),IFERROR(INDEX(Papers!$P$2:$P$12,MATCH($C198,Papers!$A$2:$A$12,0)),"")),MATCH(MIN(G198,K198,O198,S198,W198,AA198),CHOOSE({1,2,3,4,5,6},G198,K198,O198,S198,W198,AA198),0)),""))</f>
        <v/>
      </c>
      <c r="AE198">
        <f>IF(AC198="","",IF(AC198&lt;50,"Re-teach",IF(AC198&lt;75,"Practice more","Relatively secure")))</f>
        <v/>
      </c>
    </row>
    <row r="199">
      <c r="A199">
        <f>IF(Attempts!A199="","",Attempts!A199)</f>
        <v/>
      </c>
      <c r="B199">
        <f>IF(Attempts!A199="","",Attempts!B199)</f>
        <v/>
      </c>
      <c r="C199">
        <f>IF(Attempts!A199="","",Attempts!D199)</f>
        <v/>
      </c>
      <c r="D199">
        <f>IF($A199="","",IFERROR(INDEX(Papers!$E$2:$E$12,MATCH($C199,Papers!$A$2:$A$12,0)),""))</f>
        <v/>
      </c>
      <c r="E199">
        <f>IF($A199="","",IFERROR(SUMPRODUCT((INDEX(SubMap!$B$2:$AE$12,MATCH($C199,SubMap!$A$2:$A$12,0),0)=1)*Attempts!$AR199:$BU199),0))</f>
        <v/>
      </c>
      <c r="F199">
        <f>IF($A199="","",IFERROR(COUNTIF(INDEX(SubMap!$B$2:$AE$12,MATCH($C199,SubMap!$A$2:$A$12,0),0),1),0))</f>
        <v/>
      </c>
      <c r="G199">
        <f>IF(OR($A199="",F199=0),"",ROUND(E199/F199*100,1))</f>
        <v/>
      </c>
      <c r="H199">
        <f>IF($A199="","",IFERROR(INDEX(Papers!$F$2:$F$12,MATCH($C199,Papers!$A$2:$A$12,0)),""))</f>
        <v/>
      </c>
      <c r="I199">
        <f>IF($A199="","",IFERROR(SUMPRODUCT((INDEX(SubMap!$B$2:$AE$12,MATCH($C199,SubMap!$A$2:$A$12,0),0)=2)*Attempts!$AR199:$BU199),0))</f>
        <v/>
      </c>
      <c r="J199">
        <f>IF($A199="","",IFERROR(COUNTIF(INDEX(SubMap!$B$2:$AE$12,MATCH($C199,SubMap!$A$2:$A$12,0),0),2),0))</f>
        <v/>
      </c>
      <c r="K199">
        <f>IF(OR($A199="",J199=0),"",ROUND(I199/J199*100,1))</f>
        <v/>
      </c>
      <c r="L199">
        <f>IF($A199="","",IFERROR(INDEX(Papers!$G$2:$G$12,MATCH($C199,Papers!$A$2:$A$12,0)),""))</f>
        <v/>
      </c>
      <c r="M199">
        <f>IF($A199="","",IFERROR(SUMPRODUCT((INDEX(SubMap!$B$2:$AE$12,MATCH($C199,SubMap!$A$2:$A$12,0),0)=3)*Attempts!$AR199:$BU199),0))</f>
        <v/>
      </c>
      <c r="N199">
        <f>IF($A199="","",IFERROR(COUNTIF(INDEX(SubMap!$B$2:$AE$12,MATCH($C199,SubMap!$A$2:$A$12,0),0),3),0))</f>
        <v/>
      </c>
      <c r="O199">
        <f>IF(OR($A199="",N199=0),"",ROUND(M199/N199*100,1))</f>
        <v/>
      </c>
      <c r="P199">
        <f>IF($A199="","",IFERROR(INDEX(Papers!$H$2:$H$12,MATCH($C199,Papers!$A$2:$A$12,0)),""))</f>
        <v/>
      </c>
      <c r="Q199">
        <f>IF($A199="","",IFERROR(SUMPRODUCT((INDEX(SubMap!$B$2:$AE$12,MATCH($C199,SubMap!$A$2:$A$12,0),0)=4)*Attempts!$AR199:$BU199),0))</f>
        <v/>
      </c>
      <c r="R199">
        <f>IF($A199="","",IFERROR(COUNTIF(INDEX(SubMap!$B$2:$AE$12,MATCH($C199,SubMap!$A$2:$A$12,0),0),4),0))</f>
        <v/>
      </c>
      <c r="S199">
        <f>IF(OR($A199="",R199=0),"",ROUND(Q199/R199*100,1))</f>
        <v/>
      </c>
      <c r="T199">
        <f>IF($A199="","",IFERROR(INDEX(Papers!$I$2:$I$12,MATCH($C199,Papers!$A$2:$A$12,0)),""))</f>
        <v/>
      </c>
      <c r="U199">
        <f>IF($A199="","",IFERROR(SUMPRODUCT((INDEX(SubMap!$B$2:$AE$12,MATCH($C199,SubMap!$A$2:$A$12,0),0)=5)*Attempts!$AR199:$BU199),0))</f>
        <v/>
      </c>
      <c r="V199">
        <f>IF($A199="","",IFERROR(COUNTIF(INDEX(SubMap!$B$2:$AE$12,MATCH($C199,SubMap!$A$2:$A$12,0),0),5),0))</f>
        <v/>
      </c>
      <c r="W199">
        <f>IF(OR($A199="",V199=0),"",ROUND(U199/V199*100,1))</f>
        <v/>
      </c>
      <c r="X199">
        <f>IF($A199="","",IFERROR(INDEX(Papers!$J$2:$J$12,MATCH($C199,Papers!$A$2:$A$12,0)),""))</f>
        <v/>
      </c>
      <c r="Y199">
        <f>IF($A199="","",IFERROR(SUMPRODUCT((INDEX(SubMap!$B$2:$AE$12,MATCH($C199,SubMap!$A$2:$A$12,0),0)=6)*Attempts!$AR199:$BU199),0))</f>
        <v/>
      </c>
      <c r="Z199">
        <f>IF($A199="","",IFERROR(COUNTIF(INDEX(SubMap!$B$2:$AE$12,MATCH($C199,SubMap!$A$2:$A$12,0),0),6),0))</f>
        <v/>
      </c>
      <c r="AA199">
        <f>IF(OR($A199="",Z199=0),"",ROUND(Y199/Z199*100,1))</f>
        <v/>
      </c>
      <c r="AB199">
        <f>IF($A199="","",IFERROR(INDEX(CHOOSE({1,2,3,4,5,6},D199,H199,L199,P199,T199,X199),MATCH(MIN(G199,K199,O199,S199,W199,AA199),CHOOSE({1,2,3,4,5,6},G199,K199,O199,S199,W199,AA199),0)),""))</f>
        <v/>
      </c>
      <c r="AC199">
        <f>IF($A199="","",IF(COUNT(G199,K199,O199,S199,W199,AA199)=0,"",MIN(G199,K199,O199,S199,W199,AA199)))</f>
        <v/>
      </c>
      <c r="AD199">
        <f>IF($A199="","",IFERROR(INDEX(CHOOSE({1,2,3,4,5,6},IFERROR(INDEX(Papers!$K$2:$K$12,MATCH($C199,Papers!$A$2:$A$12,0)),""),IFERROR(INDEX(Papers!$L$2:$L$12,MATCH($C199,Papers!$A$2:$A$12,0)),""),IFERROR(INDEX(Papers!$M$2:$M$12,MATCH($C199,Papers!$A$2:$A$12,0)),""),IFERROR(INDEX(Papers!$N$2:$N$12,MATCH($C199,Papers!$A$2:$A$12,0)),""),IFERROR(INDEX(Papers!$O$2:$O$12,MATCH($C199,Papers!$A$2:$A$12,0)),""),IFERROR(INDEX(Papers!$P$2:$P$12,MATCH($C199,Papers!$A$2:$A$12,0)),"")),MATCH(MIN(G199,K199,O199,S199,W199,AA199),CHOOSE({1,2,3,4,5,6},G199,K199,O199,S199,W199,AA199),0)),""))</f>
        <v/>
      </c>
      <c r="AE199">
        <f>IF(AC199="","",IF(AC199&lt;50,"Re-teach",IF(AC199&lt;75,"Practice more","Relatively secure")))</f>
        <v/>
      </c>
    </row>
    <row r="200">
      <c r="A200">
        <f>IF(Attempts!A200="","",Attempts!A200)</f>
        <v/>
      </c>
      <c r="B200">
        <f>IF(Attempts!A200="","",Attempts!B200)</f>
        <v/>
      </c>
      <c r="C200">
        <f>IF(Attempts!A200="","",Attempts!D200)</f>
        <v/>
      </c>
      <c r="D200">
        <f>IF($A200="","",IFERROR(INDEX(Papers!$E$2:$E$12,MATCH($C200,Papers!$A$2:$A$12,0)),""))</f>
        <v/>
      </c>
      <c r="E200">
        <f>IF($A200="","",IFERROR(SUMPRODUCT((INDEX(SubMap!$B$2:$AE$12,MATCH($C200,SubMap!$A$2:$A$12,0),0)=1)*Attempts!$AR200:$BU200),0))</f>
        <v/>
      </c>
      <c r="F200">
        <f>IF($A200="","",IFERROR(COUNTIF(INDEX(SubMap!$B$2:$AE$12,MATCH($C200,SubMap!$A$2:$A$12,0),0),1),0))</f>
        <v/>
      </c>
      <c r="G200">
        <f>IF(OR($A200="",F200=0),"",ROUND(E200/F200*100,1))</f>
        <v/>
      </c>
      <c r="H200">
        <f>IF($A200="","",IFERROR(INDEX(Papers!$F$2:$F$12,MATCH($C200,Papers!$A$2:$A$12,0)),""))</f>
        <v/>
      </c>
      <c r="I200">
        <f>IF($A200="","",IFERROR(SUMPRODUCT((INDEX(SubMap!$B$2:$AE$12,MATCH($C200,SubMap!$A$2:$A$12,0),0)=2)*Attempts!$AR200:$BU200),0))</f>
        <v/>
      </c>
      <c r="J200">
        <f>IF($A200="","",IFERROR(COUNTIF(INDEX(SubMap!$B$2:$AE$12,MATCH($C200,SubMap!$A$2:$A$12,0),0),2),0))</f>
        <v/>
      </c>
      <c r="K200">
        <f>IF(OR($A200="",J200=0),"",ROUND(I200/J200*100,1))</f>
        <v/>
      </c>
      <c r="L200">
        <f>IF($A200="","",IFERROR(INDEX(Papers!$G$2:$G$12,MATCH($C200,Papers!$A$2:$A$12,0)),""))</f>
        <v/>
      </c>
      <c r="M200">
        <f>IF($A200="","",IFERROR(SUMPRODUCT((INDEX(SubMap!$B$2:$AE$12,MATCH($C200,SubMap!$A$2:$A$12,0),0)=3)*Attempts!$AR200:$BU200),0))</f>
        <v/>
      </c>
      <c r="N200">
        <f>IF($A200="","",IFERROR(COUNTIF(INDEX(SubMap!$B$2:$AE$12,MATCH($C200,SubMap!$A$2:$A$12,0),0),3),0))</f>
        <v/>
      </c>
      <c r="O200">
        <f>IF(OR($A200="",N200=0),"",ROUND(M200/N200*100,1))</f>
        <v/>
      </c>
      <c r="P200">
        <f>IF($A200="","",IFERROR(INDEX(Papers!$H$2:$H$12,MATCH($C200,Papers!$A$2:$A$12,0)),""))</f>
        <v/>
      </c>
      <c r="Q200">
        <f>IF($A200="","",IFERROR(SUMPRODUCT((INDEX(SubMap!$B$2:$AE$12,MATCH($C200,SubMap!$A$2:$A$12,0),0)=4)*Attempts!$AR200:$BU200),0))</f>
        <v/>
      </c>
      <c r="R200">
        <f>IF($A200="","",IFERROR(COUNTIF(INDEX(SubMap!$B$2:$AE$12,MATCH($C200,SubMap!$A$2:$A$12,0),0),4),0))</f>
        <v/>
      </c>
      <c r="S200">
        <f>IF(OR($A200="",R200=0),"",ROUND(Q200/R200*100,1))</f>
        <v/>
      </c>
      <c r="T200">
        <f>IF($A200="","",IFERROR(INDEX(Papers!$I$2:$I$12,MATCH($C200,Papers!$A$2:$A$12,0)),""))</f>
        <v/>
      </c>
      <c r="U200">
        <f>IF($A200="","",IFERROR(SUMPRODUCT((INDEX(SubMap!$B$2:$AE$12,MATCH($C200,SubMap!$A$2:$A$12,0),0)=5)*Attempts!$AR200:$BU200),0))</f>
        <v/>
      </c>
      <c r="V200">
        <f>IF($A200="","",IFERROR(COUNTIF(INDEX(SubMap!$B$2:$AE$12,MATCH($C200,SubMap!$A$2:$A$12,0),0),5),0))</f>
        <v/>
      </c>
      <c r="W200">
        <f>IF(OR($A200="",V200=0),"",ROUND(U200/V200*100,1))</f>
        <v/>
      </c>
      <c r="X200">
        <f>IF($A200="","",IFERROR(INDEX(Papers!$J$2:$J$12,MATCH($C200,Papers!$A$2:$A$12,0)),""))</f>
        <v/>
      </c>
      <c r="Y200">
        <f>IF($A200="","",IFERROR(SUMPRODUCT((INDEX(SubMap!$B$2:$AE$12,MATCH($C200,SubMap!$A$2:$A$12,0),0)=6)*Attempts!$AR200:$BU200),0))</f>
        <v/>
      </c>
      <c r="Z200">
        <f>IF($A200="","",IFERROR(COUNTIF(INDEX(SubMap!$B$2:$AE$12,MATCH($C200,SubMap!$A$2:$A$12,0),0),6),0))</f>
        <v/>
      </c>
      <c r="AA200">
        <f>IF(OR($A200="",Z200=0),"",ROUND(Y200/Z200*100,1))</f>
        <v/>
      </c>
      <c r="AB200">
        <f>IF($A200="","",IFERROR(INDEX(CHOOSE({1,2,3,4,5,6},D200,H200,L200,P200,T200,X200),MATCH(MIN(G200,K200,O200,S200,W200,AA200),CHOOSE({1,2,3,4,5,6},G200,K200,O200,S200,W200,AA200),0)),""))</f>
        <v/>
      </c>
      <c r="AC200">
        <f>IF($A200="","",IF(COUNT(G200,K200,O200,S200,W200,AA200)=0,"",MIN(G200,K200,O200,S200,W200,AA200)))</f>
        <v/>
      </c>
      <c r="AD200">
        <f>IF($A200="","",IFERROR(INDEX(CHOOSE({1,2,3,4,5,6},IFERROR(INDEX(Papers!$K$2:$K$12,MATCH($C200,Papers!$A$2:$A$12,0)),""),IFERROR(INDEX(Papers!$L$2:$L$12,MATCH($C200,Papers!$A$2:$A$12,0)),""),IFERROR(INDEX(Papers!$M$2:$M$12,MATCH($C200,Papers!$A$2:$A$12,0)),""),IFERROR(INDEX(Papers!$N$2:$N$12,MATCH($C200,Papers!$A$2:$A$12,0)),""),IFERROR(INDEX(Papers!$O$2:$O$12,MATCH($C200,Papers!$A$2:$A$12,0)),""),IFERROR(INDEX(Papers!$P$2:$P$12,MATCH($C200,Papers!$A$2:$A$12,0)),"")),MATCH(MIN(G200,K200,O200,S200,W200,AA200),CHOOSE({1,2,3,4,5,6},G200,K200,O200,S200,W200,AA200),0)),""))</f>
        <v/>
      </c>
      <c r="AE200">
        <f>IF(AC200="","",IF(AC200&lt;50,"Re-teach",IF(AC200&lt;75,"Practice more","Relatively secure")))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12" customWidth="1" min="4" max="4"/>
    <col width="12" customWidth="1" min="5" max="5"/>
    <col width="34" customWidth="1" min="6" max="6"/>
    <col width="22" customWidth="1" min="7" max="7"/>
    <col width="40" customWidth="1" min="8" max="8"/>
    <col width="36" customWidth="1" min="9" max="9"/>
    <col width="14" customWidth="1" min="10" max="10"/>
  </cols>
  <sheetData>
    <row r="1">
      <c r="A1" s="3" t="inlineStr">
        <is>
          <t>Attempt ID</t>
        </is>
      </c>
      <c r="B1" s="3" t="inlineStr">
        <is>
          <t>Q No</t>
        </is>
      </c>
      <c r="C1" s="3" t="inlineStr">
        <is>
          <t>Paper</t>
        </is>
      </c>
      <c r="D1" s="3" t="inlineStr">
        <is>
          <t>Candidate answer</t>
        </is>
      </c>
      <c r="E1" s="3" t="inlineStr">
        <is>
          <t>Correct answer</t>
        </is>
      </c>
      <c r="F1" s="3" t="inlineStr">
        <is>
          <t>Subtopic</t>
        </is>
      </c>
      <c r="G1" s="3" t="inlineStr">
        <is>
          <t>Error category</t>
        </is>
      </c>
      <c r="H1" s="3" t="inlineStr">
        <is>
          <t>Recommended remedial lesson</t>
        </is>
      </c>
      <c r="I1" s="3" t="inlineStr">
        <is>
          <t>Tutor note</t>
        </is>
      </c>
      <c r="J1" s="3" t="inlineStr">
        <is>
          <t>Remedial lesson done? (Y/N)</t>
        </is>
      </c>
    </row>
    <row r="2">
      <c r="A2" s="6" t="n"/>
      <c r="B2" s="6" t="n"/>
      <c r="C2">
        <f>IF(A2="","",IFERROR(INDEX(Attempts!$D$2:$D$200,MATCH(A2,Attempts!$A$2:$A$200,0)),"?"))</f>
        <v/>
      </c>
      <c r="D2">
        <f>IF(OR(A2="",B2=""),"",IFERROR(INDEX(Attempts!$M$2:$AP$200,MATCH(A2,Attempts!$A$2:$A$200,0),B2),""))</f>
        <v/>
      </c>
      <c r="E2">
        <f>IF(OR(C2="",B2=""),"",IFERROR(INDEX(Key!$C$2:$C$263,MATCH(C2*100+B2,Key!$G$2:$G$263,0)),""))</f>
        <v/>
      </c>
      <c r="F2">
        <f>IF(OR(C2="",B2=""),"",IFERROR(INDEX(Key!$E$2:$E$263,MATCH(C2*100+B2,Key!$G$2:$G$263,0)),""))</f>
        <v/>
      </c>
      <c r="G2" s="6" t="n"/>
      <c r="H2">
        <f>IF(OR(C2="",B2=""),"",IFERROR(INDEX(Papers!$K$2:$P$12,MATCH(C2,Papers!$A$2:$A$12,0),INDEX(Key!$D$2:$D$263,MATCH(C2*100+B2,Key!$G$2:$G$263,0))),""))</f>
        <v/>
      </c>
      <c r="I2" s="6" t="n"/>
      <c r="J2" s="6" t="n"/>
    </row>
    <row r="3">
      <c r="A3" s="6" t="n"/>
      <c r="B3" s="6" t="n"/>
      <c r="C3">
        <f>IF(A3="","",IFERROR(INDEX(Attempts!$D$2:$D$200,MATCH(A3,Attempts!$A$2:$A$200,0)),"?"))</f>
        <v/>
      </c>
      <c r="D3">
        <f>IF(OR(A3="",B3=""),"",IFERROR(INDEX(Attempts!$M$2:$AP$200,MATCH(A3,Attempts!$A$2:$A$200,0),B3),""))</f>
        <v/>
      </c>
      <c r="E3">
        <f>IF(OR(C3="",B3=""),"",IFERROR(INDEX(Key!$C$2:$C$263,MATCH(C3*100+B3,Key!$G$2:$G$263,0)),""))</f>
        <v/>
      </c>
      <c r="F3">
        <f>IF(OR(C3="",B3=""),"",IFERROR(INDEX(Key!$E$2:$E$263,MATCH(C3*100+B3,Key!$G$2:$G$263,0)),""))</f>
        <v/>
      </c>
      <c r="G3" s="6" t="n"/>
      <c r="H3">
        <f>IF(OR(C3="",B3=""),"",IFERROR(INDEX(Papers!$K$2:$P$12,MATCH(C3,Papers!$A$2:$A$12,0),INDEX(Key!$D$2:$D$263,MATCH(C3*100+B3,Key!$G$2:$G$263,0))),""))</f>
        <v/>
      </c>
      <c r="I3" s="6" t="n"/>
      <c r="J3" s="6" t="n"/>
    </row>
    <row r="4">
      <c r="A4" s="6" t="n"/>
      <c r="B4" s="6" t="n"/>
      <c r="C4">
        <f>IF(A4="","",IFERROR(INDEX(Attempts!$D$2:$D$200,MATCH(A4,Attempts!$A$2:$A$200,0)),"?"))</f>
        <v/>
      </c>
      <c r="D4">
        <f>IF(OR(A4="",B4=""),"",IFERROR(INDEX(Attempts!$M$2:$AP$200,MATCH(A4,Attempts!$A$2:$A$200,0),B4),""))</f>
        <v/>
      </c>
      <c r="E4">
        <f>IF(OR(C4="",B4=""),"",IFERROR(INDEX(Key!$C$2:$C$263,MATCH(C4*100+B4,Key!$G$2:$G$263,0)),""))</f>
        <v/>
      </c>
      <c r="F4">
        <f>IF(OR(C4="",B4=""),"",IFERROR(INDEX(Key!$E$2:$E$263,MATCH(C4*100+B4,Key!$G$2:$G$263,0)),""))</f>
        <v/>
      </c>
      <c r="G4" s="6" t="n"/>
      <c r="H4">
        <f>IF(OR(C4="",B4=""),"",IFERROR(INDEX(Papers!$K$2:$P$12,MATCH(C4,Papers!$A$2:$A$12,0),INDEX(Key!$D$2:$D$263,MATCH(C4*100+B4,Key!$G$2:$G$263,0))),""))</f>
        <v/>
      </c>
      <c r="I4" s="6" t="n"/>
      <c r="J4" s="6" t="n"/>
    </row>
    <row r="5">
      <c r="A5" s="6" t="n"/>
      <c r="B5" s="6" t="n"/>
      <c r="C5">
        <f>IF(A5="","",IFERROR(INDEX(Attempts!$D$2:$D$200,MATCH(A5,Attempts!$A$2:$A$200,0)),"?"))</f>
        <v/>
      </c>
      <c r="D5">
        <f>IF(OR(A5="",B5=""),"",IFERROR(INDEX(Attempts!$M$2:$AP$200,MATCH(A5,Attempts!$A$2:$A$200,0),B5),""))</f>
        <v/>
      </c>
      <c r="E5">
        <f>IF(OR(C5="",B5=""),"",IFERROR(INDEX(Key!$C$2:$C$263,MATCH(C5*100+B5,Key!$G$2:$G$263,0)),""))</f>
        <v/>
      </c>
      <c r="F5">
        <f>IF(OR(C5="",B5=""),"",IFERROR(INDEX(Key!$E$2:$E$263,MATCH(C5*100+B5,Key!$G$2:$G$263,0)),""))</f>
        <v/>
      </c>
      <c r="G5" s="6" t="n"/>
      <c r="H5">
        <f>IF(OR(C5="",B5=""),"",IFERROR(INDEX(Papers!$K$2:$P$12,MATCH(C5,Papers!$A$2:$A$12,0),INDEX(Key!$D$2:$D$263,MATCH(C5*100+B5,Key!$G$2:$G$263,0))),""))</f>
        <v/>
      </c>
      <c r="I5" s="6" t="n"/>
      <c r="J5" s="6" t="n"/>
    </row>
    <row r="6">
      <c r="A6" s="6" t="n"/>
      <c r="B6" s="6" t="n"/>
      <c r="C6">
        <f>IF(A6="","",IFERROR(INDEX(Attempts!$D$2:$D$200,MATCH(A6,Attempts!$A$2:$A$200,0)),"?"))</f>
        <v/>
      </c>
      <c r="D6">
        <f>IF(OR(A6="",B6=""),"",IFERROR(INDEX(Attempts!$M$2:$AP$200,MATCH(A6,Attempts!$A$2:$A$200,0),B6),""))</f>
        <v/>
      </c>
      <c r="E6">
        <f>IF(OR(C6="",B6=""),"",IFERROR(INDEX(Key!$C$2:$C$263,MATCH(C6*100+B6,Key!$G$2:$G$263,0)),""))</f>
        <v/>
      </c>
      <c r="F6">
        <f>IF(OR(C6="",B6=""),"",IFERROR(INDEX(Key!$E$2:$E$263,MATCH(C6*100+B6,Key!$G$2:$G$263,0)),""))</f>
        <v/>
      </c>
      <c r="G6" s="6" t="n"/>
      <c r="H6">
        <f>IF(OR(C6="",B6=""),"",IFERROR(INDEX(Papers!$K$2:$P$12,MATCH(C6,Papers!$A$2:$A$12,0),INDEX(Key!$D$2:$D$263,MATCH(C6*100+B6,Key!$G$2:$G$263,0))),""))</f>
        <v/>
      </c>
      <c r="I6" s="6" t="n"/>
      <c r="J6" s="6" t="n"/>
    </row>
    <row r="7">
      <c r="A7" s="6" t="n"/>
      <c r="B7" s="6" t="n"/>
      <c r="C7">
        <f>IF(A7="","",IFERROR(INDEX(Attempts!$D$2:$D$200,MATCH(A7,Attempts!$A$2:$A$200,0)),"?"))</f>
        <v/>
      </c>
      <c r="D7">
        <f>IF(OR(A7="",B7=""),"",IFERROR(INDEX(Attempts!$M$2:$AP$200,MATCH(A7,Attempts!$A$2:$A$200,0),B7),""))</f>
        <v/>
      </c>
      <c r="E7">
        <f>IF(OR(C7="",B7=""),"",IFERROR(INDEX(Key!$C$2:$C$263,MATCH(C7*100+B7,Key!$G$2:$G$263,0)),""))</f>
        <v/>
      </c>
      <c r="F7">
        <f>IF(OR(C7="",B7=""),"",IFERROR(INDEX(Key!$E$2:$E$263,MATCH(C7*100+B7,Key!$G$2:$G$263,0)),""))</f>
        <v/>
      </c>
      <c r="G7" s="6" t="n"/>
      <c r="H7">
        <f>IF(OR(C7="",B7=""),"",IFERROR(INDEX(Papers!$K$2:$P$12,MATCH(C7,Papers!$A$2:$A$12,0),INDEX(Key!$D$2:$D$263,MATCH(C7*100+B7,Key!$G$2:$G$263,0))),""))</f>
        <v/>
      </c>
      <c r="I7" s="6" t="n"/>
      <c r="J7" s="6" t="n"/>
    </row>
    <row r="8">
      <c r="A8" s="6" t="n"/>
      <c r="B8" s="6" t="n"/>
      <c r="C8">
        <f>IF(A8="","",IFERROR(INDEX(Attempts!$D$2:$D$200,MATCH(A8,Attempts!$A$2:$A$200,0)),"?"))</f>
        <v/>
      </c>
      <c r="D8">
        <f>IF(OR(A8="",B8=""),"",IFERROR(INDEX(Attempts!$M$2:$AP$200,MATCH(A8,Attempts!$A$2:$A$200,0),B8),""))</f>
        <v/>
      </c>
      <c r="E8">
        <f>IF(OR(C8="",B8=""),"",IFERROR(INDEX(Key!$C$2:$C$263,MATCH(C8*100+B8,Key!$G$2:$G$263,0)),""))</f>
        <v/>
      </c>
      <c r="F8">
        <f>IF(OR(C8="",B8=""),"",IFERROR(INDEX(Key!$E$2:$E$263,MATCH(C8*100+B8,Key!$G$2:$G$263,0)),""))</f>
        <v/>
      </c>
      <c r="G8" s="6" t="n"/>
      <c r="H8">
        <f>IF(OR(C8="",B8=""),"",IFERROR(INDEX(Papers!$K$2:$P$12,MATCH(C8,Papers!$A$2:$A$12,0),INDEX(Key!$D$2:$D$263,MATCH(C8*100+B8,Key!$G$2:$G$263,0))),""))</f>
        <v/>
      </c>
      <c r="I8" s="6" t="n"/>
      <c r="J8" s="6" t="n"/>
    </row>
    <row r="9">
      <c r="A9" s="6" t="n"/>
      <c r="B9" s="6" t="n"/>
      <c r="C9">
        <f>IF(A9="","",IFERROR(INDEX(Attempts!$D$2:$D$200,MATCH(A9,Attempts!$A$2:$A$200,0)),"?"))</f>
        <v/>
      </c>
      <c r="D9">
        <f>IF(OR(A9="",B9=""),"",IFERROR(INDEX(Attempts!$M$2:$AP$200,MATCH(A9,Attempts!$A$2:$A$200,0),B9),""))</f>
        <v/>
      </c>
      <c r="E9">
        <f>IF(OR(C9="",B9=""),"",IFERROR(INDEX(Key!$C$2:$C$263,MATCH(C9*100+B9,Key!$G$2:$G$263,0)),""))</f>
        <v/>
      </c>
      <c r="F9">
        <f>IF(OR(C9="",B9=""),"",IFERROR(INDEX(Key!$E$2:$E$263,MATCH(C9*100+B9,Key!$G$2:$G$263,0)),""))</f>
        <v/>
      </c>
      <c r="G9" s="6" t="n"/>
      <c r="H9">
        <f>IF(OR(C9="",B9=""),"",IFERROR(INDEX(Papers!$K$2:$P$12,MATCH(C9,Papers!$A$2:$A$12,0),INDEX(Key!$D$2:$D$263,MATCH(C9*100+B9,Key!$G$2:$G$263,0))),""))</f>
        <v/>
      </c>
      <c r="I9" s="6" t="n"/>
      <c r="J9" s="6" t="n"/>
    </row>
    <row r="10">
      <c r="A10" s="6" t="n"/>
      <c r="B10" s="6" t="n"/>
      <c r="C10">
        <f>IF(A10="","",IFERROR(INDEX(Attempts!$D$2:$D$200,MATCH(A10,Attempts!$A$2:$A$200,0)),"?"))</f>
        <v/>
      </c>
      <c r="D10">
        <f>IF(OR(A10="",B10=""),"",IFERROR(INDEX(Attempts!$M$2:$AP$200,MATCH(A10,Attempts!$A$2:$A$200,0),B10),""))</f>
        <v/>
      </c>
      <c r="E10">
        <f>IF(OR(C10="",B10=""),"",IFERROR(INDEX(Key!$C$2:$C$263,MATCH(C10*100+B10,Key!$G$2:$G$263,0)),""))</f>
        <v/>
      </c>
      <c r="F10">
        <f>IF(OR(C10="",B10=""),"",IFERROR(INDEX(Key!$E$2:$E$263,MATCH(C10*100+B10,Key!$G$2:$G$263,0)),""))</f>
        <v/>
      </c>
      <c r="G10" s="6" t="n"/>
      <c r="H10">
        <f>IF(OR(C10="",B10=""),"",IFERROR(INDEX(Papers!$K$2:$P$12,MATCH(C10,Papers!$A$2:$A$12,0),INDEX(Key!$D$2:$D$263,MATCH(C10*100+B10,Key!$G$2:$G$263,0))),""))</f>
        <v/>
      </c>
      <c r="I10" s="6" t="n"/>
      <c r="J10" s="6" t="n"/>
    </row>
    <row r="11">
      <c r="A11" s="6" t="n"/>
      <c r="B11" s="6" t="n"/>
      <c r="C11">
        <f>IF(A11="","",IFERROR(INDEX(Attempts!$D$2:$D$200,MATCH(A11,Attempts!$A$2:$A$200,0)),"?"))</f>
        <v/>
      </c>
      <c r="D11">
        <f>IF(OR(A11="",B11=""),"",IFERROR(INDEX(Attempts!$M$2:$AP$200,MATCH(A11,Attempts!$A$2:$A$200,0),B11),""))</f>
        <v/>
      </c>
      <c r="E11">
        <f>IF(OR(C11="",B11=""),"",IFERROR(INDEX(Key!$C$2:$C$263,MATCH(C11*100+B11,Key!$G$2:$G$263,0)),""))</f>
        <v/>
      </c>
      <c r="F11">
        <f>IF(OR(C11="",B11=""),"",IFERROR(INDEX(Key!$E$2:$E$263,MATCH(C11*100+B11,Key!$G$2:$G$263,0)),""))</f>
        <v/>
      </c>
      <c r="G11" s="6" t="n"/>
      <c r="H11">
        <f>IF(OR(C11="",B11=""),"",IFERROR(INDEX(Papers!$K$2:$P$12,MATCH(C11,Papers!$A$2:$A$12,0),INDEX(Key!$D$2:$D$263,MATCH(C11*100+B11,Key!$G$2:$G$263,0))),""))</f>
        <v/>
      </c>
      <c r="I11" s="6" t="n"/>
      <c r="J11" s="6" t="n"/>
    </row>
    <row r="12">
      <c r="A12" s="6" t="n"/>
      <c r="B12" s="6" t="n"/>
      <c r="C12">
        <f>IF(A12="","",IFERROR(INDEX(Attempts!$D$2:$D$200,MATCH(A12,Attempts!$A$2:$A$200,0)),"?"))</f>
        <v/>
      </c>
      <c r="D12">
        <f>IF(OR(A12="",B12=""),"",IFERROR(INDEX(Attempts!$M$2:$AP$200,MATCH(A12,Attempts!$A$2:$A$200,0),B12),""))</f>
        <v/>
      </c>
      <c r="E12">
        <f>IF(OR(C12="",B12=""),"",IFERROR(INDEX(Key!$C$2:$C$263,MATCH(C12*100+B12,Key!$G$2:$G$263,0)),""))</f>
        <v/>
      </c>
      <c r="F12">
        <f>IF(OR(C12="",B12=""),"",IFERROR(INDEX(Key!$E$2:$E$263,MATCH(C12*100+B12,Key!$G$2:$G$263,0)),""))</f>
        <v/>
      </c>
      <c r="G12" s="6" t="n"/>
      <c r="H12">
        <f>IF(OR(C12="",B12=""),"",IFERROR(INDEX(Papers!$K$2:$P$12,MATCH(C12,Papers!$A$2:$A$12,0),INDEX(Key!$D$2:$D$263,MATCH(C12*100+B12,Key!$G$2:$G$263,0))),""))</f>
        <v/>
      </c>
      <c r="I12" s="6" t="n"/>
      <c r="J12" s="6" t="n"/>
    </row>
    <row r="13">
      <c r="A13" s="6" t="n"/>
      <c r="B13" s="6" t="n"/>
      <c r="C13">
        <f>IF(A13="","",IFERROR(INDEX(Attempts!$D$2:$D$200,MATCH(A13,Attempts!$A$2:$A$200,0)),"?"))</f>
        <v/>
      </c>
      <c r="D13">
        <f>IF(OR(A13="",B13=""),"",IFERROR(INDEX(Attempts!$M$2:$AP$200,MATCH(A13,Attempts!$A$2:$A$200,0),B13),""))</f>
        <v/>
      </c>
      <c r="E13">
        <f>IF(OR(C13="",B13=""),"",IFERROR(INDEX(Key!$C$2:$C$263,MATCH(C13*100+B13,Key!$G$2:$G$263,0)),""))</f>
        <v/>
      </c>
      <c r="F13">
        <f>IF(OR(C13="",B13=""),"",IFERROR(INDEX(Key!$E$2:$E$263,MATCH(C13*100+B13,Key!$G$2:$G$263,0)),""))</f>
        <v/>
      </c>
      <c r="G13" s="6" t="n"/>
      <c r="H13">
        <f>IF(OR(C13="",B13=""),"",IFERROR(INDEX(Papers!$K$2:$P$12,MATCH(C13,Papers!$A$2:$A$12,0),INDEX(Key!$D$2:$D$263,MATCH(C13*100+B13,Key!$G$2:$G$263,0))),""))</f>
        <v/>
      </c>
      <c r="I13" s="6" t="n"/>
      <c r="J13" s="6" t="n"/>
    </row>
    <row r="14">
      <c r="A14" s="6" t="n"/>
      <c r="B14" s="6" t="n"/>
      <c r="C14">
        <f>IF(A14="","",IFERROR(INDEX(Attempts!$D$2:$D$200,MATCH(A14,Attempts!$A$2:$A$200,0)),"?"))</f>
        <v/>
      </c>
      <c r="D14">
        <f>IF(OR(A14="",B14=""),"",IFERROR(INDEX(Attempts!$M$2:$AP$200,MATCH(A14,Attempts!$A$2:$A$200,0),B14),""))</f>
        <v/>
      </c>
      <c r="E14">
        <f>IF(OR(C14="",B14=""),"",IFERROR(INDEX(Key!$C$2:$C$263,MATCH(C14*100+B14,Key!$G$2:$G$263,0)),""))</f>
        <v/>
      </c>
      <c r="F14">
        <f>IF(OR(C14="",B14=""),"",IFERROR(INDEX(Key!$E$2:$E$263,MATCH(C14*100+B14,Key!$G$2:$G$263,0)),""))</f>
        <v/>
      </c>
      <c r="G14" s="6" t="n"/>
      <c r="H14">
        <f>IF(OR(C14="",B14=""),"",IFERROR(INDEX(Papers!$K$2:$P$12,MATCH(C14,Papers!$A$2:$A$12,0),INDEX(Key!$D$2:$D$263,MATCH(C14*100+B14,Key!$G$2:$G$263,0))),""))</f>
        <v/>
      </c>
      <c r="I14" s="6" t="n"/>
      <c r="J14" s="6" t="n"/>
    </row>
    <row r="15">
      <c r="A15" s="6" t="n"/>
      <c r="B15" s="6" t="n"/>
      <c r="C15">
        <f>IF(A15="","",IFERROR(INDEX(Attempts!$D$2:$D$200,MATCH(A15,Attempts!$A$2:$A$200,0)),"?"))</f>
        <v/>
      </c>
      <c r="D15">
        <f>IF(OR(A15="",B15=""),"",IFERROR(INDEX(Attempts!$M$2:$AP$200,MATCH(A15,Attempts!$A$2:$A$200,0),B15),""))</f>
        <v/>
      </c>
      <c r="E15">
        <f>IF(OR(C15="",B15=""),"",IFERROR(INDEX(Key!$C$2:$C$263,MATCH(C15*100+B15,Key!$G$2:$G$263,0)),""))</f>
        <v/>
      </c>
      <c r="F15">
        <f>IF(OR(C15="",B15=""),"",IFERROR(INDEX(Key!$E$2:$E$263,MATCH(C15*100+B15,Key!$G$2:$G$263,0)),""))</f>
        <v/>
      </c>
      <c r="G15" s="6" t="n"/>
      <c r="H15">
        <f>IF(OR(C15="",B15=""),"",IFERROR(INDEX(Papers!$K$2:$P$12,MATCH(C15,Papers!$A$2:$A$12,0),INDEX(Key!$D$2:$D$263,MATCH(C15*100+B15,Key!$G$2:$G$263,0))),""))</f>
        <v/>
      </c>
      <c r="I15" s="6" t="n"/>
      <c r="J15" s="6" t="n"/>
    </row>
    <row r="16">
      <c r="A16" s="6" t="n"/>
      <c r="B16" s="6" t="n"/>
      <c r="C16">
        <f>IF(A16="","",IFERROR(INDEX(Attempts!$D$2:$D$200,MATCH(A16,Attempts!$A$2:$A$200,0)),"?"))</f>
        <v/>
      </c>
      <c r="D16">
        <f>IF(OR(A16="",B16=""),"",IFERROR(INDEX(Attempts!$M$2:$AP$200,MATCH(A16,Attempts!$A$2:$A$200,0),B16),""))</f>
        <v/>
      </c>
      <c r="E16">
        <f>IF(OR(C16="",B16=""),"",IFERROR(INDEX(Key!$C$2:$C$263,MATCH(C16*100+B16,Key!$G$2:$G$263,0)),""))</f>
        <v/>
      </c>
      <c r="F16">
        <f>IF(OR(C16="",B16=""),"",IFERROR(INDEX(Key!$E$2:$E$263,MATCH(C16*100+B16,Key!$G$2:$G$263,0)),""))</f>
        <v/>
      </c>
      <c r="G16" s="6" t="n"/>
      <c r="H16">
        <f>IF(OR(C16="",B16=""),"",IFERROR(INDEX(Papers!$K$2:$P$12,MATCH(C16,Papers!$A$2:$A$12,0),INDEX(Key!$D$2:$D$263,MATCH(C16*100+B16,Key!$G$2:$G$263,0))),""))</f>
        <v/>
      </c>
      <c r="I16" s="6" t="n"/>
      <c r="J16" s="6" t="n"/>
    </row>
    <row r="17">
      <c r="A17" s="6" t="n"/>
      <c r="B17" s="6" t="n"/>
      <c r="C17">
        <f>IF(A17="","",IFERROR(INDEX(Attempts!$D$2:$D$200,MATCH(A17,Attempts!$A$2:$A$200,0)),"?"))</f>
        <v/>
      </c>
      <c r="D17">
        <f>IF(OR(A17="",B17=""),"",IFERROR(INDEX(Attempts!$M$2:$AP$200,MATCH(A17,Attempts!$A$2:$A$200,0),B17),""))</f>
        <v/>
      </c>
      <c r="E17">
        <f>IF(OR(C17="",B17=""),"",IFERROR(INDEX(Key!$C$2:$C$263,MATCH(C17*100+B17,Key!$G$2:$G$263,0)),""))</f>
        <v/>
      </c>
      <c r="F17">
        <f>IF(OR(C17="",B17=""),"",IFERROR(INDEX(Key!$E$2:$E$263,MATCH(C17*100+B17,Key!$G$2:$G$263,0)),""))</f>
        <v/>
      </c>
      <c r="G17" s="6" t="n"/>
      <c r="H17">
        <f>IF(OR(C17="",B17=""),"",IFERROR(INDEX(Papers!$K$2:$P$12,MATCH(C17,Papers!$A$2:$A$12,0),INDEX(Key!$D$2:$D$263,MATCH(C17*100+B17,Key!$G$2:$G$263,0))),""))</f>
        <v/>
      </c>
      <c r="I17" s="6" t="n"/>
      <c r="J17" s="6" t="n"/>
    </row>
    <row r="18">
      <c r="A18" s="6" t="n"/>
      <c r="B18" s="6" t="n"/>
      <c r="C18">
        <f>IF(A18="","",IFERROR(INDEX(Attempts!$D$2:$D$200,MATCH(A18,Attempts!$A$2:$A$200,0)),"?"))</f>
        <v/>
      </c>
      <c r="D18">
        <f>IF(OR(A18="",B18=""),"",IFERROR(INDEX(Attempts!$M$2:$AP$200,MATCH(A18,Attempts!$A$2:$A$200,0),B18),""))</f>
        <v/>
      </c>
      <c r="E18">
        <f>IF(OR(C18="",B18=""),"",IFERROR(INDEX(Key!$C$2:$C$263,MATCH(C18*100+B18,Key!$G$2:$G$263,0)),""))</f>
        <v/>
      </c>
      <c r="F18">
        <f>IF(OR(C18="",B18=""),"",IFERROR(INDEX(Key!$E$2:$E$263,MATCH(C18*100+B18,Key!$G$2:$G$263,0)),""))</f>
        <v/>
      </c>
      <c r="G18" s="6" t="n"/>
      <c r="H18">
        <f>IF(OR(C18="",B18=""),"",IFERROR(INDEX(Papers!$K$2:$P$12,MATCH(C18,Papers!$A$2:$A$12,0),INDEX(Key!$D$2:$D$263,MATCH(C18*100+B18,Key!$G$2:$G$263,0))),""))</f>
        <v/>
      </c>
      <c r="I18" s="6" t="n"/>
      <c r="J18" s="6" t="n"/>
    </row>
    <row r="19">
      <c r="A19" s="6" t="n"/>
      <c r="B19" s="6" t="n"/>
      <c r="C19">
        <f>IF(A19="","",IFERROR(INDEX(Attempts!$D$2:$D$200,MATCH(A19,Attempts!$A$2:$A$200,0)),"?"))</f>
        <v/>
      </c>
      <c r="D19">
        <f>IF(OR(A19="",B19=""),"",IFERROR(INDEX(Attempts!$M$2:$AP$200,MATCH(A19,Attempts!$A$2:$A$200,0),B19),""))</f>
        <v/>
      </c>
      <c r="E19">
        <f>IF(OR(C19="",B19=""),"",IFERROR(INDEX(Key!$C$2:$C$263,MATCH(C19*100+B19,Key!$G$2:$G$263,0)),""))</f>
        <v/>
      </c>
      <c r="F19">
        <f>IF(OR(C19="",B19=""),"",IFERROR(INDEX(Key!$E$2:$E$263,MATCH(C19*100+B19,Key!$G$2:$G$263,0)),""))</f>
        <v/>
      </c>
      <c r="G19" s="6" t="n"/>
      <c r="H19">
        <f>IF(OR(C19="",B19=""),"",IFERROR(INDEX(Papers!$K$2:$P$12,MATCH(C19,Papers!$A$2:$A$12,0),INDEX(Key!$D$2:$D$263,MATCH(C19*100+B19,Key!$G$2:$G$263,0))),""))</f>
        <v/>
      </c>
      <c r="I19" s="6" t="n"/>
      <c r="J19" s="6" t="n"/>
    </row>
    <row r="20">
      <c r="A20" s="6" t="n"/>
      <c r="B20" s="6" t="n"/>
      <c r="C20">
        <f>IF(A20="","",IFERROR(INDEX(Attempts!$D$2:$D$200,MATCH(A20,Attempts!$A$2:$A$200,0)),"?"))</f>
        <v/>
      </c>
      <c r="D20">
        <f>IF(OR(A20="",B20=""),"",IFERROR(INDEX(Attempts!$M$2:$AP$200,MATCH(A20,Attempts!$A$2:$A$200,0),B20),""))</f>
        <v/>
      </c>
      <c r="E20">
        <f>IF(OR(C20="",B20=""),"",IFERROR(INDEX(Key!$C$2:$C$263,MATCH(C20*100+B20,Key!$G$2:$G$263,0)),""))</f>
        <v/>
      </c>
      <c r="F20">
        <f>IF(OR(C20="",B20=""),"",IFERROR(INDEX(Key!$E$2:$E$263,MATCH(C20*100+B20,Key!$G$2:$G$263,0)),""))</f>
        <v/>
      </c>
      <c r="G20" s="6" t="n"/>
      <c r="H20">
        <f>IF(OR(C20="",B20=""),"",IFERROR(INDEX(Papers!$K$2:$P$12,MATCH(C20,Papers!$A$2:$A$12,0),INDEX(Key!$D$2:$D$263,MATCH(C20*100+B20,Key!$G$2:$G$263,0))),""))</f>
        <v/>
      </c>
      <c r="I20" s="6" t="n"/>
      <c r="J20" s="6" t="n"/>
    </row>
    <row r="21">
      <c r="A21" s="6" t="n"/>
      <c r="B21" s="6" t="n"/>
      <c r="C21">
        <f>IF(A21="","",IFERROR(INDEX(Attempts!$D$2:$D$200,MATCH(A21,Attempts!$A$2:$A$200,0)),"?"))</f>
        <v/>
      </c>
      <c r="D21">
        <f>IF(OR(A21="",B21=""),"",IFERROR(INDEX(Attempts!$M$2:$AP$200,MATCH(A21,Attempts!$A$2:$A$200,0),B21),""))</f>
        <v/>
      </c>
      <c r="E21">
        <f>IF(OR(C21="",B21=""),"",IFERROR(INDEX(Key!$C$2:$C$263,MATCH(C21*100+B21,Key!$G$2:$G$263,0)),""))</f>
        <v/>
      </c>
      <c r="F21">
        <f>IF(OR(C21="",B21=""),"",IFERROR(INDEX(Key!$E$2:$E$263,MATCH(C21*100+B21,Key!$G$2:$G$263,0)),""))</f>
        <v/>
      </c>
      <c r="G21" s="6" t="n"/>
      <c r="H21">
        <f>IF(OR(C21="",B21=""),"",IFERROR(INDEX(Papers!$K$2:$P$12,MATCH(C21,Papers!$A$2:$A$12,0),INDEX(Key!$D$2:$D$263,MATCH(C21*100+B21,Key!$G$2:$G$263,0))),""))</f>
        <v/>
      </c>
      <c r="I21" s="6" t="n"/>
      <c r="J21" s="6" t="n"/>
    </row>
    <row r="22">
      <c r="A22" s="6" t="n"/>
      <c r="B22" s="6" t="n"/>
      <c r="C22">
        <f>IF(A22="","",IFERROR(INDEX(Attempts!$D$2:$D$200,MATCH(A22,Attempts!$A$2:$A$200,0)),"?"))</f>
        <v/>
      </c>
      <c r="D22">
        <f>IF(OR(A22="",B22=""),"",IFERROR(INDEX(Attempts!$M$2:$AP$200,MATCH(A22,Attempts!$A$2:$A$200,0),B22),""))</f>
        <v/>
      </c>
      <c r="E22">
        <f>IF(OR(C22="",B22=""),"",IFERROR(INDEX(Key!$C$2:$C$263,MATCH(C22*100+B22,Key!$G$2:$G$263,0)),""))</f>
        <v/>
      </c>
      <c r="F22">
        <f>IF(OR(C22="",B22=""),"",IFERROR(INDEX(Key!$E$2:$E$263,MATCH(C22*100+B22,Key!$G$2:$G$263,0)),""))</f>
        <v/>
      </c>
      <c r="G22" s="6" t="n"/>
      <c r="H22">
        <f>IF(OR(C22="",B22=""),"",IFERROR(INDEX(Papers!$K$2:$P$12,MATCH(C22,Papers!$A$2:$A$12,0),INDEX(Key!$D$2:$D$263,MATCH(C22*100+B22,Key!$G$2:$G$263,0))),""))</f>
        <v/>
      </c>
      <c r="I22" s="6" t="n"/>
      <c r="J22" s="6" t="n"/>
    </row>
    <row r="23">
      <c r="A23" s="6" t="n"/>
      <c r="B23" s="6" t="n"/>
      <c r="C23">
        <f>IF(A23="","",IFERROR(INDEX(Attempts!$D$2:$D$200,MATCH(A23,Attempts!$A$2:$A$200,0)),"?"))</f>
        <v/>
      </c>
      <c r="D23">
        <f>IF(OR(A23="",B23=""),"",IFERROR(INDEX(Attempts!$M$2:$AP$200,MATCH(A23,Attempts!$A$2:$A$200,0),B23),""))</f>
        <v/>
      </c>
      <c r="E23">
        <f>IF(OR(C23="",B23=""),"",IFERROR(INDEX(Key!$C$2:$C$263,MATCH(C23*100+B23,Key!$G$2:$G$263,0)),""))</f>
        <v/>
      </c>
      <c r="F23">
        <f>IF(OR(C23="",B23=""),"",IFERROR(INDEX(Key!$E$2:$E$263,MATCH(C23*100+B23,Key!$G$2:$G$263,0)),""))</f>
        <v/>
      </c>
      <c r="G23" s="6" t="n"/>
      <c r="H23">
        <f>IF(OR(C23="",B23=""),"",IFERROR(INDEX(Papers!$K$2:$P$12,MATCH(C23,Papers!$A$2:$A$12,0),INDEX(Key!$D$2:$D$263,MATCH(C23*100+B23,Key!$G$2:$G$263,0))),""))</f>
        <v/>
      </c>
      <c r="I23" s="6" t="n"/>
      <c r="J23" s="6" t="n"/>
    </row>
    <row r="24">
      <c r="A24" s="6" t="n"/>
      <c r="B24" s="6" t="n"/>
      <c r="C24">
        <f>IF(A24="","",IFERROR(INDEX(Attempts!$D$2:$D$200,MATCH(A24,Attempts!$A$2:$A$200,0)),"?"))</f>
        <v/>
      </c>
      <c r="D24">
        <f>IF(OR(A24="",B24=""),"",IFERROR(INDEX(Attempts!$M$2:$AP$200,MATCH(A24,Attempts!$A$2:$A$200,0),B24),""))</f>
        <v/>
      </c>
      <c r="E24">
        <f>IF(OR(C24="",B24=""),"",IFERROR(INDEX(Key!$C$2:$C$263,MATCH(C24*100+B24,Key!$G$2:$G$263,0)),""))</f>
        <v/>
      </c>
      <c r="F24">
        <f>IF(OR(C24="",B24=""),"",IFERROR(INDEX(Key!$E$2:$E$263,MATCH(C24*100+B24,Key!$G$2:$G$263,0)),""))</f>
        <v/>
      </c>
      <c r="G24" s="6" t="n"/>
      <c r="H24">
        <f>IF(OR(C24="",B24=""),"",IFERROR(INDEX(Papers!$K$2:$P$12,MATCH(C24,Papers!$A$2:$A$12,0),INDEX(Key!$D$2:$D$263,MATCH(C24*100+B24,Key!$G$2:$G$263,0))),""))</f>
        <v/>
      </c>
      <c r="I24" s="6" t="n"/>
      <c r="J24" s="6" t="n"/>
    </row>
    <row r="25">
      <c r="A25" s="6" t="n"/>
      <c r="B25" s="6" t="n"/>
      <c r="C25">
        <f>IF(A25="","",IFERROR(INDEX(Attempts!$D$2:$D$200,MATCH(A25,Attempts!$A$2:$A$200,0)),"?"))</f>
        <v/>
      </c>
      <c r="D25">
        <f>IF(OR(A25="",B25=""),"",IFERROR(INDEX(Attempts!$M$2:$AP$200,MATCH(A25,Attempts!$A$2:$A$200,0),B25),""))</f>
        <v/>
      </c>
      <c r="E25">
        <f>IF(OR(C25="",B25=""),"",IFERROR(INDEX(Key!$C$2:$C$263,MATCH(C25*100+B25,Key!$G$2:$G$263,0)),""))</f>
        <v/>
      </c>
      <c r="F25">
        <f>IF(OR(C25="",B25=""),"",IFERROR(INDEX(Key!$E$2:$E$263,MATCH(C25*100+B25,Key!$G$2:$G$263,0)),""))</f>
        <v/>
      </c>
      <c r="G25" s="6" t="n"/>
      <c r="H25">
        <f>IF(OR(C25="",B25=""),"",IFERROR(INDEX(Papers!$K$2:$P$12,MATCH(C25,Papers!$A$2:$A$12,0),INDEX(Key!$D$2:$D$263,MATCH(C25*100+B25,Key!$G$2:$G$263,0))),""))</f>
        <v/>
      </c>
      <c r="I25" s="6" t="n"/>
      <c r="J25" s="6" t="n"/>
    </row>
    <row r="26">
      <c r="A26" s="6" t="n"/>
      <c r="B26" s="6" t="n"/>
      <c r="C26">
        <f>IF(A26="","",IFERROR(INDEX(Attempts!$D$2:$D$200,MATCH(A26,Attempts!$A$2:$A$200,0)),"?"))</f>
        <v/>
      </c>
      <c r="D26">
        <f>IF(OR(A26="",B26=""),"",IFERROR(INDEX(Attempts!$M$2:$AP$200,MATCH(A26,Attempts!$A$2:$A$200,0),B26),""))</f>
        <v/>
      </c>
      <c r="E26">
        <f>IF(OR(C26="",B26=""),"",IFERROR(INDEX(Key!$C$2:$C$263,MATCH(C26*100+B26,Key!$G$2:$G$263,0)),""))</f>
        <v/>
      </c>
      <c r="F26">
        <f>IF(OR(C26="",B26=""),"",IFERROR(INDEX(Key!$E$2:$E$263,MATCH(C26*100+B26,Key!$G$2:$G$263,0)),""))</f>
        <v/>
      </c>
      <c r="G26" s="6" t="n"/>
      <c r="H26">
        <f>IF(OR(C26="",B26=""),"",IFERROR(INDEX(Papers!$K$2:$P$12,MATCH(C26,Papers!$A$2:$A$12,0),INDEX(Key!$D$2:$D$263,MATCH(C26*100+B26,Key!$G$2:$G$263,0))),""))</f>
        <v/>
      </c>
      <c r="I26" s="6" t="n"/>
      <c r="J26" s="6" t="n"/>
    </row>
    <row r="27">
      <c r="A27" s="6" t="n"/>
      <c r="B27" s="6" t="n"/>
      <c r="C27">
        <f>IF(A27="","",IFERROR(INDEX(Attempts!$D$2:$D$200,MATCH(A27,Attempts!$A$2:$A$200,0)),"?"))</f>
        <v/>
      </c>
      <c r="D27">
        <f>IF(OR(A27="",B27=""),"",IFERROR(INDEX(Attempts!$M$2:$AP$200,MATCH(A27,Attempts!$A$2:$A$200,0),B27),""))</f>
        <v/>
      </c>
      <c r="E27">
        <f>IF(OR(C27="",B27=""),"",IFERROR(INDEX(Key!$C$2:$C$263,MATCH(C27*100+B27,Key!$G$2:$G$263,0)),""))</f>
        <v/>
      </c>
      <c r="F27">
        <f>IF(OR(C27="",B27=""),"",IFERROR(INDEX(Key!$E$2:$E$263,MATCH(C27*100+B27,Key!$G$2:$G$263,0)),""))</f>
        <v/>
      </c>
      <c r="G27" s="6" t="n"/>
      <c r="H27">
        <f>IF(OR(C27="",B27=""),"",IFERROR(INDEX(Papers!$K$2:$P$12,MATCH(C27,Papers!$A$2:$A$12,0),INDEX(Key!$D$2:$D$263,MATCH(C27*100+B27,Key!$G$2:$G$263,0))),""))</f>
        <v/>
      </c>
      <c r="I27" s="6" t="n"/>
      <c r="J27" s="6" t="n"/>
    </row>
    <row r="28">
      <c r="A28" s="6" t="n"/>
      <c r="B28" s="6" t="n"/>
      <c r="C28">
        <f>IF(A28="","",IFERROR(INDEX(Attempts!$D$2:$D$200,MATCH(A28,Attempts!$A$2:$A$200,0)),"?"))</f>
        <v/>
      </c>
      <c r="D28">
        <f>IF(OR(A28="",B28=""),"",IFERROR(INDEX(Attempts!$M$2:$AP$200,MATCH(A28,Attempts!$A$2:$A$200,0),B28),""))</f>
        <v/>
      </c>
      <c r="E28">
        <f>IF(OR(C28="",B28=""),"",IFERROR(INDEX(Key!$C$2:$C$263,MATCH(C28*100+B28,Key!$G$2:$G$263,0)),""))</f>
        <v/>
      </c>
      <c r="F28">
        <f>IF(OR(C28="",B28=""),"",IFERROR(INDEX(Key!$E$2:$E$263,MATCH(C28*100+B28,Key!$G$2:$G$263,0)),""))</f>
        <v/>
      </c>
      <c r="G28" s="6" t="n"/>
      <c r="H28">
        <f>IF(OR(C28="",B28=""),"",IFERROR(INDEX(Papers!$K$2:$P$12,MATCH(C28,Papers!$A$2:$A$12,0),INDEX(Key!$D$2:$D$263,MATCH(C28*100+B28,Key!$G$2:$G$263,0))),""))</f>
        <v/>
      </c>
      <c r="I28" s="6" t="n"/>
      <c r="J28" s="6" t="n"/>
    </row>
    <row r="29">
      <c r="A29" s="6" t="n"/>
      <c r="B29" s="6" t="n"/>
      <c r="C29">
        <f>IF(A29="","",IFERROR(INDEX(Attempts!$D$2:$D$200,MATCH(A29,Attempts!$A$2:$A$200,0)),"?"))</f>
        <v/>
      </c>
      <c r="D29">
        <f>IF(OR(A29="",B29=""),"",IFERROR(INDEX(Attempts!$M$2:$AP$200,MATCH(A29,Attempts!$A$2:$A$200,0),B29),""))</f>
        <v/>
      </c>
      <c r="E29">
        <f>IF(OR(C29="",B29=""),"",IFERROR(INDEX(Key!$C$2:$C$263,MATCH(C29*100+B29,Key!$G$2:$G$263,0)),""))</f>
        <v/>
      </c>
      <c r="F29">
        <f>IF(OR(C29="",B29=""),"",IFERROR(INDEX(Key!$E$2:$E$263,MATCH(C29*100+B29,Key!$G$2:$G$263,0)),""))</f>
        <v/>
      </c>
      <c r="G29" s="6" t="n"/>
      <c r="H29">
        <f>IF(OR(C29="",B29=""),"",IFERROR(INDEX(Papers!$K$2:$P$12,MATCH(C29,Papers!$A$2:$A$12,0),INDEX(Key!$D$2:$D$263,MATCH(C29*100+B29,Key!$G$2:$G$263,0))),""))</f>
        <v/>
      </c>
      <c r="I29" s="6" t="n"/>
      <c r="J29" s="6" t="n"/>
    </row>
    <row r="30">
      <c r="A30" s="6" t="n"/>
      <c r="B30" s="6" t="n"/>
      <c r="C30">
        <f>IF(A30="","",IFERROR(INDEX(Attempts!$D$2:$D$200,MATCH(A30,Attempts!$A$2:$A$200,0)),"?"))</f>
        <v/>
      </c>
      <c r="D30">
        <f>IF(OR(A30="",B30=""),"",IFERROR(INDEX(Attempts!$M$2:$AP$200,MATCH(A30,Attempts!$A$2:$A$200,0),B30),""))</f>
        <v/>
      </c>
      <c r="E30">
        <f>IF(OR(C30="",B30=""),"",IFERROR(INDEX(Key!$C$2:$C$263,MATCH(C30*100+B30,Key!$G$2:$G$263,0)),""))</f>
        <v/>
      </c>
      <c r="F30">
        <f>IF(OR(C30="",B30=""),"",IFERROR(INDEX(Key!$E$2:$E$263,MATCH(C30*100+B30,Key!$G$2:$G$263,0)),""))</f>
        <v/>
      </c>
      <c r="G30" s="6" t="n"/>
      <c r="H30">
        <f>IF(OR(C30="",B30=""),"",IFERROR(INDEX(Papers!$K$2:$P$12,MATCH(C30,Papers!$A$2:$A$12,0),INDEX(Key!$D$2:$D$263,MATCH(C30*100+B30,Key!$G$2:$G$263,0))),""))</f>
        <v/>
      </c>
      <c r="I30" s="6" t="n"/>
      <c r="J30" s="6" t="n"/>
    </row>
    <row r="31">
      <c r="A31" s="6" t="n"/>
      <c r="B31" s="6" t="n"/>
      <c r="C31">
        <f>IF(A31="","",IFERROR(INDEX(Attempts!$D$2:$D$200,MATCH(A31,Attempts!$A$2:$A$200,0)),"?"))</f>
        <v/>
      </c>
      <c r="D31">
        <f>IF(OR(A31="",B31=""),"",IFERROR(INDEX(Attempts!$M$2:$AP$200,MATCH(A31,Attempts!$A$2:$A$200,0),B31),""))</f>
        <v/>
      </c>
      <c r="E31">
        <f>IF(OR(C31="",B31=""),"",IFERROR(INDEX(Key!$C$2:$C$263,MATCH(C31*100+B31,Key!$G$2:$G$263,0)),""))</f>
        <v/>
      </c>
      <c r="F31">
        <f>IF(OR(C31="",B31=""),"",IFERROR(INDEX(Key!$E$2:$E$263,MATCH(C31*100+B31,Key!$G$2:$G$263,0)),""))</f>
        <v/>
      </c>
      <c r="G31" s="6" t="n"/>
      <c r="H31">
        <f>IF(OR(C31="",B31=""),"",IFERROR(INDEX(Papers!$K$2:$P$12,MATCH(C31,Papers!$A$2:$A$12,0),INDEX(Key!$D$2:$D$263,MATCH(C31*100+B31,Key!$G$2:$G$263,0))),""))</f>
        <v/>
      </c>
      <c r="I31" s="6" t="n"/>
      <c r="J31" s="6" t="n"/>
    </row>
    <row r="32">
      <c r="A32" s="6" t="n"/>
      <c r="B32" s="6" t="n"/>
      <c r="C32">
        <f>IF(A32="","",IFERROR(INDEX(Attempts!$D$2:$D$200,MATCH(A32,Attempts!$A$2:$A$200,0)),"?"))</f>
        <v/>
      </c>
      <c r="D32">
        <f>IF(OR(A32="",B32=""),"",IFERROR(INDEX(Attempts!$M$2:$AP$200,MATCH(A32,Attempts!$A$2:$A$200,0),B32),""))</f>
        <v/>
      </c>
      <c r="E32">
        <f>IF(OR(C32="",B32=""),"",IFERROR(INDEX(Key!$C$2:$C$263,MATCH(C32*100+B32,Key!$G$2:$G$263,0)),""))</f>
        <v/>
      </c>
      <c r="F32">
        <f>IF(OR(C32="",B32=""),"",IFERROR(INDEX(Key!$E$2:$E$263,MATCH(C32*100+B32,Key!$G$2:$G$263,0)),""))</f>
        <v/>
      </c>
      <c r="G32" s="6" t="n"/>
      <c r="H32">
        <f>IF(OR(C32="",B32=""),"",IFERROR(INDEX(Papers!$K$2:$P$12,MATCH(C32,Papers!$A$2:$A$12,0),INDEX(Key!$D$2:$D$263,MATCH(C32*100+B32,Key!$G$2:$G$263,0))),""))</f>
        <v/>
      </c>
      <c r="I32" s="6" t="n"/>
      <c r="J32" s="6" t="n"/>
    </row>
    <row r="33">
      <c r="A33" s="6" t="n"/>
      <c r="B33" s="6" t="n"/>
      <c r="C33">
        <f>IF(A33="","",IFERROR(INDEX(Attempts!$D$2:$D$200,MATCH(A33,Attempts!$A$2:$A$200,0)),"?"))</f>
        <v/>
      </c>
      <c r="D33">
        <f>IF(OR(A33="",B33=""),"",IFERROR(INDEX(Attempts!$M$2:$AP$200,MATCH(A33,Attempts!$A$2:$A$200,0),B33),""))</f>
        <v/>
      </c>
      <c r="E33">
        <f>IF(OR(C33="",B33=""),"",IFERROR(INDEX(Key!$C$2:$C$263,MATCH(C33*100+B33,Key!$G$2:$G$263,0)),""))</f>
        <v/>
      </c>
      <c r="F33">
        <f>IF(OR(C33="",B33=""),"",IFERROR(INDEX(Key!$E$2:$E$263,MATCH(C33*100+B33,Key!$G$2:$G$263,0)),""))</f>
        <v/>
      </c>
      <c r="G33" s="6" t="n"/>
      <c r="H33">
        <f>IF(OR(C33="",B33=""),"",IFERROR(INDEX(Papers!$K$2:$P$12,MATCH(C33,Papers!$A$2:$A$12,0),INDEX(Key!$D$2:$D$263,MATCH(C33*100+B33,Key!$G$2:$G$263,0))),""))</f>
        <v/>
      </c>
      <c r="I33" s="6" t="n"/>
      <c r="J33" s="6" t="n"/>
    </row>
    <row r="34">
      <c r="A34" s="6" t="n"/>
      <c r="B34" s="6" t="n"/>
      <c r="C34">
        <f>IF(A34="","",IFERROR(INDEX(Attempts!$D$2:$D$200,MATCH(A34,Attempts!$A$2:$A$200,0)),"?"))</f>
        <v/>
      </c>
      <c r="D34">
        <f>IF(OR(A34="",B34=""),"",IFERROR(INDEX(Attempts!$M$2:$AP$200,MATCH(A34,Attempts!$A$2:$A$200,0),B34),""))</f>
        <v/>
      </c>
      <c r="E34">
        <f>IF(OR(C34="",B34=""),"",IFERROR(INDEX(Key!$C$2:$C$263,MATCH(C34*100+B34,Key!$G$2:$G$263,0)),""))</f>
        <v/>
      </c>
      <c r="F34">
        <f>IF(OR(C34="",B34=""),"",IFERROR(INDEX(Key!$E$2:$E$263,MATCH(C34*100+B34,Key!$G$2:$G$263,0)),""))</f>
        <v/>
      </c>
      <c r="G34" s="6" t="n"/>
      <c r="H34">
        <f>IF(OR(C34="",B34=""),"",IFERROR(INDEX(Papers!$K$2:$P$12,MATCH(C34,Papers!$A$2:$A$12,0),INDEX(Key!$D$2:$D$263,MATCH(C34*100+B34,Key!$G$2:$G$263,0))),""))</f>
        <v/>
      </c>
      <c r="I34" s="6" t="n"/>
      <c r="J34" s="6" t="n"/>
    </row>
    <row r="35">
      <c r="A35" s="6" t="n"/>
      <c r="B35" s="6" t="n"/>
      <c r="C35">
        <f>IF(A35="","",IFERROR(INDEX(Attempts!$D$2:$D$200,MATCH(A35,Attempts!$A$2:$A$200,0)),"?"))</f>
        <v/>
      </c>
      <c r="D35">
        <f>IF(OR(A35="",B35=""),"",IFERROR(INDEX(Attempts!$M$2:$AP$200,MATCH(A35,Attempts!$A$2:$A$200,0),B35),""))</f>
        <v/>
      </c>
      <c r="E35">
        <f>IF(OR(C35="",B35=""),"",IFERROR(INDEX(Key!$C$2:$C$263,MATCH(C35*100+B35,Key!$G$2:$G$263,0)),""))</f>
        <v/>
      </c>
      <c r="F35">
        <f>IF(OR(C35="",B35=""),"",IFERROR(INDEX(Key!$E$2:$E$263,MATCH(C35*100+B35,Key!$G$2:$G$263,0)),""))</f>
        <v/>
      </c>
      <c r="G35" s="6" t="n"/>
      <c r="H35">
        <f>IF(OR(C35="",B35=""),"",IFERROR(INDEX(Papers!$K$2:$P$12,MATCH(C35,Papers!$A$2:$A$12,0),INDEX(Key!$D$2:$D$263,MATCH(C35*100+B35,Key!$G$2:$G$263,0))),""))</f>
        <v/>
      </c>
      <c r="I35" s="6" t="n"/>
      <c r="J35" s="6" t="n"/>
    </row>
    <row r="36">
      <c r="A36" s="6" t="n"/>
      <c r="B36" s="6" t="n"/>
      <c r="C36">
        <f>IF(A36="","",IFERROR(INDEX(Attempts!$D$2:$D$200,MATCH(A36,Attempts!$A$2:$A$200,0)),"?"))</f>
        <v/>
      </c>
      <c r="D36">
        <f>IF(OR(A36="",B36=""),"",IFERROR(INDEX(Attempts!$M$2:$AP$200,MATCH(A36,Attempts!$A$2:$A$200,0),B36),""))</f>
        <v/>
      </c>
      <c r="E36">
        <f>IF(OR(C36="",B36=""),"",IFERROR(INDEX(Key!$C$2:$C$263,MATCH(C36*100+B36,Key!$G$2:$G$263,0)),""))</f>
        <v/>
      </c>
      <c r="F36">
        <f>IF(OR(C36="",B36=""),"",IFERROR(INDEX(Key!$E$2:$E$263,MATCH(C36*100+B36,Key!$G$2:$G$263,0)),""))</f>
        <v/>
      </c>
      <c r="G36" s="6" t="n"/>
      <c r="H36">
        <f>IF(OR(C36="",B36=""),"",IFERROR(INDEX(Papers!$K$2:$P$12,MATCH(C36,Papers!$A$2:$A$12,0),INDEX(Key!$D$2:$D$263,MATCH(C36*100+B36,Key!$G$2:$G$263,0))),""))</f>
        <v/>
      </c>
      <c r="I36" s="6" t="n"/>
      <c r="J36" s="6" t="n"/>
    </row>
    <row r="37">
      <c r="A37" s="6" t="n"/>
      <c r="B37" s="6" t="n"/>
      <c r="C37">
        <f>IF(A37="","",IFERROR(INDEX(Attempts!$D$2:$D$200,MATCH(A37,Attempts!$A$2:$A$200,0)),"?"))</f>
        <v/>
      </c>
      <c r="D37">
        <f>IF(OR(A37="",B37=""),"",IFERROR(INDEX(Attempts!$M$2:$AP$200,MATCH(A37,Attempts!$A$2:$A$200,0),B37),""))</f>
        <v/>
      </c>
      <c r="E37">
        <f>IF(OR(C37="",B37=""),"",IFERROR(INDEX(Key!$C$2:$C$263,MATCH(C37*100+B37,Key!$G$2:$G$263,0)),""))</f>
        <v/>
      </c>
      <c r="F37">
        <f>IF(OR(C37="",B37=""),"",IFERROR(INDEX(Key!$E$2:$E$263,MATCH(C37*100+B37,Key!$G$2:$G$263,0)),""))</f>
        <v/>
      </c>
      <c r="G37" s="6" t="n"/>
      <c r="H37">
        <f>IF(OR(C37="",B37=""),"",IFERROR(INDEX(Papers!$K$2:$P$12,MATCH(C37,Papers!$A$2:$A$12,0),INDEX(Key!$D$2:$D$263,MATCH(C37*100+B37,Key!$G$2:$G$263,0))),""))</f>
        <v/>
      </c>
      <c r="I37" s="6" t="n"/>
      <c r="J37" s="6" t="n"/>
    </row>
    <row r="38">
      <c r="A38" s="6" t="n"/>
      <c r="B38" s="6" t="n"/>
      <c r="C38">
        <f>IF(A38="","",IFERROR(INDEX(Attempts!$D$2:$D$200,MATCH(A38,Attempts!$A$2:$A$200,0)),"?"))</f>
        <v/>
      </c>
      <c r="D38">
        <f>IF(OR(A38="",B38=""),"",IFERROR(INDEX(Attempts!$M$2:$AP$200,MATCH(A38,Attempts!$A$2:$A$200,0),B38),""))</f>
        <v/>
      </c>
      <c r="E38">
        <f>IF(OR(C38="",B38=""),"",IFERROR(INDEX(Key!$C$2:$C$263,MATCH(C38*100+B38,Key!$G$2:$G$263,0)),""))</f>
        <v/>
      </c>
      <c r="F38">
        <f>IF(OR(C38="",B38=""),"",IFERROR(INDEX(Key!$E$2:$E$263,MATCH(C38*100+B38,Key!$G$2:$G$263,0)),""))</f>
        <v/>
      </c>
      <c r="G38" s="6" t="n"/>
      <c r="H38">
        <f>IF(OR(C38="",B38=""),"",IFERROR(INDEX(Papers!$K$2:$P$12,MATCH(C38,Papers!$A$2:$A$12,0),INDEX(Key!$D$2:$D$263,MATCH(C38*100+B38,Key!$G$2:$G$263,0))),""))</f>
        <v/>
      </c>
      <c r="I38" s="6" t="n"/>
      <c r="J38" s="6" t="n"/>
    </row>
    <row r="39">
      <c r="A39" s="6" t="n"/>
      <c r="B39" s="6" t="n"/>
      <c r="C39">
        <f>IF(A39="","",IFERROR(INDEX(Attempts!$D$2:$D$200,MATCH(A39,Attempts!$A$2:$A$200,0)),"?"))</f>
        <v/>
      </c>
      <c r="D39">
        <f>IF(OR(A39="",B39=""),"",IFERROR(INDEX(Attempts!$M$2:$AP$200,MATCH(A39,Attempts!$A$2:$A$200,0),B39),""))</f>
        <v/>
      </c>
      <c r="E39">
        <f>IF(OR(C39="",B39=""),"",IFERROR(INDEX(Key!$C$2:$C$263,MATCH(C39*100+B39,Key!$G$2:$G$263,0)),""))</f>
        <v/>
      </c>
      <c r="F39">
        <f>IF(OR(C39="",B39=""),"",IFERROR(INDEX(Key!$E$2:$E$263,MATCH(C39*100+B39,Key!$G$2:$G$263,0)),""))</f>
        <v/>
      </c>
      <c r="G39" s="6" t="n"/>
      <c r="H39">
        <f>IF(OR(C39="",B39=""),"",IFERROR(INDEX(Papers!$K$2:$P$12,MATCH(C39,Papers!$A$2:$A$12,0),INDEX(Key!$D$2:$D$263,MATCH(C39*100+B39,Key!$G$2:$G$263,0))),""))</f>
        <v/>
      </c>
      <c r="I39" s="6" t="n"/>
      <c r="J39" s="6" t="n"/>
    </row>
    <row r="40">
      <c r="A40" s="6" t="n"/>
      <c r="B40" s="6" t="n"/>
      <c r="C40">
        <f>IF(A40="","",IFERROR(INDEX(Attempts!$D$2:$D$200,MATCH(A40,Attempts!$A$2:$A$200,0)),"?"))</f>
        <v/>
      </c>
      <c r="D40">
        <f>IF(OR(A40="",B40=""),"",IFERROR(INDEX(Attempts!$M$2:$AP$200,MATCH(A40,Attempts!$A$2:$A$200,0),B40),""))</f>
        <v/>
      </c>
      <c r="E40">
        <f>IF(OR(C40="",B40=""),"",IFERROR(INDEX(Key!$C$2:$C$263,MATCH(C40*100+B40,Key!$G$2:$G$263,0)),""))</f>
        <v/>
      </c>
      <c r="F40">
        <f>IF(OR(C40="",B40=""),"",IFERROR(INDEX(Key!$E$2:$E$263,MATCH(C40*100+B40,Key!$G$2:$G$263,0)),""))</f>
        <v/>
      </c>
      <c r="G40" s="6" t="n"/>
      <c r="H40">
        <f>IF(OR(C40="",B40=""),"",IFERROR(INDEX(Papers!$K$2:$P$12,MATCH(C40,Papers!$A$2:$A$12,0),INDEX(Key!$D$2:$D$263,MATCH(C40*100+B40,Key!$G$2:$G$263,0))),""))</f>
        <v/>
      </c>
      <c r="I40" s="6" t="n"/>
      <c r="J40" s="6" t="n"/>
    </row>
    <row r="41">
      <c r="A41" s="6" t="n"/>
      <c r="B41" s="6" t="n"/>
      <c r="C41">
        <f>IF(A41="","",IFERROR(INDEX(Attempts!$D$2:$D$200,MATCH(A41,Attempts!$A$2:$A$200,0)),"?"))</f>
        <v/>
      </c>
      <c r="D41">
        <f>IF(OR(A41="",B41=""),"",IFERROR(INDEX(Attempts!$M$2:$AP$200,MATCH(A41,Attempts!$A$2:$A$200,0),B41),""))</f>
        <v/>
      </c>
      <c r="E41">
        <f>IF(OR(C41="",B41=""),"",IFERROR(INDEX(Key!$C$2:$C$263,MATCH(C41*100+B41,Key!$G$2:$G$263,0)),""))</f>
        <v/>
      </c>
      <c r="F41">
        <f>IF(OR(C41="",B41=""),"",IFERROR(INDEX(Key!$E$2:$E$263,MATCH(C41*100+B41,Key!$G$2:$G$263,0)),""))</f>
        <v/>
      </c>
      <c r="G41" s="6" t="n"/>
      <c r="H41">
        <f>IF(OR(C41="",B41=""),"",IFERROR(INDEX(Papers!$K$2:$P$12,MATCH(C41,Papers!$A$2:$A$12,0),INDEX(Key!$D$2:$D$263,MATCH(C41*100+B41,Key!$G$2:$G$263,0))),""))</f>
        <v/>
      </c>
      <c r="I41" s="6" t="n"/>
      <c r="J41" s="6" t="n"/>
    </row>
    <row r="42">
      <c r="A42" s="6" t="n"/>
      <c r="B42" s="6" t="n"/>
      <c r="C42">
        <f>IF(A42="","",IFERROR(INDEX(Attempts!$D$2:$D$200,MATCH(A42,Attempts!$A$2:$A$200,0)),"?"))</f>
        <v/>
      </c>
      <c r="D42">
        <f>IF(OR(A42="",B42=""),"",IFERROR(INDEX(Attempts!$M$2:$AP$200,MATCH(A42,Attempts!$A$2:$A$200,0),B42),""))</f>
        <v/>
      </c>
      <c r="E42">
        <f>IF(OR(C42="",B42=""),"",IFERROR(INDEX(Key!$C$2:$C$263,MATCH(C42*100+B42,Key!$G$2:$G$263,0)),""))</f>
        <v/>
      </c>
      <c r="F42">
        <f>IF(OR(C42="",B42=""),"",IFERROR(INDEX(Key!$E$2:$E$263,MATCH(C42*100+B42,Key!$G$2:$G$263,0)),""))</f>
        <v/>
      </c>
      <c r="G42" s="6" t="n"/>
      <c r="H42">
        <f>IF(OR(C42="",B42=""),"",IFERROR(INDEX(Papers!$K$2:$P$12,MATCH(C42,Papers!$A$2:$A$12,0),INDEX(Key!$D$2:$D$263,MATCH(C42*100+B42,Key!$G$2:$G$263,0))),""))</f>
        <v/>
      </c>
      <c r="I42" s="6" t="n"/>
      <c r="J42" s="6" t="n"/>
    </row>
    <row r="43">
      <c r="A43" s="6" t="n"/>
      <c r="B43" s="6" t="n"/>
      <c r="C43">
        <f>IF(A43="","",IFERROR(INDEX(Attempts!$D$2:$D$200,MATCH(A43,Attempts!$A$2:$A$200,0)),"?"))</f>
        <v/>
      </c>
      <c r="D43">
        <f>IF(OR(A43="",B43=""),"",IFERROR(INDEX(Attempts!$M$2:$AP$200,MATCH(A43,Attempts!$A$2:$A$200,0),B43),""))</f>
        <v/>
      </c>
      <c r="E43">
        <f>IF(OR(C43="",B43=""),"",IFERROR(INDEX(Key!$C$2:$C$263,MATCH(C43*100+B43,Key!$G$2:$G$263,0)),""))</f>
        <v/>
      </c>
      <c r="F43">
        <f>IF(OR(C43="",B43=""),"",IFERROR(INDEX(Key!$E$2:$E$263,MATCH(C43*100+B43,Key!$G$2:$G$263,0)),""))</f>
        <v/>
      </c>
      <c r="G43" s="6" t="n"/>
      <c r="H43">
        <f>IF(OR(C43="",B43=""),"",IFERROR(INDEX(Papers!$K$2:$P$12,MATCH(C43,Papers!$A$2:$A$12,0),INDEX(Key!$D$2:$D$263,MATCH(C43*100+B43,Key!$G$2:$G$263,0))),""))</f>
        <v/>
      </c>
      <c r="I43" s="6" t="n"/>
      <c r="J43" s="6" t="n"/>
    </row>
    <row r="44">
      <c r="A44" s="6" t="n"/>
      <c r="B44" s="6" t="n"/>
      <c r="C44">
        <f>IF(A44="","",IFERROR(INDEX(Attempts!$D$2:$D$200,MATCH(A44,Attempts!$A$2:$A$200,0)),"?"))</f>
        <v/>
      </c>
      <c r="D44">
        <f>IF(OR(A44="",B44=""),"",IFERROR(INDEX(Attempts!$M$2:$AP$200,MATCH(A44,Attempts!$A$2:$A$200,0),B44),""))</f>
        <v/>
      </c>
      <c r="E44">
        <f>IF(OR(C44="",B44=""),"",IFERROR(INDEX(Key!$C$2:$C$263,MATCH(C44*100+B44,Key!$G$2:$G$263,0)),""))</f>
        <v/>
      </c>
      <c r="F44">
        <f>IF(OR(C44="",B44=""),"",IFERROR(INDEX(Key!$E$2:$E$263,MATCH(C44*100+B44,Key!$G$2:$G$263,0)),""))</f>
        <v/>
      </c>
      <c r="G44" s="6" t="n"/>
      <c r="H44">
        <f>IF(OR(C44="",B44=""),"",IFERROR(INDEX(Papers!$K$2:$P$12,MATCH(C44,Papers!$A$2:$A$12,0),INDEX(Key!$D$2:$D$263,MATCH(C44*100+B44,Key!$G$2:$G$263,0))),""))</f>
        <v/>
      </c>
      <c r="I44" s="6" t="n"/>
      <c r="J44" s="6" t="n"/>
    </row>
    <row r="45">
      <c r="A45" s="6" t="n"/>
      <c r="B45" s="6" t="n"/>
      <c r="C45">
        <f>IF(A45="","",IFERROR(INDEX(Attempts!$D$2:$D$200,MATCH(A45,Attempts!$A$2:$A$200,0)),"?"))</f>
        <v/>
      </c>
      <c r="D45">
        <f>IF(OR(A45="",B45=""),"",IFERROR(INDEX(Attempts!$M$2:$AP$200,MATCH(A45,Attempts!$A$2:$A$200,0),B45),""))</f>
        <v/>
      </c>
      <c r="E45">
        <f>IF(OR(C45="",B45=""),"",IFERROR(INDEX(Key!$C$2:$C$263,MATCH(C45*100+B45,Key!$G$2:$G$263,0)),""))</f>
        <v/>
      </c>
      <c r="F45">
        <f>IF(OR(C45="",B45=""),"",IFERROR(INDEX(Key!$E$2:$E$263,MATCH(C45*100+B45,Key!$G$2:$G$263,0)),""))</f>
        <v/>
      </c>
      <c r="G45" s="6" t="n"/>
      <c r="H45">
        <f>IF(OR(C45="",B45=""),"",IFERROR(INDEX(Papers!$K$2:$P$12,MATCH(C45,Papers!$A$2:$A$12,0),INDEX(Key!$D$2:$D$263,MATCH(C45*100+B45,Key!$G$2:$G$263,0))),""))</f>
        <v/>
      </c>
      <c r="I45" s="6" t="n"/>
      <c r="J45" s="6" t="n"/>
    </row>
    <row r="46">
      <c r="A46" s="6" t="n"/>
      <c r="B46" s="6" t="n"/>
      <c r="C46">
        <f>IF(A46="","",IFERROR(INDEX(Attempts!$D$2:$D$200,MATCH(A46,Attempts!$A$2:$A$200,0)),"?"))</f>
        <v/>
      </c>
      <c r="D46">
        <f>IF(OR(A46="",B46=""),"",IFERROR(INDEX(Attempts!$M$2:$AP$200,MATCH(A46,Attempts!$A$2:$A$200,0),B46),""))</f>
        <v/>
      </c>
      <c r="E46">
        <f>IF(OR(C46="",B46=""),"",IFERROR(INDEX(Key!$C$2:$C$263,MATCH(C46*100+B46,Key!$G$2:$G$263,0)),""))</f>
        <v/>
      </c>
      <c r="F46">
        <f>IF(OR(C46="",B46=""),"",IFERROR(INDEX(Key!$E$2:$E$263,MATCH(C46*100+B46,Key!$G$2:$G$263,0)),""))</f>
        <v/>
      </c>
      <c r="G46" s="6" t="n"/>
      <c r="H46">
        <f>IF(OR(C46="",B46=""),"",IFERROR(INDEX(Papers!$K$2:$P$12,MATCH(C46,Papers!$A$2:$A$12,0),INDEX(Key!$D$2:$D$263,MATCH(C46*100+B46,Key!$G$2:$G$263,0))),""))</f>
        <v/>
      </c>
      <c r="I46" s="6" t="n"/>
      <c r="J46" s="6" t="n"/>
    </row>
    <row r="47">
      <c r="A47" s="6" t="n"/>
      <c r="B47" s="6" t="n"/>
      <c r="C47">
        <f>IF(A47="","",IFERROR(INDEX(Attempts!$D$2:$D$200,MATCH(A47,Attempts!$A$2:$A$200,0)),"?"))</f>
        <v/>
      </c>
      <c r="D47">
        <f>IF(OR(A47="",B47=""),"",IFERROR(INDEX(Attempts!$M$2:$AP$200,MATCH(A47,Attempts!$A$2:$A$200,0),B47),""))</f>
        <v/>
      </c>
      <c r="E47">
        <f>IF(OR(C47="",B47=""),"",IFERROR(INDEX(Key!$C$2:$C$263,MATCH(C47*100+B47,Key!$G$2:$G$263,0)),""))</f>
        <v/>
      </c>
      <c r="F47">
        <f>IF(OR(C47="",B47=""),"",IFERROR(INDEX(Key!$E$2:$E$263,MATCH(C47*100+B47,Key!$G$2:$G$263,0)),""))</f>
        <v/>
      </c>
      <c r="G47" s="6" t="n"/>
      <c r="H47">
        <f>IF(OR(C47="",B47=""),"",IFERROR(INDEX(Papers!$K$2:$P$12,MATCH(C47,Papers!$A$2:$A$12,0),INDEX(Key!$D$2:$D$263,MATCH(C47*100+B47,Key!$G$2:$G$263,0))),""))</f>
        <v/>
      </c>
      <c r="I47" s="6" t="n"/>
      <c r="J47" s="6" t="n"/>
    </row>
    <row r="48">
      <c r="A48" s="6" t="n"/>
      <c r="B48" s="6" t="n"/>
      <c r="C48">
        <f>IF(A48="","",IFERROR(INDEX(Attempts!$D$2:$D$200,MATCH(A48,Attempts!$A$2:$A$200,0)),"?"))</f>
        <v/>
      </c>
      <c r="D48">
        <f>IF(OR(A48="",B48=""),"",IFERROR(INDEX(Attempts!$M$2:$AP$200,MATCH(A48,Attempts!$A$2:$A$200,0),B48),""))</f>
        <v/>
      </c>
      <c r="E48">
        <f>IF(OR(C48="",B48=""),"",IFERROR(INDEX(Key!$C$2:$C$263,MATCH(C48*100+B48,Key!$G$2:$G$263,0)),""))</f>
        <v/>
      </c>
      <c r="F48">
        <f>IF(OR(C48="",B48=""),"",IFERROR(INDEX(Key!$E$2:$E$263,MATCH(C48*100+B48,Key!$G$2:$G$263,0)),""))</f>
        <v/>
      </c>
      <c r="G48" s="6" t="n"/>
      <c r="H48">
        <f>IF(OR(C48="",B48=""),"",IFERROR(INDEX(Papers!$K$2:$P$12,MATCH(C48,Papers!$A$2:$A$12,0),INDEX(Key!$D$2:$D$263,MATCH(C48*100+B48,Key!$G$2:$G$263,0))),""))</f>
        <v/>
      </c>
      <c r="I48" s="6" t="n"/>
      <c r="J48" s="6" t="n"/>
    </row>
    <row r="49">
      <c r="A49" s="6" t="n"/>
      <c r="B49" s="6" t="n"/>
      <c r="C49">
        <f>IF(A49="","",IFERROR(INDEX(Attempts!$D$2:$D$200,MATCH(A49,Attempts!$A$2:$A$200,0)),"?"))</f>
        <v/>
      </c>
      <c r="D49">
        <f>IF(OR(A49="",B49=""),"",IFERROR(INDEX(Attempts!$M$2:$AP$200,MATCH(A49,Attempts!$A$2:$A$200,0),B49),""))</f>
        <v/>
      </c>
      <c r="E49">
        <f>IF(OR(C49="",B49=""),"",IFERROR(INDEX(Key!$C$2:$C$263,MATCH(C49*100+B49,Key!$G$2:$G$263,0)),""))</f>
        <v/>
      </c>
      <c r="F49">
        <f>IF(OR(C49="",B49=""),"",IFERROR(INDEX(Key!$E$2:$E$263,MATCH(C49*100+B49,Key!$G$2:$G$263,0)),""))</f>
        <v/>
      </c>
      <c r="G49" s="6" t="n"/>
      <c r="H49">
        <f>IF(OR(C49="",B49=""),"",IFERROR(INDEX(Papers!$K$2:$P$12,MATCH(C49,Papers!$A$2:$A$12,0),INDEX(Key!$D$2:$D$263,MATCH(C49*100+B49,Key!$G$2:$G$263,0))),""))</f>
        <v/>
      </c>
      <c r="I49" s="6" t="n"/>
      <c r="J49" s="6" t="n"/>
    </row>
    <row r="50">
      <c r="A50" s="6" t="n"/>
      <c r="B50" s="6" t="n"/>
      <c r="C50">
        <f>IF(A50="","",IFERROR(INDEX(Attempts!$D$2:$D$200,MATCH(A50,Attempts!$A$2:$A$200,0)),"?"))</f>
        <v/>
      </c>
      <c r="D50">
        <f>IF(OR(A50="",B50=""),"",IFERROR(INDEX(Attempts!$M$2:$AP$200,MATCH(A50,Attempts!$A$2:$A$200,0),B50),""))</f>
        <v/>
      </c>
      <c r="E50">
        <f>IF(OR(C50="",B50=""),"",IFERROR(INDEX(Key!$C$2:$C$263,MATCH(C50*100+B50,Key!$G$2:$G$263,0)),""))</f>
        <v/>
      </c>
      <c r="F50">
        <f>IF(OR(C50="",B50=""),"",IFERROR(INDEX(Key!$E$2:$E$263,MATCH(C50*100+B50,Key!$G$2:$G$263,0)),""))</f>
        <v/>
      </c>
      <c r="G50" s="6" t="n"/>
      <c r="H50">
        <f>IF(OR(C50="",B50=""),"",IFERROR(INDEX(Papers!$K$2:$P$12,MATCH(C50,Papers!$A$2:$A$12,0),INDEX(Key!$D$2:$D$263,MATCH(C50*100+B50,Key!$G$2:$G$263,0))),""))</f>
        <v/>
      </c>
      <c r="I50" s="6" t="n"/>
      <c r="J50" s="6" t="n"/>
    </row>
    <row r="51">
      <c r="A51" s="6" t="n"/>
      <c r="B51" s="6" t="n"/>
      <c r="C51">
        <f>IF(A51="","",IFERROR(INDEX(Attempts!$D$2:$D$200,MATCH(A51,Attempts!$A$2:$A$200,0)),"?"))</f>
        <v/>
      </c>
      <c r="D51">
        <f>IF(OR(A51="",B51=""),"",IFERROR(INDEX(Attempts!$M$2:$AP$200,MATCH(A51,Attempts!$A$2:$A$200,0),B51),""))</f>
        <v/>
      </c>
      <c r="E51">
        <f>IF(OR(C51="",B51=""),"",IFERROR(INDEX(Key!$C$2:$C$263,MATCH(C51*100+B51,Key!$G$2:$G$263,0)),""))</f>
        <v/>
      </c>
      <c r="F51">
        <f>IF(OR(C51="",B51=""),"",IFERROR(INDEX(Key!$E$2:$E$263,MATCH(C51*100+B51,Key!$G$2:$G$263,0)),""))</f>
        <v/>
      </c>
      <c r="G51" s="6" t="n"/>
      <c r="H51">
        <f>IF(OR(C51="",B51=""),"",IFERROR(INDEX(Papers!$K$2:$P$12,MATCH(C51,Papers!$A$2:$A$12,0),INDEX(Key!$D$2:$D$263,MATCH(C51*100+B51,Key!$G$2:$G$263,0))),""))</f>
        <v/>
      </c>
      <c r="I51" s="6" t="n"/>
      <c r="J51" s="6" t="n"/>
    </row>
    <row r="52">
      <c r="A52" s="6" t="n"/>
      <c r="B52" s="6" t="n"/>
      <c r="C52">
        <f>IF(A52="","",IFERROR(INDEX(Attempts!$D$2:$D$200,MATCH(A52,Attempts!$A$2:$A$200,0)),"?"))</f>
        <v/>
      </c>
      <c r="D52">
        <f>IF(OR(A52="",B52=""),"",IFERROR(INDEX(Attempts!$M$2:$AP$200,MATCH(A52,Attempts!$A$2:$A$200,0),B52),""))</f>
        <v/>
      </c>
      <c r="E52">
        <f>IF(OR(C52="",B52=""),"",IFERROR(INDEX(Key!$C$2:$C$263,MATCH(C52*100+B52,Key!$G$2:$G$263,0)),""))</f>
        <v/>
      </c>
      <c r="F52">
        <f>IF(OR(C52="",B52=""),"",IFERROR(INDEX(Key!$E$2:$E$263,MATCH(C52*100+B52,Key!$G$2:$G$263,0)),""))</f>
        <v/>
      </c>
      <c r="G52" s="6" t="n"/>
      <c r="H52">
        <f>IF(OR(C52="",B52=""),"",IFERROR(INDEX(Papers!$K$2:$P$12,MATCH(C52,Papers!$A$2:$A$12,0),INDEX(Key!$D$2:$D$263,MATCH(C52*100+B52,Key!$G$2:$G$263,0))),""))</f>
        <v/>
      </c>
      <c r="I52" s="6" t="n"/>
      <c r="J52" s="6" t="n"/>
    </row>
    <row r="53">
      <c r="A53" s="6" t="n"/>
      <c r="B53" s="6" t="n"/>
      <c r="C53">
        <f>IF(A53="","",IFERROR(INDEX(Attempts!$D$2:$D$200,MATCH(A53,Attempts!$A$2:$A$200,0)),"?"))</f>
        <v/>
      </c>
      <c r="D53">
        <f>IF(OR(A53="",B53=""),"",IFERROR(INDEX(Attempts!$M$2:$AP$200,MATCH(A53,Attempts!$A$2:$A$200,0),B53),""))</f>
        <v/>
      </c>
      <c r="E53">
        <f>IF(OR(C53="",B53=""),"",IFERROR(INDEX(Key!$C$2:$C$263,MATCH(C53*100+B53,Key!$G$2:$G$263,0)),""))</f>
        <v/>
      </c>
      <c r="F53">
        <f>IF(OR(C53="",B53=""),"",IFERROR(INDEX(Key!$E$2:$E$263,MATCH(C53*100+B53,Key!$G$2:$G$263,0)),""))</f>
        <v/>
      </c>
      <c r="G53" s="6" t="n"/>
      <c r="H53">
        <f>IF(OR(C53="",B53=""),"",IFERROR(INDEX(Papers!$K$2:$P$12,MATCH(C53,Papers!$A$2:$A$12,0),INDEX(Key!$D$2:$D$263,MATCH(C53*100+B53,Key!$G$2:$G$263,0))),""))</f>
        <v/>
      </c>
      <c r="I53" s="6" t="n"/>
      <c r="J53" s="6" t="n"/>
    </row>
    <row r="54">
      <c r="A54" s="6" t="n"/>
      <c r="B54" s="6" t="n"/>
      <c r="C54">
        <f>IF(A54="","",IFERROR(INDEX(Attempts!$D$2:$D$200,MATCH(A54,Attempts!$A$2:$A$200,0)),"?"))</f>
        <v/>
      </c>
      <c r="D54">
        <f>IF(OR(A54="",B54=""),"",IFERROR(INDEX(Attempts!$M$2:$AP$200,MATCH(A54,Attempts!$A$2:$A$200,0),B54),""))</f>
        <v/>
      </c>
      <c r="E54">
        <f>IF(OR(C54="",B54=""),"",IFERROR(INDEX(Key!$C$2:$C$263,MATCH(C54*100+B54,Key!$G$2:$G$263,0)),""))</f>
        <v/>
      </c>
      <c r="F54">
        <f>IF(OR(C54="",B54=""),"",IFERROR(INDEX(Key!$E$2:$E$263,MATCH(C54*100+B54,Key!$G$2:$G$263,0)),""))</f>
        <v/>
      </c>
      <c r="G54" s="6" t="n"/>
      <c r="H54">
        <f>IF(OR(C54="",B54=""),"",IFERROR(INDEX(Papers!$K$2:$P$12,MATCH(C54,Papers!$A$2:$A$12,0),INDEX(Key!$D$2:$D$263,MATCH(C54*100+B54,Key!$G$2:$G$263,0))),""))</f>
        <v/>
      </c>
      <c r="I54" s="6" t="n"/>
      <c r="J54" s="6" t="n"/>
    </row>
    <row r="55">
      <c r="A55" s="6" t="n"/>
      <c r="B55" s="6" t="n"/>
      <c r="C55">
        <f>IF(A55="","",IFERROR(INDEX(Attempts!$D$2:$D$200,MATCH(A55,Attempts!$A$2:$A$200,0)),"?"))</f>
        <v/>
      </c>
      <c r="D55">
        <f>IF(OR(A55="",B55=""),"",IFERROR(INDEX(Attempts!$M$2:$AP$200,MATCH(A55,Attempts!$A$2:$A$200,0),B55),""))</f>
        <v/>
      </c>
      <c r="E55">
        <f>IF(OR(C55="",B55=""),"",IFERROR(INDEX(Key!$C$2:$C$263,MATCH(C55*100+B55,Key!$G$2:$G$263,0)),""))</f>
        <v/>
      </c>
      <c r="F55">
        <f>IF(OR(C55="",B55=""),"",IFERROR(INDEX(Key!$E$2:$E$263,MATCH(C55*100+B55,Key!$G$2:$G$263,0)),""))</f>
        <v/>
      </c>
      <c r="G55" s="6" t="n"/>
      <c r="H55">
        <f>IF(OR(C55="",B55=""),"",IFERROR(INDEX(Papers!$K$2:$P$12,MATCH(C55,Papers!$A$2:$A$12,0),INDEX(Key!$D$2:$D$263,MATCH(C55*100+B55,Key!$G$2:$G$263,0))),""))</f>
        <v/>
      </c>
      <c r="I55" s="6" t="n"/>
      <c r="J55" s="6" t="n"/>
    </row>
    <row r="56">
      <c r="A56" s="6" t="n"/>
      <c r="B56" s="6" t="n"/>
      <c r="C56">
        <f>IF(A56="","",IFERROR(INDEX(Attempts!$D$2:$D$200,MATCH(A56,Attempts!$A$2:$A$200,0)),"?"))</f>
        <v/>
      </c>
      <c r="D56">
        <f>IF(OR(A56="",B56=""),"",IFERROR(INDEX(Attempts!$M$2:$AP$200,MATCH(A56,Attempts!$A$2:$A$200,0),B56),""))</f>
        <v/>
      </c>
      <c r="E56">
        <f>IF(OR(C56="",B56=""),"",IFERROR(INDEX(Key!$C$2:$C$263,MATCH(C56*100+B56,Key!$G$2:$G$263,0)),""))</f>
        <v/>
      </c>
      <c r="F56">
        <f>IF(OR(C56="",B56=""),"",IFERROR(INDEX(Key!$E$2:$E$263,MATCH(C56*100+B56,Key!$G$2:$G$263,0)),""))</f>
        <v/>
      </c>
      <c r="G56" s="6" t="n"/>
      <c r="H56">
        <f>IF(OR(C56="",B56=""),"",IFERROR(INDEX(Papers!$K$2:$P$12,MATCH(C56,Papers!$A$2:$A$12,0),INDEX(Key!$D$2:$D$263,MATCH(C56*100+B56,Key!$G$2:$G$263,0))),""))</f>
        <v/>
      </c>
      <c r="I56" s="6" t="n"/>
      <c r="J56" s="6" t="n"/>
    </row>
    <row r="57">
      <c r="A57" s="6" t="n"/>
      <c r="B57" s="6" t="n"/>
      <c r="C57">
        <f>IF(A57="","",IFERROR(INDEX(Attempts!$D$2:$D$200,MATCH(A57,Attempts!$A$2:$A$200,0)),"?"))</f>
        <v/>
      </c>
      <c r="D57">
        <f>IF(OR(A57="",B57=""),"",IFERROR(INDEX(Attempts!$M$2:$AP$200,MATCH(A57,Attempts!$A$2:$A$200,0),B57),""))</f>
        <v/>
      </c>
      <c r="E57">
        <f>IF(OR(C57="",B57=""),"",IFERROR(INDEX(Key!$C$2:$C$263,MATCH(C57*100+B57,Key!$G$2:$G$263,0)),""))</f>
        <v/>
      </c>
      <c r="F57">
        <f>IF(OR(C57="",B57=""),"",IFERROR(INDEX(Key!$E$2:$E$263,MATCH(C57*100+B57,Key!$G$2:$G$263,0)),""))</f>
        <v/>
      </c>
      <c r="G57" s="6" t="n"/>
      <c r="H57">
        <f>IF(OR(C57="",B57=""),"",IFERROR(INDEX(Papers!$K$2:$P$12,MATCH(C57,Papers!$A$2:$A$12,0),INDEX(Key!$D$2:$D$263,MATCH(C57*100+B57,Key!$G$2:$G$263,0))),""))</f>
        <v/>
      </c>
      <c r="I57" s="6" t="n"/>
      <c r="J57" s="6" t="n"/>
    </row>
    <row r="58">
      <c r="A58" s="6" t="n"/>
      <c r="B58" s="6" t="n"/>
      <c r="C58">
        <f>IF(A58="","",IFERROR(INDEX(Attempts!$D$2:$D$200,MATCH(A58,Attempts!$A$2:$A$200,0)),"?"))</f>
        <v/>
      </c>
      <c r="D58">
        <f>IF(OR(A58="",B58=""),"",IFERROR(INDEX(Attempts!$M$2:$AP$200,MATCH(A58,Attempts!$A$2:$A$200,0),B58),""))</f>
        <v/>
      </c>
      <c r="E58">
        <f>IF(OR(C58="",B58=""),"",IFERROR(INDEX(Key!$C$2:$C$263,MATCH(C58*100+B58,Key!$G$2:$G$263,0)),""))</f>
        <v/>
      </c>
      <c r="F58">
        <f>IF(OR(C58="",B58=""),"",IFERROR(INDEX(Key!$E$2:$E$263,MATCH(C58*100+B58,Key!$G$2:$G$263,0)),""))</f>
        <v/>
      </c>
      <c r="G58" s="6" t="n"/>
      <c r="H58">
        <f>IF(OR(C58="",B58=""),"",IFERROR(INDEX(Papers!$K$2:$P$12,MATCH(C58,Papers!$A$2:$A$12,0),INDEX(Key!$D$2:$D$263,MATCH(C58*100+B58,Key!$G$2:$G$263,0))),""))</f>
        <v/>
      </c>
      <c r="I58" s="6" t="n"/>
      <c r="J58" s="6" t="n"/>
    </row>
    <row r="59">
      <c r="A59" s="6" t="n"/>
      <c r="B59" s="6" t="n"/>
      <c r="C59">
        <f>IF(A59="","",IFERROR(INDEX(Attempts!$D$2:$D$200,MATCH(A59,Attempts!$A$2:$A$200,0)),"?"))</f>
        <v/>
      </c>
      <c r="D59">
        <f>IF(OR(A59="",B59=""),"",IFERROR(INDEX(Attempts!$M$2:$AP$200,MATCH(A59,Attempts!$A$2:$A$200,0),B59),""))</f>
        <v/>
      </c>
      <c r="E59">
        <f>IF(OR(C59="",B59=""),"",IFERROR(INDEX(Key!$C$2:$C$263,MATCH(C59*100+B59,Key!$G$2:$G$263,0)),""))</f>
        <v/>
      </c>
      <c r="F59">
        <f>IF(OR(C59="",B59=""),"",IFERROR(INDEX(Key!$E$2:$E$263,MATCH(C59*100+B59,Key!$G$2:$G$263,0)),""))</f>
        <v/>
      </c>
      <c r="G59" s="6" t="n"/>
      <c r="H59">
        <f>IF(OR(C59="",B59=""),"",IFERROR(INDEX(Papers!$K$2:$P$12,MATCH(C59,Papers!$A$2:$A$12,0),INDEX(Key!$D$2:$D$263,MATCH(C59*100+B59,Key!$G$2:$G$263,0))),""))</f>
        <v/>
      </c>
      <c r="I59" s="6" t="n"/>
      <c r="J59" s="6" t="n"/>
    </row>
    <row r="60">
      <c r="A60" s="6" t="n"/>
      <c r="B60" s="6" t="n"/>
      <c r="C60">
        <f>IF(A60="","",IFERROR(INDEX(Attempts!$D$2:$D$200,MATCH(A60,Attempts!$A$2:$A$200,0)),"?"))</f>
        <v/>
      </c>
      <c r="D60">
        <f>IF(OR(A60="",B60=""),"",IFERROR(INDEX(Attempts!$M$2:$AP$200,MATCH(A60,Attempts!$A$2:$A$200,0),B60),""))</f>
        <v/>
      </c>
      <c r="E60">
        <f>IF(OR(C60="",B60=""),"",IFERROR(INDEX(Key!$C$2:$C$263,MATCH(C60*100+B60,Key!$G$2:$G$263,0)),""))</f>
        <v/>
      </c>
      <c r="F60">
        <f>IF(OR(C60="",B60=""),"",IFERROR(INDEX(Key!$E$2:$E$263,MATCH(C60*100+B60,Key!$G$2:$G$263,0)),""))</f>
        <v/>
      </c>
      <c r="G60" s="6" t="n"/>
      <c r="H60">
        <f>IF(OR(C60="",B60=""),"",IFERROR(INDEX(Papers!$K$2:$P$12,MATCH(C60,Papers!$A$2:$A$12,0),INDEX(Key!$D$2:$D$263,MATCH(C60*100+B60,Key!$G$2:$G$263,0))),""))</f>
        <v/>
      </c>
      <c r="I60" s="6" t="n"/>
      <c r="J60" s="6" t="n"/>
    </row>
    <row r="61">
      <c r="A61" s="6" t="n"/>
      <c r="B61" s="6" t="n"/>
      <c r="C61">
        <f>IF(A61="","",IFERROR(INDEX(Attempts!$D$2:$D$200,MATCH(A61,Attempts!$A$2:$A$200,0)),"?"))</f>
        <v/>
      </c>
      <c r="D61">
        <f>IF(OR(A61="",B61=""),"",IFERROR(INDEX(Attempts!$M$2:$AP$200,MATCH(A61,Attempts!$A$2:$A$200,0),B61),""))</f>
        <v/>
      </c>
      <c r="E61">
        <f>IF(OR(C61="",B61=""),"",IFERROR(INDEX(Key!$C$2:$C$263,MATCH(C61*100+B61,Key!$G$2:$G$263,0)),""))</f>
        <v/>
      </c>
      <c r="F61">
        <f>IF(OR(C61="",B61=""),"",IFERROR(INDEX(Key!$E$2:$E$263,MATCH(C61*100+B61,Key!$G$2:$G$263,0)),""))</f>
        <v/>
      </c>
      <c r="G61" s="6" t="n"/>
      <c r="H61">
        <f>IF(OR(C61="",B61=""),"",IFERROR(INDEX(Papers!$K$2:$P$12,MATCH(C61,Papers!$A$2:$A$12,0),INDEX(Key!$D$2:$D$263,MATCH(C61*100+B61,Key!$G$2:$G$263,0))),""))</f>
        <v/>
      </c>
      <c r="I61" s="6" t="n"/>
      <c r="J61" s="6" t="n"/>
    </row>
    <row r="62">
      <c r="A62" s="6" t="n"/>
      <c r="B62" s="6" t="n"/>
      <c r="C62">
        <f>IF(A62="","",IFERROR(INDEX(Attempts!$D$2:$D$200,MATCH(A62,Attempts!$A$2:$A$200,0)),"?"))</f>
        <v/>
      </c>
      <c r="D62">
        <f>IF(OR(A62="",B62=""),"",IFERROR(INDEX(Attempts!$M$2:$AP$200,MATCH(A62,Attempts!$A$2:$A$200,0),B62),""))</f>
        <v/>
      </c>
      <c r="E62">
        <f>IF(OR(C62="",B62=""),"",IFERROR(INDEX(Key!$C$2:$C$263,MATCH(C62*100+B62,Key!$G$2:$G$263,0)),""))</f>
        <v/>
      </c>
      <c r="F62">
        <f>IF(OR(C62="",B62=""),"",IFERROR(INDEX(Key!$E$2:$E$263,MATCH(C62*100+B62,Key!$G$2:$G$263,0)),""))</f>
        <v/>
      </c>
      <c r="G62" s="6" t="n"/>
      <c r="H62">
        <f>IF(OR(C62="",B62=""),"",IFERROR(INDEX(Papers!$K$2:$P$12,MATCH(C62,Papers!$A$2:$A$12,0),INDEX(Key!$D$2:$D$263,MATCH(C62*100+B62,Key!$G$2:$G$263,0))),""))</f>
        <v/>
      </c>
      <c r="I62" s="6" t="n"/>
      <c r="J62" s="6" t="n"/>
    </row>
    <row r="63">
      <c r="A63" s="6" t="n"/>
      <c r="B63" s="6" t="n"/>
      <c r="C63">
        <f>IF(A63="","",IFERROR(INDEX(Attempts!$D$2:$D$200,MATCH(A63,Attempts!$A$2:$A$200,0)),"?"))</f>
        <v/>
      </c>
      <c r="D63">
        <f>IF(OR(A63="",B63=""),"",IFERROR(INDEX(Attempts!$M$2:$AP$200,MATCH(A63,Attempts!$A$2:$A$200,0),B63),""))</f>
        <v/>
      </c>
      <c r="E63">
        <f>IF(OR(C63="",B63=""),"",IFERROR(INDEX(Key!$C$2:$C$263,MATCH(C63*100+B63,Key!$G$2:$G$263,0)),""))</f>
        <v/>
      </c>
      <c r="F63">
        <f>IF(OR(C63="",B63=""),"",IFERROR(INDEX(Key!$E$2:$E$263,MATCH(C63*100+B63,Key!$G$2:$G$263,0)),""))</f>
        <v/>
      </c>
      <c r="G63" s="6" t="n"/>
      <c r="H63">
        <f>IF(OR(C63="",B63=""),"",IFERROR(INDEX(Papers!$K$2:$P$12,MATCH(C63,Papers!$A$2:$A$12,0),INDEX(Key!$D$2:$D$263,MATCH(C63*100+B63,Key!$G$2:$G$263,0))),""))</f>
        <v/>
      </c>
      <c r="I63" s="6" t="n"/>
      <c r="J63" s="6" t="n"/>
    </row>
    <row r="64">
      <c r="A64" s="6" t="n"/>
      <c r="B64" s="6" t="n"/>
      <c r="C64">
        <f>IF(A64="","",IFERROR(INDEX(Attempts!$D$2:$D$200,MATCH(A64,Attempts!$A$2:$A$200,0)),"?"))</f>
        <v/>
      </c>
      <c r="D64">
        <f>IF(OR(A64="",B64=""),"",IFERROR(INDEX(Attempts!$M$2:$AP$200,MATCH(A64,Attempts!$A$2:$A$200,0),B64),""))</f>
        <v/>
      </c>
      <c r="E64">
        <f>IF(OR(C64="",B64=""),"",IFERROR(INDEX(Key!$C$2:$C$263,MATCH(C64*100+B64,Key!$G$2:$G$263,0)),""))</f>
        <v/>
      </c>
      <c r="F64">
        <f>IF(OR(C64="",B64=""),"",IFERROR(INDEX(Key!$E$2:$E$263,MATCH(C64*100+B64,Key!$G$2:$G$263,0)),""))</f>
        <v/>
      </c>
      <c r="G64" s="6" t="n"/>
      <c r="H64">
        <f>IF(OR(C64="",B64=""),"",IFERROR(INDEX(Papers!$K$2:$P$12,MATCH(C64,Papers!$A$2:$A$12,0),INDEX(Key!$D$2:$D$263,MATCH(C64*100+B64,Key!$G$2:$G$263,0))),""))</f>
        <v/>
      </c>
      <c r="I64" s="6" t="n"/>
      <c r="J64" s="6" t="n"/>
    </row>
    <row r="65">
      <c r="A65" s="6" t="n"/>
      <c r="B65" s="6" t="n"/>
      <c r="C65">
        <f>IF(A65="","",IFERROR(INDEX(Attempts!$D$2:$D$200,MATCH(A65,Attempts!$A$2:$A$200,0)),"?"))</f>
        <v/>
      </c>
      <c r="D65">
        <f>IF(OR(A65="",B65=""),"",IFERROR(INDEX(Attempts!$M$2:$AP$200,MATCH(A65,Attempts!$A$2:$A$200,0),B65),""))</f>
        <v/>
      </c>
      <c r="E65">
        <f>IF(OR(C65="",B65=""),"",IFERROR(INDEX(Key!$C$2:$C$263,MATCH(C65*100+B65,Key!$G$2:$G$263,0)),""))</f>
        <v/>
      </c>
      <c r="F65">
        <f>IF(OR(C65="",B65=""),"",IFERROR(INDEX(Key!$E$2:$E$263,MATCH(C65*100+B65,Key!$G$2:$G$263,0)),""))</f>
        <v/>
      </c>
      <c r="G65" s="6" t="n"/>
      <c r="H65">
        <f>IF(OR(C65="",B65=""),"",IFERROR(INDEX(Papers!$K$2:$P$12,MATCH(C65,Papers!$A$2:$A$12,0),INDEX(Key!$D$2:$D$263,MATCH(C65*100+B65,Key!$G$2:$G$263,0))),""))</f>
        <v/>
      </c>
      <c r="I65" s="6" t="n"/>
      <c r="J65" s="6" t="n"/>
    </row>
    <row r="66">
      <c r="A66" s="6" t="n"/>
      <c r="B66" s="6" t="n"/>
      <c r="C66">
        <f>IF(A66="","",IFERROR(INDEX(Attempts!$D$2:$D$200,MATCH(A66,Attempts!$A$2:$A$200,0)),"?"))</f>
        <v/>
      </c>
      <c r="D66">
        <f>IF(OR(A66="",B66=""),"",IFERROR(INDEX(Attempts!$M$2:$AP$200,MATCH(A66,Attempts!$A$2:$A$200,0),B66),""))</f>
        <v/>
      </c>
      <c r="E66">
        <f>IF(OR(C66="",B66=""),"",IFERROR(INDEX(Key!$C$2:$C$263,MATCH(C66*100+B66,Key!$G$2:$G$263,0)),""))</f>
        <v/>
      </c>
      <c r="F66">
        <f>IF(OR(C66="",B66=""),"",IFERROR(INDEX(Key!$E$2:$E$263,MATCH(C66*100+B66,Key!$G$2:$G$263,0)),""))</f>
        <v/>
      </c>
      <c r="G66" s="6" t="n"/>
      <c r="H66">
        <f>IF(OR(C66="",B66=""),"",IFERROR(INDEX(Papers!$K$2:$P$12,MATCH(C66,Papers!$A$2:$A$12,0),INDEX(Key!$D$2:$D$263,MATCH(C66*100+B66,Key!$G$2:$G$263,0))),""))</f>
        <v/>
      </c>
      <c r="I66" s="6" t="n"/>
      <c r="J66" s="6" t="n"/>
    </row>
    <row r="67">
      <c r="A67" s="6" t="n"/>
      <c r="B67" s="6" t="n"/>
      <c r="C67">
        <f>IF(A67="","",IFERROR(INDEX(Attempts!$D$2:$D$200,MATCH(A67,Attempts!$A$2:$A$200,0)),"?"))</f>
        <v/>
      </c>
      <c r="D67">
        <f>IF(OR(A67="",B67=""),"",IFERROR(INDEX(Attempts!$M$2:$AP$200,MATCH(A67,Attempts!$A$2:$A$200,0),B67),""))</f>
        <v/>
      </c>
      <c r="E67">
        <f>IF(OR(C67="",B67=""),"",IFERROR(INDEX(Key!$C$2:$C$263,MATCH(C67*100+B67,Key!$G$2:$G$263,0)),""))</f>
        <v/>
      </c>
      <c r="F67">
        <f>IF(OR(C67="",B67=""),"",IFERROR(INDEX(Key!$E$2:$E$263,MATCH(C67*100+B67,Key!$G$2:$G$263,0)),""))</f>
        <v/>
      </c>
      <c r="G67" s="6" t="n"/>
      <c r="H67">
        <f>IF(OR(C67="",B67=""),"",IFERROR(INDEX(Papers!$K$2:$P$12,MATCH(C67,Papers!$A$2:$A$12,0),INDEX(Key!$D$2:$D$263,MATCH(C67*100+B67,Key!$G$2:$G$263,0))),""))</f>
        <v/>
      </c>
      <c r="I67" s="6" t="n"/>
      <c r="J67" s="6" t="n"/>
    </row>
    <row r="68">
      <c r="A68" s="6" t="n"/>
      <c r="B68" s="6" t="n"/>
      <c r="C68">
        <f>IF(A68="","",IFERROR(INDEX(Attempts!$D$2:$D$200,MATCH(A68,Attempts!$A$2:$A$200,0)),"?"))</f>
        <v/>
      </c>
      <c r="D68">
        <f>IF(OR(A68="",B68=""),"",IFERROR(INDEX(Attempts!$M$2:$AP$200,MATCH(A68,Attempts!$A$2:$A$200,0),B68),""))</f>
        <v/>
      </c>
      <c r="E68">
        <f>IF(OR(C68="",B68=""),"",IFERROR(INDEX(Key!$C$2:$C$263,MATCH(C68*100+B68,Key!$G$2:$G$263,0)),""))</f>
        <v/>
      </c>
      <c r="F68">
        <f>IF(OR(C68="",B68=""),"",IFERROR(INDEX(Key!$E$2:$E$263,MATCH(C68*100+B68,Key!$G$2:$G$263,0)),""))</f>
        <v/>
      </c>
      <c r="G68" s="6" t="n"/>
      <c r="H68">
        <f>IF(OR(C68="",B68=""),"",IFERROR(INDEX(Papers!$K$2:$P$12,MATCH(C68,Papers!$A$2:$A$12,0),INDEX(Key!$D$2:$D$263,MATCH(C68*100+B68,Key!$G$2:$G$263,0))),""))</f>
        <v/>
      </c>
      <c r="I68" s="6" t="n"/>
      <c r="J68" s="6" t="n"/>
    </row>
    <row r="69">
      <c r="A69" s="6" t="n"/>
      <c r="B69" s="6" t="n"/>
      <c r="C69">
        <f>IF(A69="","",IFERROR(INDEX(Attempts!$D$2:$D$200,MATCH(A69,Attempts!$A$2:$A$200,0)),"?"))</f>
        <v/>
      </c>
      <c r="D69">
        <f>IF(OR(A69="",B69=""),"",IFERROR(INDEX(Attempts!$M$2:$AP$200,MATCH(A69,Attempts!$A$2:$A$200,0),B69),""))</f>
        <v/>
      </c>
      <c r="E69">
        <f>IF(OR(C69="",B69=""),"",IFERROR(INDEX(Key!$C$2:$C$263,MATCH(C69*100+B69,Key!$G$2:$G$263,0)),""))</f>
        <v/>
      </c>
      <c r="F69">
        <f>IF(OR(C69="",B69=""),"",IFERROR(INDEX(Key!$E$2:$E$263,MATCH(C69*100+B69,Key!$G$2:$G$263,0)),""))</f>
        <v/>
      </c>
      <c r="G69" s="6" t="n"/>
      <c r="H69">
        <f>IF(OR(C69="",B69=""),"",IFERROR(INDEX(Papers!$K$2:$P$12,MATCH(C69,Papers!$A$2:$A$12,0),INDEX(Key!$D$2:$D$263,MATCH(C69*100+B69,Key!$G$2:$G$263,0))),""))</f>
        <v/>
      </c>
      <c r="I69" s="6" t="n"/>
      <c r="J69" s="6" t="n"/>
    </row>
    <row r="70">
      <c r="A70" s="6" t="n"/>
      <c r="B70" s="6" t="n"/>
      <c r="C70">
        <f>IF(A70="","",IFERROR(INDEX(Attempts!$D$2:$D$200,MATCH(A70,Attempts!$A$2:$A$200,0)),"?"))</f>
        <v/>
      </c>
      <c r="D70">
        <f>IF(OR(A70="",B70=""),"",IFERROR(INDEX(Attempts!$M$2:$AP$200,MATCH(A70,Attempts!$A$2:$A$200,0),B70),""))</f>
        <v/>
      </c>
      <c r="E70">
        <f>IF(OR(C70="",B70=""),"",IFERROR(INDEX(Key!$C$2:$C$263,MATCH(C70*100+B70,Key!$G$2:$G$263,0)),""))</f>
        <v/>
      </c>
      <c r="F70">
        <f>IF(OR(C70="",B70=""),"",IFERROR(INDEX(Key!$E$2:$E$263,MATCH(C70*100+B70,Key!$G$2:$G$263,0)),""))</f>
        <v/>
      </c>
      <c r="G70" s="6" t="n"/>
      <c r="H70">
        <f>IF(OR(C70="",B70=""),"",IFERROR(INDEX(Papers!$K$2:$P$12,MATCH(C70,Papers!$A$2:$A$12,0),INDEX(Key!$D$2:$D$263,MATCH(C70*100+B70,Key!$G$2:$G$263,0))),""))</f>
        <v/>
      </c>
      <c r="I70" s="6" t="n"/>
      <c r="J70" s="6" t="n"/>
    </row>
    <row r="71">
      <c r="A71" s="6" t="n"/>
      <c r="B71" s="6" t="n"/>
      <c r="C71">
        <f>IF(A71="","",IFERROR(INDEX(Attempts!$D$2:$D$200,MATCH(A71,Attempts!$A$2:$A$200,0)),"?"))</f>
        <v/>
      </c>
      <c r="D71">
        <f>IF(OR(A71="",B71=""),"",IFERROR(INDEX(Attempts!$M$2:$AP$200,MATCH(A71,Attempts!$A$2:$A$200,0),B71),""))</f>
        <v/>
      </c>
      <c r="E71">
        <f>IF(OR(C71="",B71=""),"",IFERROR(INDEX(Key!$C$2:$C$263,MATCH(C71*100+B71,Key!$G$2:$G$263,0)),""))</f>
        <v/>
      </c>
      <c r="F71">
        <f>IF(OR(C71="",B71=""),"",IFERROR(INDEX(Key!$E$2:$E$263,MATCH(C71*100+B71,Key!$G$2:$G$263,0)),""))</f>
        <v/>
      </c>
      <c r="G71" s="6" t="n"/>
      <c r="H71">
        <f>IF(OR(C71="",B71=""),"",IFERROR(INDEX(Papers!$K$2:$P$12,MATCH(C71,Papers!$A$2:$A$12,0),INDEX(Key!$D$2:$D$263,MATCH(C71*100+B71,Key!$G$2:$G$263,0))),""))</f>
        <v/>
      </c>
      <c r="I71" s="6" t="n"/>
      <c r="J71" s="6" t="n"/>
    </row>
    <row r="72">
      <c r="A72" s="6" t="n"/>
      <c r="B72" s="6" t="n"/>
      <c r="C72">
        <f>IF(A72="","",IFERROR(INDEX(Attempts!$D$2:$D$200,MATCH(A72,Attempts!$A$2:$A$200,0)),"?"))</f>
        <v/>
      </c>
      <c r="D72">
        <f>IF(OR(A72="",B72=""),"",IFERROR(INDEX(Attempts!$M$2:$AP$200,MATCH(A72,Attempts!$A$2:$A$200,0),B72),""))</f>
        <v/>
      </c>
      <c r="E72">
        <f>IF(OR(C72="",B72=""),"",IFERROR(INDEX(Key!$C$2:$C$263,MATCH(C72*100+B72,Key!$G$2:$G$263,0)),""))</f>
        <v/>
      </c>
      <c r="F72">
        <f>IF(OR(C72="",B72=""),"",IFERROR(INDEX(Key!$E$2:$E$263,MATCH(C72*100+B72,Key!$G$2:$G$263,0)),""))</f>
        <v/>
      </c>
      <c r="G72" s="6" t="n"/>
      <c r="H72">
        <f>IF(OR(C72="",B72=""),"",IFERROR(INDEX(Papers!$K$2:$P$12,MATCH(C72,Papers!$A$2:$A$12,0),INDEX(Key!$D$2:$D$263,MATCH(C72*100+B72,Key!$G$2:$G$263,0))),""))</f>
        <v/>
      </c>
      <c r="I72" s="6" t="n"/>
      <c r="J72" s="6" t="n"/>
    </row>
    <row r="73">
      <c r="A73" s="6" t="n"/>
      <c r="B73" s="6" t="n"/>
      <c r="C73">
        <f>IF(A73="","",IFERROR(INDEX(Attempts!$D$2:$D$200,MATCH(A73,Attempts!$A$2:$A$200,0)),"?"))</f>
        <v/>
      </c>
      <c r="D73">
        <f>IF(OR(A73="",B73=""),"",IFERROR(INDEX(Attempts!$M$2:$AP$200,MATCH(A73,Attempts!$A$2:$A$200,0),B73),""))</f>
        <v/>
      </c>
      <c r="E73">
        <f>IF(OR(C73="",B73=""),"",IFERROR(INDEX(Key!$C$2:$C$263,MATCH(C73*100+B73,Key!$G$2:$G$263,0)),""))</f>
        <v/>
      </c>
      <c r="F73">
        <f>IF(OR(C73="",B73=""),"",IFERROR(INDEX(Key!$E$2:$E$263,MATCH(C73*100+B73,Key!$G$2:$G$263,0)),""))</f>
        <v/>
      </c>
      <c r="G73" s="6" t="n"/>
      <c r="H73">
        <f>IF(OR(C73="",B73=""),"",IFERROR(INDEX(Papers!$K$2:$P$12,MATCH(C73,Papers!$A$2:$A$12,0),INDEX(Key!$D$2:$D$263,MATCH(C73*100+B73,Key!$G$2:$G$263,0))),""))</f>
        <v/>
      </c>
      <c r="I73" s="6" t="n"/>
      <c r="J73" s="6" t="n"/>
    </row>
    <row r="74">
      <c r="A74" s="6" t="n"/>
      <c r="B74" s="6" t="n"/>
      <c r="C74">
        <f>IF(A74="","",IFERROR(INDEX(Attempts!$D$2:$D$200,MATCH(A74,Attempts!$A$2:$A$200,0)),"?"))</f>
        <v/>
      </c>
      <c r="D74">
        <f>IF(OR(A74="",B74=""),"",IFERROR(INDEX(Attempts!$M$2:$AP$200,MATCH(A74,Attempts!$A$2:$A$200,0),B74),""))</f>
        <v/>
      </c>
      <c r="E74">
        <f>IF(OR(C74="",B74=""),"",IFERROR(INDEX(Key!$C$2:$C$263,MATCH(C74*100+B74,Key!$G$2:$G$263,0)),""))</f>
        <v/>
      </c>
      <c r="F74">
        <f>IF(OR(C74="",B74=""),"",IFERROR(INDEX(Key!$E$2:$E$263,MATCH(C74*100+B74,Key!$G$2:$G$263,0)),""))</f>
        <v/>
      </c>
      <c r="G74" s="6" t="n"/>
      <c r="H74">
        <f>IF(OR(C74="",B74=""),"",IFERROR(INDEX(Papers!$K$2:$P$12,MATCH(C74,Papers!$A$2:$A$12,0),INDEX(Key!$D$2:$D$263,MATCH(C74*100+B74,Key!$G$2:$G$263,0))),""))</f>
        <v/>
      </c>
      <c r="I74" s="6" t="n"/>
      <c r="J74" s="6" t="n"/>
    </row>
    <row r="75">
      <c r="A75" s="6" t="n"/>
      <c r="B75" s="6" t="n"/>
      <c r="C75">
        <f>IF(A75="","",IFERROR(INDEX(Attempts!$D$2:$D$200,MATCH(A75,Attempts!$A$2:$A$200,0)),"?"))</f>
        <v/>
      </c>
      <c r="D75">
        <f>IF(OR(A75="",B75=""),"",IFERROR(INDEX(Attempts!$M$2:$AP$200,MATCH(A75,Attempts!$A$2:$A$200,0),B75),""))</f>
        <v/>
      </c>
      <c r="E75">
        <f>IF(OR(C75="",B75=""),"",IFERROR(INDEX(Key!$C$2:$C$263,MATCH(C75*100+B75,Key!$G$2:$G$263,0)),""))</f>
        <v/>
      </c>
      <c r="F75">
        <f>IF(OR(C75="",B75=""),"",IFERROR(INDEX(Key!$E$2:$E$263,MATCH(C75*100+B75,Key!$G$2:$G$263,0)),""))</f>
        <v/>
      </c>
      <c r="G75" s="6" t="n"/>
      <c r="H75">
        <f>IF(OR(C75="",B75=""),"",IFERROR(INDEX(Papers!$K$2:$P$12,MATCH(C75,Papers!$A$2:$A$12,0),INDEX(Key!$D$2:$D$263,MATCH(C75*100+B75,Key!$G$2:$G$263,0))),""))</f>
        <v/>
      </c>
      <c r="I75" s="6" t="n"/>
      <c r="J75" s="6" t="n"/>
    </row>
    <row r="76">
      <c r="A76" s="6" t="n"/>
      <c r="B76" s="6" t="n"/>
      <c r="C76">
        <f>IF(A76="","",IFERROR(INDEX(Attempts!$D$2:$D$200,MATCH(A76,Attempts!$A$2:$A$200,0)),"?"))</f>
        <v/>
      </c>
      <c r="D76">
        <f>IF(OR(A76="",B76=""),"",IFERROR(INDEX(Attempts!$M$2:$AP$200,MATCH(A76,Attempts!$A$2:$A$200,0),B76),""))</f>
        <v/>
      </c>
      <c r="E76">
        <f>IF(OR(C76="",B76=""),"",IFERROR(INDEX(Key!$C$2:$C$263,MATCH(C76*100+B76,Key!$G$2:$G$263,0)),""))</f>
        <v/>
      </c>
      <c r="F76">
        <f>IF(OR(C76="",B76=""),"",IFERROR(INDEX(Key!$E$2:$E$263,MATCH(C76*100+B76,Key!$G$2:$G$263,0)),""))</f>
        <v/>
      </c>
      <c r="G76" s="6" t="n"/>
      <c r="H76">
        <f>IF(OR(C76="",B76=""),"",IFERROR(INDEX(Papers!$K$2:$P$12,MATCH(C76,Papers!$A$2:$A$12,0),INDEX(Key!$D$2:$D$263,MATCH(C76*100+B76,Key!$G$2:$G$263,0))),""))</f>
        <v/>
      </c>
      <c r="I76" s="6" t="n"/>
      <c r="J76" s="6" t="n"/>
    </row>
    <row r="77">
      <c r="A77" s="6" t="n"/>
      <c r="B77" s="6" t="n"/>
      <c r="C77">
        <f>IF(A77="","",IFERROR(INDEX(Attempts!$D$2:$D$200,MATCH(A77,Attempts!$A$2:$A$200,0)),"?"))</f>
        <v/>
      </c>
      <c r="D77">
        <f>IF(OR(A77="",B77=""),"",IFERROR(INDEX(Attempts!$M$2:$AP$200,MATCH(A77,Attempts!$A$2:$A$200,0),B77),""))</f>
        <v/>
      </c>
      <c r="E77">
        <f>IF(OR(C77="",B77=""),"",IFERROR(INDEX(Key!$C$2:$C$263,MATCH(C77*100+B77,Key!$G$2:$G$263,0)),""))</f>
        <v/>
      </c>
      <c r="F77">
        <f>IF(OR(C77="",B77=""),"",IFERROR(INDEX(Key!$E$2:$E$263,MATCH(C77*100+B77,Key!$G$2:$G$263,0)),""))</f>
        <v/>
      </c>
      <c r="G77" s="6" t="n"/>
      <c r="H77">
        <f>IF(OR(C77="",B77=""),"",IFERROR(INDEX(Papers!$K$2:$P$12,MATCH(C77,Papers!$A$2:$A$12,0),INDEX(Key!$D$2:$D$263,MATCH(C77*100+B77,Key!$G$2:$G$263,0))),""))</f>
        <v/>
      </c>
      <c r="I77" s="6" t="n"/>
      <c r="J77" s="6" t="n"/>
    </row>
    <row r="78">
      <c r="A78" s="6" t="n"/>
      <c r="B78" s="6" t="n"/>
      <c r="C78">
        <f>IF(A78="","",IFERROR(INDEX(Attempts!$D$2:$D$200,MATCH(A78,Attempts!$A$2:$A$200,0)),"?"))</f>
        <v/>
      </c>
      <c r="D78">
        <f>IF(OR(A78="",B78=""),"",IFERROR(INDEX(Attempts!$M$2:$AP$200,MATCH(A78,Attempts!$A$2:$A$200,0),B78),""))</f>
        <v/>
      </c>
      <c r="E78">
        <f>IF(OR(C78="",B78=""),"",IFERROR(INDEX(Key!$C$2:$C$263,MATCH(C78*100+B78,Key!$G$2:$G$263,0)),""))</f>
        <v/>
      </c>
      <c r="F78">
        <f>IF(OR(C78="",B78=""),"",IFERROR(INDEX(Key!$E$2:$E$263,MATCH(C78*100+B78,Key!$G$2:$G$263,0)),""))</f>
        <v/>
      </c>
      <c r="G78" s="6" t="n"/>
      <c r="H78">
        <f>IF(OR(C78="",B78=""),"",IFERROR(INDEX(Papers!$K$2:$P$12,MATCH(C78,Papers!$A$2:$A$12,0),INDEX(Key!$D$2:$D$263,MATCH(C78*100+B78,Key!$G$2:$G$263,0))),""))</f>
        <v/>
      </c>
      <c r="I78" s="6" t="n"/>
      <c r="J78" s="6" t="n"/>
    </row>
    <row r="79">
      <c r="A79" s="6" t="n"/>
      <c r="B79" s="6" t="n"/>
      <c r="C79">
        <f>IF(A79="","",IFERROR(INDEX(Attempts!$D$2:$D$200,MATCH(A79,Attempts!$A$2:$A$200,0)),"?"))</f>
        <v/>
      </c>
      <c r="D79">
        <f>IF(OR(A79="",B79=""),"",IFERROR(INDEX(Attempts!$M$2:$AP$200,MATCH(A79,Attempts!$A$2:$A$200,0),B79),""))</f>
        <v/>
      </c>
      <c r="E79">
        <f>IF(OR(C79="",B79=""),"",IFERROR(INDEX(Key!$C$2:$C$263,MATCH(C79*100+B79,Key!$G$2:$G$263,0)),""))</f>
        <v/>
      </c>
      <c r="F79">
        <f>IF(OR(C79="",B79=""),"",IFERROR(INDEX(Key!$E$2:$E$263,MATCH(C79*100+B79,Key!$G$2:$G$263,0)),""))</f>
        <v/>
      </c>
      <c r="G79" s="6" t="n"/>
      <c r="H79">
        <f>IF(OR(C79="",B79=""),"",IFERROR(INDEX(Papers!$K$2:$P$12,MATCH(C79,Papers!$A$2:$A$12,0),INDEX(Key!$D$2:$D$263,MATCH(C79*100+B79,Key!$G$2:$G$263,0))),""))</f>
        <v/>
      </c>
      <c r="I79" s="6" t="n"/>
      <c r="J79" s="6" t="n"/>
    </row>
    <row r="80">
      <c r="A80" s="6" t="n"/>
      <c r="B80" s="6" t="n"/>
      <c r="C80">
        <f>IF(A80="","",IFERROR(INDEX(Attempts!$D$2:$D$200,MATCH(A80,Attempts!$A$2:$A$200,0)),"?"))</f>
        <v/>
      </c>
      <c r="D80">
        <f>IF(OR(A80="",B80=""),"",IFERROR(INDEX(Attempts!$M$2:$AP$200,MATCH(A80,Attempts!$A$2:$A$200,0),B80),""))</f>
        <v/>
      </c>
      <c r="E80">
        <f>IF(OR(C80="",B80=""),"",IFERROR(INDEX(Key!$C$2:$C$263,MATCH(C80*100+B80,Key!$G$2:$G$263,0)),""))</f>
        <v/>
      </c>
      <c r="F80">
        <f>IF(OR(C80="",B80=""),"",IFERROR(INDEX(Key!$E$2:$E$263,MATCH(C80*100+B80,Key!$G$2:$G$263,0)),""))</f>
        <v/>
      </c>
      <c r="G80" s="6" t="n"/>
      <c r="H80">
        <f>IF(OR(C80="",B80=""),"",IFERROR(INDEX(Papers!$K$2:$P$12,MATCH(C80,Papers!$A$2:$A$12,0),INDEX(Key!$D$2:$D$263,MATCH(C80*100+B80,Key!$G$2:$G$263,0))),""))</f>
        <v/>
      </c>
      <c r="I80" s="6" t="n"/>
      <c r="J80" s="6" t="n"/>
    </row>
    <row r="81">
      <c r="A81" s="6" t="n"/>
      <c r="B81" s="6" t="n"/>
      <c r="C81">
        <f>IF(A81="","",IFERROR(INDEX(Attempts!$D$2:$D$200,MATCH(A81,Attempts!$A$2:$A$200,0)),"?"))</f>
        <v/>
      </c>
      <c r="D81">
        <f>IF(OR(A81="",B81=""),"",IFERROR(INDEX(Attempts!$M$2:$AP$200,MATCH(A81,Attempts!$A$2:$A$200,0),B81),""))</f>
        <v/>
      </c>
      <c r="E81">
        <f>IF(OR(C81="",B81=""),"",IFERROR(INDEX(Key!$C$2:$C$263,MATCH(C81*100+B81,Key!$G$2:$G$263,0)),""))</f>
        <v/>
      </c>
      <c r="F81">
        <f>IF(OR(C81="",B81=""),"",IFERROR(INDEX(Key!$E$2:$E$263,MATCH(C81*100+B81,Key!$G$2:$G$263,0)),""))</f>
        <v/>
      </c>
      <c r="G81" s="6" t="n"/>
      <c r="H81">
        <f>IF(OR(C81="",B81=""),"",IFERROR(INDEX(Papers!$K$2:$P$12,MATCH(C81,Papers!$A$2:$A$12,0),INDEX(Key!$D$2:$D$263,MATCH(C81*100+B81,Key!$G$2:$G$263,0))),""))</f>
        <v/>
      </c>
      <c r="I81" s="6" t="n"/>
      <c r="J81" s="6" t="n"/>
    </row>
    <row r="82">
      <c r="A82" s="6" t="n"/>
      <c r="B82" s="6" t="n"/>
      <c r="C82">
        <f>IF(A82="","",IFERROR(INDEX(Attempts!$D$2:$D$200,MATCH(A82,Attempts!$A$2:$A$200,0)),"?"))</f>
        <v/>
      </c>
      <c r="D82">
        <f>IF(OR(A82="",B82=""),"",IFERROR(INDEX(Attempts!$M$2:$AP$200,MATCH(A82,Attempts!$A$2:$A$200,0),B82),""))</f>
        <v/>
      </c>
      <c r="E82">
        <f>IF(OR(C82="",B82=""),"",IFERROR(INDEX(Key!$C$2:$C$263,MATCH(C82*100+B82,Key!$G$2:$G$263,0)),""))</f>
        <v/>
      </c>
      <c r="F82">
        <f>IF(OR(C82="",B82=""),"",IFERROR(INDEX(Key!$E$2:$E$263,MATCH(C82*100+B82,Key!$G$2:$G$263,0)),""))</f>
        <v/>
      </c>
      <c r="G82" s="6" t="n"/>
      <c r="H82">
        <f>IF(OR(C82="",B82=""),"",IFERROR(INDEX(Papers!$K$2:$P$12,MATCH(C82,Papers!$A$2:$A$12,0),INDEX(Key!$D$2:$D$263,MATCH(C82*100+B82,Key!$G$2:$G$263,0))),""))</f>
        <v/>
      </c>
      <c r="I82" s="6" t="n"/>
      <c r="J82" s="6" t="n"/>
    </row>
    <row r="83">
      <c r="A83" s="6" t="n"/>
      <c r="B83" s="6" t="n"/>
      <c r="C83">
        <f>IF(A83="","",IFERROR(INDEX(Attempts!$D$2:$D$200,MATCH(A83,Attempts!$A$2:$A$200,0)),"?"))</f>
        <v/>
      </c>
      <c r="D83">
        <f>IF(OR(A83="",B83=""),"",IFERROR(INDEX(Attempts!$M$2:$AP$200,MATCH(A83,Attempts!$A$2:$A$200,0),B83),""))</f>
        <v/>
      </c>
      <c r="E83">
        <f>IF(OR(C83="",B83=""),"",IFERROR(INDEX(Key!$C$2:$C$263,MATCH(C83*100+B83,Key!$G$2:$G$263,0)),""))</f>
        <v/>
      </c>
      <c r="F83">
        <f>IF(OR(C83="",B83=""),"",IFERROR(INDEX(Key!$E$2:$E$263,MATCH(C83*100+B83,Key!$G$2:$G$263,0)),""))</f>
        <v/>
      </c>
      <c r="G83" s="6" t="n"/>
      <c r="H83">
        <f>IF(OR(C83="",B83=""),"",IFERROR(INDEX(Papers!$K$2:$P$12,MATCH(C83,Papers!$A$2:$A$12,0),INDEX(Key!$D$2:$D$263,MATCH(C83*100+B83,Key!$G$2:$G$263,0))),""))</f>
        <v/>
      </c>
      <c r="I83" s="6" t="n"/>
      <c r="J83" s="6" t="n"/>
    </row>
    <row r="84">
      <c r="A84" s="6" t="n"/>
      <c r="B84" s="6" t="n"/>
      <c r="C84">
        <f>IF(A84="","",IFERROR(INDEX(Attempts!$D$2:$D$200,MATCH(A84,Attempts!$A$2:$A$200,0)),"?"))</f>
        <v/>
      </c>
      <c r="D84">
        <f>IF(OR(A84="",B84=""),"",IFERROR(INDEX(Attempts!$M$2:$AP$200,MATCH(A84,Attempts!$A$2:$A$200,0),B84),""))</f>
        <v/>
      </c>
      <c r="E84">
        <f>IF(OR(C84="",B84=""),"",IFERROR(INDEX(Key!$C$2:$C$263,MATCH(C84*100+B84,Key!$G$2:$G$263,0)),""))</f>
        <v/>
      </c>
      <c r="F84">
        <f>IF(OR(C84="",B84=""),"",IFERROR(INDEX(Key!$E$2:$E$263,MATCH(C84*100+B84,Key!$G$2:$G$263,0)),""))</f>
        <v/>
      </c>
      <c r="G84" s="6" t="n"/>
      <c r="H84">
        <f>IF(OR(C84="",B84=""),"",IFERROR(INDEX(Papers!$K$2:$P$12,MATCH(C84,Papers!$A$2:$A$12,0),INDEX(Key!$D$2:$D$263,MATCH(C84*100+B84,Key!$G$2:$G$263,0))),""))</f>
        <v/>
      </c>
      <c r="I84" s="6" t="n"/>
      <c r="J84" s="6" t="n"/>
    </row>
    <row r="85">
      <c r="A85" s="6" t="n"/>
      <c r="B85" s="6" t="n"/>
      <c r="C85">
        <f>IF(A85="","",IFERROR(INDEX(Attempts!$D$2:$D$200,MATCH(A85,Attempts!$A$2:$A$200,0)),"?"))</f>
        <v/>
      </c>
      <c r="D85">
        <f>IF(OR(A85="",B85=""),"",IFERROR(INDEX(Attempts!$M$2:$AP$200,MATCH(A85,Attempts!$A$2:$A$200,0),B85),""))</f>
        <v/>
      </c>
      <c r="E85">
        <f>IF(OR(C85="",B85=""),"",IFERROR(INDEX(Key!$C$2:$C$263,MATCH(C85*100+B85,Key!$G$2:$G$263,0)),""))</f>
        <v/>
      </c>
      <c r="F85">
        <f>IF(OR(C85="",B85=""),"",IFERROR(INDEX(Key!$E$2:$E$263,MATCH(C85*100+B85,Key!$G$2:$G$263,0)),""))</f>
        <v/>
      </c>
      <c r="G85" s="6" t="n"/>
      <c r="H85">
        <f>IF(OR(C85="",B85=""),"",IFERROR(INDEX(Papers!$K$2:$P$12,MATCH(C85,Papers!$A$2:$A$12,0),INDEX(Key!$D$2:$D$263,MATCH(C85*100+B85,Key!$G$2:$G$263,0))),""))</f>
        <v/>
      </c>
      <c r="I85" s="6" t="n"/>
      <c r="J85" s="6" t="n"/>
    </row>
    <row r="86">
      <c r="A86" s="6" t="n"/>
      <c r="B86" s="6" t="n"/>
      <c r="C86">
        <f>IF(A86="","",IFERROR(INDEX(Attempts!$D$2:$D$200,MATCH(A86,Attempts!$A$2:$A$200,0)),"?"))</f>
        <v/>
      </c>
      <c r="D86">
        <f>IF(OR(A86="",B86=""),"",IFERROR(INDEX(Attempts!$M$2:$AP$200,MATCH(A86,Attempts!$A$2:$A$200,0),B86),""))</f>
        <v/>
      </c>
      <c r="E86">
        <f>IF(OR(C86="",B86=""),"",IFERROR(INDEX(Key!$C$2:$C$263,MATCH(C86*100+B86,Key!$G$2:$G$263,0)),""))</f>
        <v/>
      </c>
      <c r="F86">
        <f>IF(OR(C86="",B86=""),"",IFERROR(INDEX(Key!$E$2:$E$263,MATCH(C86*100+B86,Key!$G$2:$G$263,0)),""))</f>
        <v/>
      </c>
      <c r="G86" s="6" t="n"/>
      <c r="H86">
        <f>IF(OR(C86="",B86=""),"",IFERROR(INDEX(Papers!$K$2:$P$12,MATCH(C86,Papers!$A$2:$A$12,0),INDEX(Key!$D$2:$D$263,MATCH(C86*100+B86,Key!$G$2:$G$263,0))),""))</f>
        <v/>
      </c>
      <c r="I86" s="6" t="n"/>
      <c r="J86" s="6" t="n"/>
    </row>
    <row r="87">
      <c r="A87" s="6" t="n"/>
      <c r="B87" s="6" t="n"/>
      <c r="C87">
        <f>IF(A87="","",IFERROR(INDEX(Attempts!$D$2:$D$200,MATCH(A87,Attempts!$A$2:$A$200,0)),"?"))</f>
        <v/>
      </c>
      <c r="D87">
        <f>IF(OR(A87="",B87=""),"",IFERROR(INDEX(Attempts!$M$2:$AP$200,MATCH(A87,Attempts!$A$2:$A$200,0),B87),""))</f>
        <v/>
      </c>
      <c r="E87">
        <f>IF(OR(C87="",B87=""),"",IFERROR(INDEX(Key!$C$2:$C$263,MATCH(C87*100+B87,Key!$G$2:$G$263,0)),""))</f>
        <v/>
      </c>
      <c r="F87">
        <f>IF(OR(C87="",B87=""),"",IFERROR(INDEX(Key!$E$2:$E$263,MATCH(C87*100+B87,Key!$G$2:$G$263,0)),""))</f>
        <v/>
      </c>
      <c r="G87" s="6" t="n"/>
      <c r="H87">
        <f>IF(OR(C87="",B87=""),"",IFERROR(INDEX(Papers!$K$2:$P$12,MATCH(C87,Papers!$A$2:$A$12,0),INDEX(Key!$D$2:$D$263,MATCH(C87*100+B87,Key!$G$2:$G$263,0))),""))</f>
        <v/>
      </c>
      <c r="I87" s="6" t="n"/>
      <c r="J87" s="6" t="n"/>
    </row>
    <row r="88">
      <c r="A88" s="6" t="n"/>
      <c r="B88" s="6" t="n"/>
      <c r="C88">
        <f>IF(A88="","",IFERROR(INDEX(Attempts!$D$2:$D$200,MATCH(A88,Attempts!$A$2:$A$200,0)),"?"))</f>
        <v/>
      </c>
      <c r="D88">
        <f>IF(OR(A88="",B88=""),"",IFERROR(INDEX(Attempts!$M$2:$AP$200,MATCH(A88,Attempts!$A$2:$A$200,0),B88),""))</f>
        <v/>
      </c>
      <c r="E88">
        <f>IF(OR(C88="",B88=""),"",IFERROR(INDEX(Key!$C$2:$C$263,MATCH(C88*100+B88,Key!$G$2:$G$263,0)),""))</f>
        <v/>
      </c>
      <c r="F88">
        <f>IF(OR(C88="",B88=""),"",IFERROR(INDEX(Key!$E$2:$E$263,MATCH(C88*100+B88,Key!$G$2:$G$263,0)),""))</f>
        <v/>
      </c>
      <c r="G88" s="6" t="n"/>
      <c r="H88">
        <f>IF(OR(C88="",B88=""),"",IFERROR(INDEX(Papers!$K$2:$P$12,MATCH(C88,Papers!$A$2:$A$12,0),INDEX(Key!$D$2:$D$263,MATCH(C88*100+B88,Key!$G$2:$G$263,0))),""))</f>
        <v/>
      </c>
      <c r="I88" s="6" t="n"/>
      <c r="J88" s="6" t="n"/>
    </row>
    <row r="89">
      <c r="A89" s="6" t="n"/>
      <c r="B89" s="6" t="n"/>
      <c r="C89">
        <f>IF(A89="","",IFERROR(INDEX(Attempts!$D$2:$D$200,MATCH(A89,Attempts!$A$2:$A$200,0)),"?"))</f>
        <v/>
      </c>
      <c r="D89">
        <f>IF(OR(A89="",B89=""),"",IFERROR(INDEX(Attempts!$M$2:$AP$200,MATCH(A89,Attempts!$A$2:$A$200,0),B89),""))</f>
        <v/>
      </c>
      <c r="E89">
        <f>IF(OR(C89="",B89=""),"",IFERROR(INDEX(Key!$C$2:$C$263,MATCH(C89*100+B89,Key!$G$2:$G$263,0)),""))</f>
        <v/>
      </c>
      <c r="F89">
        <f>IF(OR(C89="",B89=""),"",IFERROR(INDEX(Key!$E$2:$E$263,MATCH(C89*100+B89,Key!$G$2:$G$263,0)),""))</f>
        <v/>
      </c>
      <c r="G89" s="6" t="n"/>
      <c r="H89">
        <f>IF(OR(C89="",B89=""),"",IFERROR(INDEX(Papers!$K$2:$P$12,MATCH(C89,Papers!$A$2:$A$12,0),INDEX(Key!$D$2:$D$263,MATCH(C89*100+B89,Key!$G$2:$G$263,0))),""))</f>
        <v/>
      </c>
      <c r="I89" s="6" t="n"/>
      <c r="J89" s="6" t="n"/>
    </row>
    <row r="90">
      <c r="A90" s="6" t="n"/>
      <c r="B90" s="6" t="n"/>
      <c r="C90">
        <f>IF(A90="","",IFERROR(INDEX(Attempts!$D$2:$D$200,MATCH(A90,Attempts!$A$2:$A$200,0)),"?"))</f>
        <v/>
      </c>
      <c r="D90">
        <f>IF(OR(A90="",B90=""),"",IFERROR(INDEX(Attempts!$M$2:$AP$200,MATCH(A90,Attempts!$A$2:$A$200,0),B90),""))</f>
        <v/>
      </c>
      <c r="E90">
        <f>IF(OR(C90="",B90=""),"",IFERROR(INDEX(Key!$C$2:$C$263,MATCH(C90*100+B90,Key!$G$2:$G$263,0)),""))</f>
        <v/>
      </c>
      <c r="F90">
        <f>IF(OR(C90="",B90=""),"",IFERROR(INDEX(Key!$E$2:$E$263,MATCH(C90*100+B90,Key!$G$2:$G$263,0)),""))</f>
        <v/>
      </c>
      <c r="G90" s="6" t="n"/>
      <c r="H90">
        <f>IF(OR(C90="",B90=""),"",IFERROR(INDEX(Papers!$K$2:$P$12,MATCH(C90,Papers!$A$2:$A$12,0),INDEX(Key!$D$2:$D$263,MATCH(C90*100+B90,Key!$G$2:$G$263,0))),""))</f>
        <v/>
      </c>
      <c r="I90" s="6" t="n"/>
      <c r="J90" s="6" t="n"/>
    </row>
    <row r="91">
      <c r="A91" s="6" t="n"/>
      <c r="B91" s="6" t="n"/>
      <c r="C91">
        <f>IF(A91="","",IFERROR(INDEX(Attempts!$D$2:$D$200,MATCH(A91,Attempts!$A$2:$A$200,0)),"?"))</f>
        <v/>
      </c>
      <c r="D91">
        <f>IF(OR(A91="",B91=""),"",IFERROR(INDEX(Attempts!$M$2:$AP$200,MATCH(A91,Attempts!$A$2:$A$200,0),B91),""))</f>
        <v/>
      </c>
      <c r="E91">
        <f>IF(OR(C91="",B91=""),"",IFERROR(INDEX(Key!$C$2:$C$263,MATCH(C91*100+B91,Key!$G$2:$G$263,0)),""))</f>
        <v/>
      </c>
      <c r="F91">
        <f>IF(OR(C91="",B91=""),"",IFERROR(INDEX(Key!$E$2:$E$263,MATCH(C91*100+B91,Key!$G$2:$G$263,0)),""))</f>
        <v/>
      </c>
      <c r="G91" s="6" t="n"/>
      <c r="H91">
        <f>IF(OR(C91="",B91=""),"",IFERROR(INDEX(Papers!$K$2:$P$12,MATCH(C91,Papers!$A$2:$A$12,0),INDEX(Key!$D$2:$D$263,MATCH(C91*100+B91,Key!$G$2:$G$263,0))),""))</f>
        <v/>
      </c>
      <c r="I91" s="6" t="n"/>
      <c r="J91" s="6" t="n"/>
    </row>
    <row r="92">
      <c r="A92" s="6" t="n"/>
      <c r="B92" s="6" t="n"/>
      <c r="C92">
        <f>IF(A92="","",IFERROR(INDEX(Attempts!$D$2:$D$200,MATCH(A92,Attempts!$A$2:$A$200,0)),"?"))</f>
        <v/>
      </c>
      <c r="D92">
        <f>IF(OR(A92="",B92=""),"",IFERROR(INDEX(Attempts!$M$2:$AP$200,MATCH(A92,Attempts!$A$2:$A$200,0),B92),""))</f>
        <v/>
      </c>
      <c r="E92">
        <f>IF(OR(C92="",B92=""),"",IFERROR(INDEX(Key!$C$2:$C$263,MATCH(C92*100+B92,Key!$G$2:$G$263,0)),""))</f>
        <v/>
      </c>
      <c r="F92">
        <f>IF(OR(C92="",B92=""),"",IFERROR(INDEX(Key!$E$2:$E$263,MATCH(C92*100+B92,Key!$G$2:$G$263,0)),""))</f>
        <v/>
      </c>
      <c r="G92" s="6" t="n"/>
      <c r="H92">
        <f>IF(OR(C92="",B92=""),"",IFERROR(INDEX(Papers!$K$2:$P$12,MATCH(C92,Papers!$A$2:$A$12,0),INDEX(Key!$D$2:$D$263,MATCH(C92*100+B92,Key!$G$2:$G$263,0))),""))</f>
        <v/>
      </c>
      <c r="I92" s="6" t="n"/>
      <c r="J92" s="6" t="n"/>
    </row>
    <row r="93">
      <c r="A93" s="6" t="n"/>
      <c r="B93" s="6" t="n"/>
      <c r="C93">
        <f>IF(A93="","",IFERROR(INDEX(Attempts!$D$2:$D$200,MATCH(A93,Attempts!$A$2:$A$200,0)),"?"))</f>
        <v/>
      </c>
      <c r="D93">
        <f>IF(OR(A93="",B93=""),"",IFERROR(INDEX(Attempts!$M$2:$AP$200,MATCH(A93,Attempts!$A$2:$A$200,0),B93),""))</f>
        <v/>
      </c>
      <c r="E93">
        <f>IF(OR(C93="",B93=""),"",IFERROR(INDEX(Key!$C$2:$C$263,MATCH(C93*100+B93,Key!$G$2:$G$263,0)),""))</f>
        <v/>
      </c>
      <c r="F93">
        <f>IF(OR(C93="",B93=""),"",IFERROR(INDEX(Key!$E$2:$E$263,MATCH(C93*100+B93,Key!$G$2:$G$263,0)),""))</f>
        <v/>
      </c>
      <c r="G93" s="6" t="n"/>
      <c r="H93">
        <f>IF(OR(C93="",B93=""),"",IFERROR(INDEX(Papers!$K$2:$P$12,MATCH(C93,Papers!$A$2:$A$12,0),INDEX(Key!$D$2:$D$263,MATCH(C93*100+B93,Key!$G$2:$G$263,0))),""))</f>
        <v/>
      </c>
      <c r="I93" s="6" t="n"/>
      <c r="J93" s="6" t="n"/>
    </row>
    <row r="94">
      <c r="A94" s="6" t="n"/>
      <c r="B94" s="6" t="n"/>
      <c r="C94">
        <f>IF(A94="","",IFERROR(INDEX(Attempts!$D$2:$D$200,MATCH(A94,Attempts!$A$2:$A$200,0)),"?"))</f>
        <v/>
      </c>
      <c r="D94">
        <f>IF(OR(A94="",B94=""),"",IFERROR(INDEX(Attempts!$M$2:$AP$200,MATCH(A94,Attempts!$A$2:$A$200,0),B94),""))</f>
        <v/>
      </c>
      <c r="E94">
        <f>IF(OR(C94="",B94=""),"",IFERROR(INDEX(Key!$C$2:$C$263,MATCH(C94*100+B94,Key!$G$2:$G$263,0)),""))</f>
        <v/>
      </c>
      <c r="F94">
        <f>IF(OR(C94="",B94=""),"",IFERROR(INDEX(Key!$E$2:$E$263,MATCH(C94*100+B94,Key!$G$2:$G$263,0)),""))</f>
        <v/>
      </c>
      <c r="G94" s="6" t="n"/>
      <c r="H94">
        <f>IF(OR(C94="",B94=""),"",IFERROR(INDEX(Papers!$K$2:$P$12,MATCH(C94,Papers!$A$2:$A$12,0),INDEX(Key!$D$2:$D$263,MATCH(C94*100+B94,Key!$G$2:$G$263,0))),""))</f>
        <v/>
      </c>
      <c r="I94" s="6" t="n"/>
      <c r="J94" s="6" t="n"/>
    </row>
    <row r="95">
      <c r="A95" s="6" t="n"/>
      <c r="B95" s="6" t="n"/>
      <c r="C95">
        <f>IF(A95="","",IFERROR(INDEX(Attempts!$D$2:$D$200,MATCH(A95,Attempts!$A$2:$A$200,0)),"?"))</f>
        <v/>
      </c>
      <c r="D95">
        <f>IF(OR(A95="",B95=""),"",IFERROR(INDEX(Attempts!$M$2:$AP$200,MATCH(A95,Attempts!$A$2:$A$200,0),B95),""))</f>
        <v/>
      </c>
      <c r="E95">
        <f>IF(OR(C95="",B95=""),"",IFERROR(INDEX(Key!$C$2:$C$263,MATCH(C95*100+B95,Key!$G$2:$G$263,0)),""))</f>
        <v/>
      </c>
      <c r="F95">
        <f>IF(OR(C95="",B95=""),"",IFERROR(INDEX(Key!$E$2:$E$263,MATCH(C95*100+B95,Key!$G$2:$G$263,0)),""))</f>
        <v/>
      </c>
      <c r="G95" s="6" t="n"/>
      <c r="H95">
        <f>IF(OR(C95="",B95=""),"",IFERROR(INDEX(Papers!$K$2:$P$12,MATCH(C95,Papers!$A$2:$A$12,0),INDEX(Key!$D$2:$D$263,MATCH(C95*100+B95,Key!$G$2:$G$263,0))),""))</f>
        <v/>
      </c>
      <c r="I95" s="6" t="n"/>
      <c r="J95" s="6" t="n"/>
    </row>
    <row r="96">
      <c r="A96" s="6" t="n"/>
      <c r="B96" s="6" t="n"/>
      <c r="C96">
        <f>IF(A96="","",IFERROR(INDEX(Attempts!$D$2:$D$200,MATCH(A96,Attempts!$A$2:$A$200,0)),"?"))</f>
        <v/>
      </c>
      <c r="D96">
        <f>IF(OR(A96="",B96=""),"",IFERROR(INDEX(Attempts!$M$2:$AP$200,MATCH(A96,Attempts!$A$2:$A$200,0),B96),""))</f>
        <v/>
      </c>
      <c r="E96">
        <f>IF(OR(C96="",B96=""),"",IFERROR(INDEX(Key!$C$2:$C$263,MATCH(C96*100+B96,Key!$G$2:$G$263,0)),""))</f>
        <v/>
      </c>
      <c r="F96">
        <f>IF(OR(C96="",B96=""),"",IFERROR(INDEX(Key!$E$2:$E$263,MATCH(C96*100+B96,Key!$G$2:$G$263,0)),""))</f>
        <v/>
      </c>
      <c r="G96" s="6" t="n"/>
      <c r="H96">
        <f>IF(OR(C96="",B96=""),"",IFERROR(INDEX(Papers!$K$2:$P$12,MATCH(C96,Papers!$A$2:$A$12,0),INDEX(Key!$D$2:$D$263,MATCH(C96*100+B96,Key!$G$2:$G$263,0))),""))</f>
        <v/>
      </c>
      <c r="I96" s="6" t="n"/>
      <c r="J96" s="6" t="n"/>
    </row>
    <row r="97">
      <c r="A97" s="6" t="n"/>
      <c r="B97" s="6" t="n"/>
      <c r="C97">
        <f>IF(A97="","",IFERROR(INDEX(Attempts!$D$2:$D$200,MATCH(A97,Attempts!$A$2:$A$200,0)),"?"))</f>
        <v/>
      </c>
      <c r="D97">
        <f>IF(OR(A97="",B97=""),"",IFERROR(INDEX(Attempts!$M$2:$AP$200,MATCH(A97,Attempts!$A$2:$A$200,0),B97),""))</f>
        <v/>
      </c>
      <c r="E97">
        <f>IF(OR(C97="",B97=""),"",IFERROR(INDEX(Key!$C$2:$C$263,MATCH(C97*100+B97,Key!$G$2:$G$263,0)),""))</f>
        <v/>
      </c>
      <c r="F97">
        <f>IF(OR(C97="",B97=""),"",IFERROR(INDEX(Key!$E$2:$E$263,MATCH(C97*100+B97,Key!$G$2:$G$263,0)),""))</f>
        <v/>
      </c>
      <c r="G97" s="6" t="n"/>
      <c r="H97">
        <f>IF(OR(C97="",B97=""),"",IFERROR(INDEX(Papers!$K$2:$P$12,MATCH(C97,Papers!$A$2:$A$12,0),INDEX(Key!$D$2:$D$263,MATCH(C97*100+B97,Key!$G$2:$G$263,0))),""))</f>
        <v/>
      </c>
      <c r="I97" s="6" t="n"/>
      <c r="J97" s="6" t="n"/>
    </row>
    <row r="98">
      <c r="A98" s="6" t="n"/>
      <c r="B98" s="6" t="n"/>
      <c r="C98">
        <f>IF(A98="","",IFERROR(INDEX(Attempts!$D$2:$D$200,MATCH(A98,Attempts!$A$2:$A$200,0)),"?"))</f>
        <v/>
      </c>
      <c r="D98">
        <f>IF(OR(A98="",B98=""),"",IFERROR(INDEX(Attempts!$M$2:$AP$200,MATCH(A98,Attempts!$A$2:$A$200,0),B98),""))</f>
        <v/>
      </c>
      <c r="E98">
        <f>IF(OR(C98="",B98=""),"",IFERROR(INDEX(Key!$C$2:$C$263,MATCH(C98*100+B98,Key!$G$2:$G$263,0)),""))</f>
        <v/>
      </c>
      <c r="F98">
        <f>IF(OR(C98="",B98=""),"",IFERROR(INDEX(Key!$E$2:$E$263,MATCH(C98*100+B98,Key!$G$2:$G$263,0)),""))</f>
        <v/>
      </c>
      <c r="G98" s="6" t="n"/>
      <c r="H98">
        <f>IF(OR(C98="",B98=""),"",IFERROR(INDEX(Papers!$K$2:$P$12,MATCH(C98,Papers!$A$2:$A$12,0),INDEX(Key!$D$2:$D$263,MATCH(C98*100+B98,Key!$G$2:$G$263,0))),""))</f>
        <v/>
      </c>
      <c r="I98" s="6" t="n"/>
      <c r="J98" s="6" t="n"/>
    </row>
    <row r="99">
      <c r="A99" s="6" t="n"/>
      <c r="B99" s="6" t="n"/>
      <c r="C99">
        <f>IF(A99="","",IFERROR(INDEX(Attempts!$D$2:$D$200,MATCH(A99,Attempts!$A$2:$A$200,0)),"?"))</f>
        <v/>
      </c>
      <c r="D99">
        <f>IF(OR(A99="",B99=""),"",IFERROR(INDEX(Attempts!$M$2:$AP$200,MATCH(A99,Attempts!$A$2:$A$200,0),B99),""))</f>
        <v/>
      </c>
      <c r="E99">
        <f>IF(OR(C99="",B99=""),"",IFERROR(INDEX(Key!$C$2:$C$263,MATCH(C99*100+B99,Key!$G$2:$G$263,0)),""))</f>
        <v/>
      </c>
      <c r="F99">
        <f>IF(OR(C99="",B99=""),"",IFERROR(INDEX(Key!$E$2:$E$263,MATCH(C99*100+B99,Key!$G$2:$G$263,0)),""))</f>
        <v/>
      </c>
      <c r="G99" s="6" t="n"/>
      <c r="H99">
        <f>IF(OR(C99="",B99=""),"",IFERROR(INDEX(Papers!$K$2:$P$12,MATCH(C99,Papers!$A$2:$A$12,0),INDEX(Key!$D$2:$D$263,MATCH(C99*100+B99,Key!$G$2:$G$263,0))),""))</f>
        <v/>
      </c>
      <c r="I99" s="6" t="n"/>
      <c r="J99" s="6" t="n"/>
    </row>
    <row r="100">
      <c r="A100" s="6" t="n"/>
      <c r="B100" s="6" t="n"/>
      <c r="C100">
        <f>IF(A100="","",IFERROR(INDEX(Attempts!$D$2:$D$200,MATCH(A100,Attempts!$A$2:$A$200,0)),"?"))</f>
        <v/>
      </c>
      <c r="D100">
        <f>IF(OR(A100="",B100=""),"",IFERROR(INDEX(Attempts!$M$2:$AP$200,MATCH(A100,Attempts!$A$2:$A$200,0),B100),""))</f>
        <v/>
      </c>
      <c r="E100">
        <f>IF(OR(C100="",B100=""),"",IFERROR(INDEX(Key!$C$2:$C$263,MATCH(C100*100+B100,Key!$G$2:$G$263,0)),""))</f>
        <v/>
      </c>
      <c r="F100">
        <f>IF(OR(C100="",B100=""),"",IFERROR(INDEX(Key!$E$2:$E$263,MATCH(C100*100+B100,Key!$G$2:$G$263,0)),""))</f>
        <v/>
      </c>
      <c r="G100" s="6" t="n"/>
      <c r="H100">
        <f>IF(OR(C100="",B100=""),"",IFERROR(INDEX(Papers!$K$2:$P$12,MATCH(C100,Papers!$A$2:$A$12,0),INDEX(Key!$D$2:$D$263,MATCH(C100*100+B100,Key!$G$2:$G$263,0))),""))</f>
        <v/>
      </c>
      <c r="I100" s="6" t="n"/>
      <c r="J100" s="6" t="n"/>
    </row>
    <row r="101">
      <c r="A101" s="6" t="n"/>
      <c r="B101" s="6" t="n"/>
      <c r="C101">
        <f>IF(A101="","",IFERROR(INDEX(Attempts!$D$2:$D$200,MATCH(A101,Attempts!$A$2:$A$200,0)),"?"))</f>
        <v/>
      </c>
      <c r="D101">
        <f>IF(OR(A101="",B101=""),"",IFERROR(INDEX(Attempts!$M$2:$AP$200,MATCH(A101,Attempts!$A$2:$A$200,0),B101),""))</f>
        <v/>
      </c>
      <c r="E101">
        <f>IF(OR(C101="",B101=""),"",IFERROR(INDEX(Key!$C$2:$C$263,MATCH(C101*100+B101,Key!$G$2:$G$263,0)),""))</f>
        <v/>
      </c>
      <c r="F101">
        <f>IF(OR(C101="",B101=""),"",IFERROR(INDEX(Key!$E$2:$E$263,MATCH(C101*100+B101,Key!$G$2:$G$263,0)),""))</f>
        <v/>
      </c>
      <c r="G101" s="6" t="n"/>
      <c r="H101">
        <f>IF(OR(C101="",B101=""),"",IFERROR(INDEX(Papers!$K$2:$P$12,MATCH(C101,Papers!$A$2:$A$12,0),INDEX(Key!$D$2:$D$263,MATCH(C101*100+B101,Key!$G$2:$G$263,0))),""))</f>
        <v/>
      </c>
      <c r="I101" s="6" t="n"/>
      <c r="J101" s="6" t="n"/>
    </row>
    <row r="102">
      <c r="A102" s="6" t="n"/>
      <c r="B102" s="6" t="n"/>
      <c r="C102">
        <f>IF(A102="","",IFERROR(INDEX(Attempts!$D$2:$D$200,MATCH(A102,Attempts!$A$2:$A$200,0)),"?"))</f>
        <v/>
      </c>
      <c r="D102">
        <f>IF(OR(A102="",B102=""),"",IFERROR(INDEX(Attempts!$M$2:$AP$200,MATCH(A102,Attempts!$A$2:$A$200,0),B102),""))</f>
        <v/>
      </c>
      <c r="E102">
        <f>IF(OR(C102="",B102=""),"",IFERROR(INDEX(Key!$C$2:$C$263,MATCH(C102*100+B102,Key!$G$2:$G$263,0)),""))</f>
        <v/>
      </c>
      <c r="F102">
        <f>IF(OR(C102="",B102=""),"",IFERROR(INDEX(Key!$E$2:$E$263,MATCH(C102*100+B102,Key!$G$2:$G$263,0)),""))</f>
        <v/>
      </c>
      <c r="G102" s="6" t="n"/>
      <c r="H102">
        <f>IF(OR(C102="",B102=""),"",IFERROR(INDEX(Papers!$K$2:$P$12,MATCH(C102,Papers!$A$2:$A$12,0),INDEX(Key!$D$2:$D$263,MATCH(C102*100+B102,Key!$G$2:$G$263,0))),""))</f>
        <v/>
      </c>
      <c r="I102" s="6" t="n"/>
      <c r="J102" s="6" t="n"/>
    </row>
    <row r="103">
      <c r="A103" s="6" t="n"/>
      <c r="B103" s="6" t="n"/>
      <c r="C103">
        <f>IF(A103="","",IFERROR(INDEX(Attempts!$D$2:$D$200,MATCH(A103,Attempts!$A$2:$A$200,0)),"?"))</f>
        <v/>
      </c>
      <c r="D103">
        <f>IF(OR(A103="",B103=""),"",IFERROR(INDEX(Attempts!$M$2:$AP$200,MATCH(A103,Attempts!$A$2:$A$200,0),B103),""))</f>
        <v/>
      </c>
      <c r="E103">
        <f>IF(OR(C103="",B103=""),"",IFERROR(INDEX(Key!$C$2:$C$263,MATCH(C103*100+B103,Key!$G$2:$G$263,0)),""))</f>
        <v/>
      </c>
      <c r="F103">
        <f>IF(OR(C103="",B103=""),"",IFERROR(INDEX(Key!$E$2:$E$263,MATCH(C103*100+B103,Key!$G$2:$G$263,0)),""))</f>
        <v/>
      </c>
      <c r="G103" s="6" t="n"/>
      <c r="H103">
        <f>IF(OR(C103="",B103=""),"",IFERROR(INDEX(Papers!$K$2:$P$12,MATCH(C103,Papers!$A$2:$A$12,0),INDEX(Key!$D$2:$D$263,MATCH(C103*100+B103,Key!$G$2:$G$263,0))),""))</f>
        <v/>
      </c>
      <c r="I103" s="6" t="n"/>
      <c r="J103" s="6" t="n"/>
    </row>
    <row r="104">
      <c r="A104" s="6" t="n"/>
      <c r="B104" s="6" t="n"/>
      <c r="C104">
        <f>IF(A104="","",IFERROR(INDEX(Attempts!$D$2:$D$200,MATCH(A104,Attempts!$A$2:$A$200,0)),"?"))</f>
        <v/>
      </c>
      <c r="D104">
        <f>IF(OR(A104="",B104=""),"",IFERROR(INDEX(Attempts!$M$2:$AP$200,MATCH(A104,Attempts!$A$2:$A$200,0),B104),""))</f>
        <v/>
      </c>
      <c r="E104">
        <f>IF(OR(C104="",B104=""),"",IFERROR(INDEX(Key!$C$2:$C$263,MATCH(C104*100+B104,Key!$G$2:$G$263,0)),""))</f>
        <v/>
      </c>
      <c r="F104">
        <f>IF(OR(C104="",B104=""),"",IFERROR(INDEX(Key!$E$2:$E$263,MATCH(C104*100+B104,Key!$G$2:$G$263,0)),""))</f>
        <v/>
      </c>
      <c r="G104" s="6" t="n"/>
      <c r="H104">
        <f>IF(OR(C104="",B104=""),"",IFERROR(INDEX(Papers!$K$2:$P$12,MATCH(C104,Papers!$A$2:$A$12,0),INDEX(Key!$D$2:$D$263,MATCH(C104*100+B104,Key!$G$2:$G$263,0))),""))</f>
        <v/>
      </c>
      <c r="I104" s="6" t="n"/>
      <c r="J104" s="6" t="n"/>
    </row>
    <row r="105">
      <c r="A105" s="6" t="n"/>
      <c r="B105" s="6" t="n"/>
      <c r="C105">
        <f>IF(A105="","",IFERROR(INDEX(Attempts!$D$2:$D$200,MATCH(A105,Attempts!$A$2:$A$200,0)),"?"))</f>
        <v/>
      </c>
      <c r="D105">
        <f>IF(OR(A105="",B105=""),"",IFERROR(INDEX(Attempts!$M$2:$AP$200,MATCH(A105,Attempts!$A$2:$A$200,0),B105),""))</f>
        <v/>
      </c>
      <c r="E105">
        <f>IF(OR(C105="",B105=""),"",IFERROR(INDEX(Key!$C$2:$C$263,MATCH(C105*100+B105,Key!$G$2:$G$263,0)),""))</f>
        <v/>
      </c>
      <c r="F105">
        <f>IF(OR(C105="",B105=""),"",IFERROR(INDEX(Key!$E$2:$E$263,MATCH(C105*100+B105,Key!$G$2:$G$263,0)),""))</f>
        <v/>
      </c>
      <c r="G105" s="6" t="n"/>
      <c r="H105">
        <f>IF(OR(C105="",B105=""),"",IFERROR(INDEX(Papers!$K$2:$P$12,MATCH(C105,Papers!$A$2:$A$12,0),INDEX(Key!$D$2:$D$263,MATCH(C105*100+B105,Key!$G$2:$G$263,0))),""))</f>
        <v/>
      </c>
      <c r="I105" s="6" t="n"/>
      <c r="J105" s="6" t="n"/>
    </row>
    <row r="106">
      <c r="A106" s="6" t="n"/>
      <c r="B106" s="6" t="n"/>
      <c r="C106">
        <f>IF(A106="","",IFERROR(INDEX(Attempts!$D$2:$D$200,MATCH(A106,Attempts!$A$2:$A$200,0)),"?"))</f>
        <v/>
      </c>
      <c r="D106">
        <f>IF(OR(A106="",B106=""),"",IFERROR(INDEX(Attempts!$M$2:$AP$200,MATCH(A106,Attempts!$A$2:$A$200,0),B106),""))</f>
        <v/>
      </c>
      <c r="E106">
        <f>IF(OR(C106="",B106=""),"",IFERROR(INDEX(Key!$C$2:$C$263,MATCH(C106*100+B106,Key!$G$2:$G$263,0)),""))</f>
        <v/>
      </c>
      <c r="F106">
        <f>IF(OR(C106="",B106=""),"",IFERROR(INDEX(Key!$E$2:$E$263,MATCH(C106*100+B106,Key!$G$2:$G$263,0)),""))</f>
        <v/>
      </c>
      <c r="G106" s="6" t="n"/>
      <c r="H106">
        <f>IF(OR(C106="",B106=""),"",IFERROR(INDEX(Papers!$K$2:$P$12,MATCH(C106,Papers!$A$2:$A$12,0),INDEX(Key!$D$2:$D$263,MATCH(C106*100+B106,Key!$G$2:$G$263,0))),""))</f>
        <v/>
      </c>
      <c r="I106" s="6" t="n"/>
      <c r="J106" s="6" t="n"/>
    </row>
    <row r="107">
      <c r="A107" s="6" t="n"/>
      <c r="B107" s="6" t="n"/>
      <c r="C107">
        <f>IF(A107="","",IFERROR(INDEX(Attempts!$D$2:$D$200,MATCH(A107,Attempts!$A$2:$A$200,0)),"?"))</f>
        <v/>
      </c>
      <c r="D107">
        <f>IF(OR(A107="",B107=""),"",IFERROR(INDEX(Attempts!$M$2:$AP$200,MATCH(A107,Attempts!$A$2:$A$200,0),B107),""))</f>
        <v/>
      </c>
      <c r="E107">
        <f>IF(OR(C107="",B107=""),"",IFERROR(INDEX(Key!$C$2:$C$263,MATCH(C107*100+B107,Key!$G$2:$G$263,0)),""))</f>
        <v/>
      </c>
      <c r="F107">
        <f>IF(OR(C107="",B107=""),"",IFERROR(INDEX(Key!$E$2:$E$263,MATCH(C107*100+B107,Key!$G$2:$G$263,0)),""))</f>
        <v/>
      </c>
      <c r="G107" s="6" t="n"/>
      <c r="H107">
        <f>IF(OR(C107="",B107=""),"",IFERROR(INDEX(Papers!$K$2:$P$12,MATCH(C107,Papers!$A$2:$A$12,0),INDEX(Key!$D$2:$D$263,MATCH(C107*100+B107,Key!$G$2:$G$263,0))),""))</f>
        <v/>
      </c>
      <c r="I107" s="6" t="n"/>
      <c r="J107" s="6" t="n"/>
    </row>
    <row r="108">
      <c r="A108" s="6" t="n"/>
      <c r="B108" s="6" t="n"/>
      <c r="C108">
        <f>IF(A108="","",IFERROR(INDEX(Attempts!$D$2:$D$200,MATCH(A108,Attempts!$A$2:$A$200,0)),"?"))</f>
        <v/>
      </c>
      <c r="D108">
        <f>IF(OR(A108="",B108=""),"",IFERROR(INDEX(Attempts!$M$2:$AP$200,MATCH(A108,Attempts!$A$2:$A$200,0),B108),""))</f>
        <v/>
      </c>
      <c r="E108">
        <f>IF(OR(C108="",B108=""),"",IFERROR(INDEX(Key!$C$2:$C$263,MATCH(C108*100+B108,Key!$G$2:$G$263,0)),""))</f>
        <v/>
      </c>
      <c r="F108">
        <f>IF(OR(C108="",B108=""),"",IFERROR(INDEX(Key!$E$2:$E$263,MATCH(C108*100+B108,Key!$G$2:$G$263,0)),""))</f>
        <v/>
      </c>
      <c r="G108" s="6" t="n"/>
      <c r="H108">
        <f>IF(OR(C108="",B108=""),"",IFERROR(INDEX(Papers!$K$2:$P$12,MATCH(C108,Papers!$A$2:$A$12,0),INDEX(Key!$D$2:$D$263,MATCH(C108*100+B108,Key!$G$2:$G$263,0))),""))</f>
        <v/>
      </c>
      <c r="I108" s="6" t="n"/>
      <c r="J108" s="6" t="n"/>
    </row>
    <row r="109">
      <c r="A109" s="6" t="n"/>
      <c r="B109" s="6" t="n"/>
      <c r="C109">
        <f>IF(A109="","",IFERROR(INDEX(Attempts!$D$2:$D$200,MATCH(A109,Attempts!$A$2:$A$200,0)),"?"))</f>
        <v/>
      </c>
      <c r="D109">
        <f>IF(OR(A109="",B109=""),"",IFERROR(INDEX(Attempts!$M$2:$AP$200,MATCH(A109,Attempts!$A$2:$A$200,0),B109),""))</f>
        <v/>
      </c>
      <c r="E109">
        <f>IF(OR(C109="",B109=""),"",IFERROR(INDEX(Key!$C$2:$C$263,MATCH(C109*100+B109,Key!$G$2:$G$263,0)),""))</f>
        <v/>
      </c>
      <c r="F109">
        <f>IF(OR(C109="",B109=""),"",IFERROR(INDEX(Key!$E$2:$E$263,MATCH(C109*100+B109,Key!$G$2:$G$263,0)),""))</f>
        <v/>
      </c>
      <c r="G109" s="6" t="n"/>
      <c r="H109">
        <f>IF(OR(C109="",B109=""),"",IFERROR(INDEX(Papers!$K$2:$P$12,MATCH(C109,Papers!$A$2:$A$12,0),INDEX(Key!$D$2:$D$263,MATCH(C109*100+B109,Key!$G$2:$G$263,0))),""))</f>
        <v/>
      </c>
      <c r="I109" s="6" t="n"/>
      <c r="J109" s="6" t="n"/>
    </row>
    <row r="110">
      <c r="A110" s="6" t="n"/>
      <c r="B110" s="6" t="n"/>
      <c r="C110">
        <f>IF(A110="","",IFERROR(INDEX(Attempts!$D$2:$D$200,MATCH(A110,Attempts!$A$2:$A$200,0)),"?"))</f>
        <v/>
      </c>
      <c r="D110">
        <f>IF(OR(A110="",B110=""),"",IFERROR(INDEX(Attempts!$M$2:$AP$200,MATCH(A110,Attempts!$A$2:$A$200,0),B110),""))</f>
        <v/>
      </c>
      <c r="E110">
        <f>IF(OR(C110="",B110=""),"",IFERROR(INDEX(Key!$C$2:$C$263,MATCH(C110*100+B110,Key!$G$2:$G$263,0)),""))</f>
        <v/>
      </c>
      <c r="F110">
        <f>IF(OR(C110="",B110=""),"",IFERROR(INDEX(Key!$E$2:$E$263,MATCH(C110*100+B110,Key!$G$2:$G$263,0)),""))</f>
        <v/>
      </c>
      <c r="G110" s="6" t="n"/>
      <c r="H110">
        <f>IF(OR(C110="",B110=""),"",IFERROR(INDEX(Papers!$K$2:$P$12,MATCH(C110,Papers!$A$2:$A$12,0),INDEX(Key!$D$2:$D$263,MATCH(C110*100+B110,Key!$G$2:$G$263,0))),""))</f>
        <v/>
      </c>
      <c r="I110" s="6" t="n"/>
      <c r="J110" s="6" t="n"/>
    </row>
    <row r="111">
      <c r="A111" s="6" t="n"/>
      <c r="B111" s="6" t="n"/>
      <c r="C111">
        <f>IF(A111="","",IFERROR(INDEX(Attempts!$D$2:$D$200,MATCH(A111,Attempts!$A$2:$A$200,0)),"?"))</f>
        <v/>
      </c>
      <c r="D111">
        <f>IF(OR(A111="",B111=""),"",IFERROR(INDEX(Attempts!$M$2:$AP$200,MATCH(A111,Attempts!$A$2:$A$200,0),B111),""))</f>
        <v/>
      </c>
      <c r="E111">
        <f>IF(OR(C111="",B111=""),"",IFERROR(INDEX(Key!$C$2:$C$263,MATCH(C111*100+B111,Key!$G$2:$G$263,0)),""))</f>
        <v/>
      </c>
      <c r="F111">
        <f>IF(OR(C111="",B111=""),"",IFERROR(INDEX(Key!$E$2:$E$263,MATCH(C111*100+B111,Key!$G$2:$G$263,0)),""))</f>
        <v/>
      </c>
      <c r="G111" s="6" t="n"/>
      <c r="H111">
        <f>IF(OR(C111="",B111=""),"",IFERROR(INDEX(Papers!$K$2:$P$12,MATCH(C111,Papers!$A$2:$A$12,0),INDEX(Key!$D$2:$D$263,MATCH(C111*100+B111,Key!$G$2:$G$263,0))),""))</f>
        <v/>
      </c>
      <c r="I111" s="6" t="n"/>
      <c r="J111" s="6" t="n"/>
    </row>
    <row r="112">
      <c r="A112" s="6" t="n"/>
      <c r="B112" s="6" t="n"/>
      <c r="C112">
        <f>IF(A112="","",IFERROR(INDEX(Attempts!$D$2:$D$200,MATCH(A112,Attempts!$A$2:$A$200,0)),"?"))</f>
        <v/>
      </c>
      <c r="D112">
        <f>IF(OR(A112="",B112=""),"",IFERROR(INDEX(Attempts!$M$2:$AP$200,MATCH(A112,Attempts!$A$2:$A$200,0),B112),""))</f>
        <v/>
      </c>
      <c r="E112">
        <f>IF(OR(C112="",B112=""),"",IFERROR(INDEX(Key!$C$2:$C$263,MATCH(C112*100+B112,Key!$G$2:$G$263,0)),""))</f>
        <v/>
      </c>
      <c r="F112">
        <f>IF(OR(C112="",B112=""),"",IFERROR(INDEX(Key!$E$2:$E$263,MATCH(C112*100+B112,Key!$G$2:$G$263,0)),""))</f>
        <v/>
      </c>
      <c r="G112" s="6" t="n"/>
      <c r="H112">
        <f>IF(OR(C112="",B112=""),"",IFERROR(INDEX(Papers!$K$2:$P$12,MATCH(C112,Papers!$A$2:$A$12,0),INDEX(Key!$D$2:$D$263,MATCH(C112*100+B112,Key!$G$2:$G$263,0))),""))</f>
        <v/>
      </c>
      <c r="I112" s="6" t="n"/>
      <c r="J112" s="6" t="n"/>
    </row>
    <row r="113">
      <c r="A113" s="6" t="n"/>
      <c r="B113" s="6" t="n"/>
      <c r="C113">
        <f>IF(A113="","",IFERROR(INDEX(Attempts!$D$2:$D$200,MATCH(A113,Attempts!$A$2:$A$200,0)),"?"))</f>
        <v/>
      </c>
      <c r="D113">
        <f>IF(OR(A113="",B113=""),"",IFERROR(INDEX(Attempts!$M$2:$AP$200,MATCH(A113,Attempts!$A$2:$A$200,0),B113),""))</f>
        <v/>
      </c>
      <c r="E113">
        <f>IF(OR(C113="",B113=""),"",IFERROR(INDEX(Key!$C$2:$C$263,MATCH(C113*100+B113,Key!$G$2:$G$263,0)),""))</f>
        <v/>
      </c>
      <c r="F113">
        <f>IF(OR(C113="",B113=""),"",IFERROR(INDEX(Key!$E$2:$E$263,MATCH(C113*100+B113,Key!$G$2:$G$263,0)),""))</f>
        <v/>
      </c>
      <c r="G113" s="6" t="n"/>
      <c r="H113">
        <f>IF(OR(C113="",B113=""),"",IFERROR(INDEX(Papers!$K$2:$P$12,MATCH(C113,Papers!$A$2:$A$12,0),INDEX(Key!$D$2:$D$263,MATCH(C113*100+B113,Key!$G$2:$G$263,0))),""))</f>
        <v/>
      </c>
      <c r="I113" s="6" t="n"/>
      <c r="J113" s="6" t="n"/>
    </row>
    <row r="114">
      <c r="A114" s="6" t="n"/>
      <c r="B114" s="6" t="n"/>
      <c r="C114">
        <f>IF(A114="","",IFERROR(INDEX(Attempts!$D$2:$D$200,MATCH(A114,Attempts!$A$2:$A$200,0)),"?"))</f>
        <v/>
      </c>
      <c r="D114">
        <f>IF(OR(A114="",B114=""),"",IFERROR(INDEX(Attempts!$M$2:$AP$200,MATCH(A114,Attempts!$A$2:$A$200,0),B114),""))</f>
        <v/>
      </c>
      <c r="E114">
        <f>IF(OR(C114="",B114=""),"",IFERROR(INDEX(Key!$C$2:$C$263,MATCH(C114*100+B114,Key!$G$2:$G$263,0)),""))</f>
        <v/>
      </c>
      <c r="F114">
        <f>IF(OR(C114="",B114=""),"",IFERROR(INDEX(Key!$E$2:$E$263,MATCH(C114*100+B114,Key!$G$2:$G$263,0)),""))</f>
        <v/>
      </c>
      <c r="G114" s="6" t="n"/>
      <c r="H114">
        <f>IF(OR(C114="",B114=""),"",IFERROR(INDEX(Papers!$K$2:$P$12,MATCH(C114,Papers!$A$2:$A$12,0),INDEX(Key!$D$2:$D$263,MATCH(C114*100+B114,Key!$G$2:$G$263,0))),""))</f>
        <v/>
      </c>
      <c r="I114" s="6" t="n"/>
      <c r="J114" s="6" t="n"/>
    </row>
    <row r="115">
      <c r="A115" s="6" t="n"/>
      <c r="B115" s="6" t="n"/>
      <c r="C115">
        <f>IF(A115="","",IFERROR(INDEX(Attempts!$D$2:$D$200,MATCH(A115,Attempts!$A$2:$A$200,0)),"?"))</f>
        <v/>
      </c>
      <c r="D115">
        <f>IF(OR(A115="",B115=""),"",IFERROR(INDEX(Attempts!$M$2:$AP$200,MATCH(A115,Attempts!$A$2:$A$200,0),B115),""))</f>
        <v/>
      </c>
      <c r="E115">
        <f>IF(OR(C115="",B115=""),"",IFERROR(INDEX(Key!$C$2:$C$263,MATCH(C115*100+B115,Key!$G$2:$G$263,0)),""))</f>
        <v/>
      </c>
      <c r="F115">
        <f>IF(OR(C115="",B115=""),"",IFERROR(INDEX(Key!$E$2:$E$263,MATCH(C115*100+B115,Key!$G$2:$G$263,0)),""))</f>
        <v/>
      </c>
      <c r="G115" s="6" t="n"/>
      <c r="H115">
        <f>IF(OR(C115="",B115=""),"",IFERROR(INDEX(Papers!$K$2:$P$12,MATCH(C115,Papers!$A$2:$A$12,0),INDEX(Key!$D$2:$D$263,MATCH(C115*100+B115,Key!$G$2:$G$263,0))),""))</f>
        <v/>
      </c>
      <c r="I115" s="6" t="n"/>
      <c r="J115" s="6" t="n"/>
    </row>
    <row r="116">
      <c r="A116" s="6" t="n"/>
      <c r="B116" s="6" t="n"/>
      <c r="C116">
        <f>IF(A116="","",IFERROR(INDEX(Attempts!$D$2:$D$200,MATCH(A116,Attempts!$A$2:$A$200,0)),"?"))</f>
        <v/>
      </c>
      <c r="D116">
        <f>IF(OR(A116="",B116=""),"",IFERROR(INDEX(Attempts!$M$2:$AP$200,MATCH(A116,Attempts!$A$2:$A$200,0),B116),""))</f>
        <v/>
      </c>
      <c r="E116">
        <f>IF(OR(C116="",B116=""),"",IFERROR(INDEX(Key!$C$2:$C$263,MATCH(C116*100+B116,Key!$G$2:$G$263,0)),""))</f>
        <v/>
      </c>
      <c r="F116">
        <f>IF(OR(C116="",B116=""),"",IFERROR(INDEX(Key!$E$2:$E$263,MATCH(C116*100+B116,Key!$G$2:$G$263,0)),""))</f>
        <v/>
      </c>
      <c r="G116" s="6" t="n"/>
      <c r="H116">
        <f>IF(OR(C116="",B116=""),"",IFERROR(INDEX(Papers!$K$2:$P$12,MATCH(C116,Papers!$A$2:$A$12,0),INDEX(Key!$D$2:$D$263,MATCH(C116*100+B116,Key!$G$2:$G$263,0))),""))</f>
        <v/>
      </c>
      <c r="I116" s="6" t="n"/>
      <c r="J116" s="6" t="n"/>
    </row>
    <row r="117">
      <c r="A117" s="6" t="n"/>
      <c r="B117" s="6" t="n"/>
      <c r="C117">
        <f>IF(A117="","",IFERROR(INDEX(Attempts!$D$2:$D$200,MATCH(A117,Attempts!$A$2:$A$200,0)),"?"))</f>
        <v/>
      </c>
      <c r="D117">
        <f>IF(OR(A117="",B117=""),"",IFERROR(INDEX(Attempts!$M$2:$AP$200,MATCH(A117,Attempts!$A$2:$A$200,0),B117),""))</f>
        <v/>
      </c>
      <c r="E117">
        <f>IF(OR(C117="",B117=""),"",IFERROR(INDEX(Key!$C$2:$C$263,MATCH(C117*100+B117,Key!$G$2:$G$263,0)),""))</f>
        <v/>
      </c>
      <c r="F117">
        <f>IF(OR(C117="",B117=""),"",IFERROR(INDEX(Key!$E$2:$E$263,MATCH(C117*100+B117,Key!$G$2:$G$263,0)),""))</f>
        <v/>
      </c>
      <c r="G117" s="6" t="n"/>
      <c r="H117">
        <f>IF(OR(C117="",B117=""),"",IFERROR(INDEX(Papers!$K$2:$P$12,MATCH(C117,Papers!$A$2:$A$12,0),INDEX(Key!$D$2:$D$263,MATCH(C117*100+B117,Key!$G$2:$G$263,0))),""))</f>
        <v/>
      </c>
      <c r="I117" s="6" t="n"/>
      <c r="J117" s="6" t="n"/>
    </row>
    <row r="118">
      <c r="A118" s="6" t="n"/>
      <c r="B118" s="6" t="n"/>
      <c r="C118">
        <f>IF(A118="","",IFERROR(INDEX(Attempts!$D$2:$D$200,MATCH(A118,Attempts!$A$2:$A$200,0)),"?"))</f>
        <v/>
      </c>
      <c r="D118">
        <f>IF(OR(A118="",B118=""),"",IFERROR(INDEX(Attempts!$M$2:$AP$200,MATCH(A118,Attempts!$A$2:$A$200,0),B118),""))</f>
        <v/>
      </c>
      <c r="E118">
        <f>IF(OR(C118="",B118=""),"",IFERROR(INDEX(Key!$C$2:$C$263,MATCH(C118*100+B118,Key!$G$2:$G$263,0)),""))</f>
        <v/>
      </c>
      <c r="F118">
        <f>IF(OR(C118="",B118=""),"",IFERROR(INDEX(Key!$E$2:$E$263,MATCH(C118*100+B118,Key!$G$2:$G$263,0)),""))</f>
        <v/>
      </c>
      <c r="G118" s="6" t="n"/>
      <c r="H118">
        <f>IF(OR(C118="",B118=""),"",IFERROR(INDEX(Papers!$K$2:$P$12,MATCH(C118,Papers!$A$2:$A$12,0),INDEX(Key!$D$2:$D$263,MATCH(C118*100+B118,Key!$G$2:$G$263,0))),""))</f>
        <v/>
      </c>
      <c r="I118" s="6" t="n"/>
      <c r="J118" s="6" t="n"/>
    </row>
    <row r="119">
      <c r="A119" s="6" t="n"/>
      <c r="B119" s="6" t="n"/>
      <c r="C119">
        <f>IF(A119="","",IFERROR(INDEX(Attempts!$D$2:$D$200,MATCH(A119,Attempts!$A$2:$A$200,0)),"?"))</f>
        <v/>
      </c>
      <c r="D119">
        <f>IF(OR(A119="",B119=""),"",IFERROR(INDEX(Attempts!$M$2:$AP$200,MATCH(A119,Attempts!$A$2:$A$200,0),B119),""))</f>
        <v/>
      </c>
      <c r="E119">
        <f>IF(OR(C119="",B119=""),"",IFERROR(INDEX(Key!$C$2:$C$263,MATCH(C119*100+B119,Key!$G$2:$G$263,0)),""))</f>
        <v/>
      </c>
      <c r="F119">
        <f>IF(OR(C119="",B119=""),"",IFERROR(INDEX(Key!$E$2:$E$263,MATCH(C119*100+B119,Key!$G$2:$G$263,0)),""))</f>
        <v/>
      </c>
      <c r="G119" s="6" t="n"/>
      <c r="H119">
        <f>IF(OR(C119="",B119=""),"",IFERROR(INDEX(Papers!$K$2:$P$12,MATCH(C119,Papers!$A$2:$A$12,0),INDEX(Key!$D$2:$D$263,MATCH(C119*100+B119,Key!$G$2:$G$263,0))),""))</f>
        <v/>
      </c>
      <c r="I119" s="6" t="n"/>
      <c r="J119" s="6" t="n"/>
    </row>
    <row r="120">
      <c r="A120" s="6" t="n"/>
      <c r="B120" s="6" t="n"/>
      <c r="C120">
        <f>IF(A120="","",IFERROR(INDEX(Attempts!$D$2:$D$200,MATCH(A120,Attempts!$A$2:$A$200,0)),"?"))</f>
        <v/>
      </c>
      <c r="D120">
        <f>IF(OR(A120="",B120=""),"",IFERROR(INDEX(Attempts!$M$2:$AP$200,MATCH(A120,Attempts!$A$2:$A$200,0),B120),""))</f>
        <v/>
      </c>
      <c r="E120">
        <f>IF(OR(C120="",B120=""),"",IFERROR(INDEX(Key!$C$2:$C$263,MATCH(C120*100+B120,Key!$G$2:$G$263,0)),""))</f>
        <v/>
      </c>
      <c r="F120">
        <f>IF(OR(C120="",B120=""),"",IFERROR(INDEX(Key!$E$2:$E$263,MATCH(C120*100+B120,Key!$G$2:$G$263,0)),""))</f>
        <v/>
      </c>
      <c r="G120" s="6" t="n"/>
      <c r="H120">
        <f>IF(OR(C120="",B120=""),"",IFERROR(INDEX(Papers!$K$2:$P$12,MATCH(C120,Papers!$A$2:$A$12,0),INDEX(Key!$D$2:$D$263,MATCH(C120*100+B120,Key!$G$2:$G$263,0))),""))</f>
        <v/>
      </c>
      <c r="I120" s="6" t="n"/>
      <c r="J120" s="6" t="n"/>
    </row>
    <row r="121">
      <c r="A121" s="6" t="n"/>
      <c r="B121" s="6" t="n"/>
      <c r="C121">
        <f>IF(A121="","",IFERROR(INDEX(Attempts!$D$2:$D$200,MATCH(A121,Attempts!$A$2:$A$200,0)),"?"))</f>
        <v/>
      </c>
      <c r="D121">
        <f>IF(OR(A121="",B121=""),"",IFERROR(INDEX(Attempts!$M$2:$AP$200,MATCH(A121,Attempts!$A$2:$A$200,0),B121),""))</f>
        <v/>
      </c>
      <c r="E121">
        <f>IF(OR(C121="",B121=""),"",IFERROR(INDEX(Key!$C$2:$C$263,MATCH(C121*100+B121,Key!$G$2:$G$263,0)),""))</f>
        <v/>
      </c>
      <c r="F121">
        <f>IF(OR(C121="",B121=""),"",IFERROR(INDEX(Key!$E$2:$E$263,MATCH(C121*100+B121,Key!$G$2:$G$263,0)),""))</f>
        <v/>
      </c>
      <c r="G121" s="6" t="n"/>
      <c r="H121">
        <f>IF(OR(C121="",B121=""),"",IFERROR(INDEX(Papers!$K$2:$P$12,MATCH(C121,Papers!$A$2:$A$12,0),INDEX(Key!$D$2:$D$263,MATCH(C121*100+B121,Key!$G$2:$G$263,0))),""))</f>
        <v/>
      </c>
      <c r="I121" s="6" t="n"/>
      <c r="J121" s="6" t="n"/>
    </row>
    <row r="122">
      <c r="A122" s="6" t="n"/>
      <c r="B122" s="6" t="n"/>
      <c r="C122">
        <f>IF(A122="","",IFERROR(INDEX(Attempts!$D$2:$D$200,MATCH(A122,Attempts!$A$2:$A$200,0)),"?"))</f>
        <v/>
      </c>
      <c r="D122">
        <f>IF(OR(A122="",B122=""),"",IFERROR(INDEX(Attempts!$M$2:$AP$200,MATCH(A122,Attempts!$A$2:$A$200,0),B122),""))</f>
        <v/>
      </c>
      <c r="E122">
        <f>IF(OR(C122="",B122=""),"",IFERROR(INDEX(Key!$C$2:$C$263,MATCH(C122*100+B122,Key!$G$2:$G$263,0)),""))</f>
        <v/>
      </c>
      <c r="F122">
        <f>IF(OR(C122="",B122=""),"",IFERROR(INDEX(Key!$E$2:$E$263,MATCH(C122*100+B122,Key!$G$2:$G$263,0)),""))</f>
        <v/>
      </c>
      <c r="G122" s="6" t="n"/>
      <c r="H122">
        <f>IF(OR(C122="",B122=""),"",IFERROR(INDEX(Papers!$K$2:$P$12,MATCH(C122,Papers!$A$2:$A$12,0),INDEX(Key!$D$2:$D$263,MATCH(C122*100+B122,Key!$G$2:$G$263,0))),""))</f>
        <v/>
      </c>
      <c r="I122" s="6" t="n"/>
      <c r="J122" s="6" t="n"/>
    </row>
    <row r="123">
      <c r="A123" s="6" t="n"/>
      <c r="B123" s="6" t="n"/>
      <c r="C123">
        <f>IF(A123="","",IFERROR(INDEX(Attempts!$D$2:$D$200,MATCH(A123,Attempts!$A$2:$A$200,0)),"?"))</f>
        <v/>
      </c>
      <c r="D123">
        <f>IF(OR(A123="",B123=""),"",IFERROR(INDEX(Attempts!$M$2:$AP$200,MATCH(A123,Attempts!$A$2:$A$200,0),B123),""))</f>
        <v/>
      </c>
      <c r="E123">
        <f>IF(OR(C123="",B123=""),"",IFERROR(INDEX(Key!$C$2:$C$263,MATCH(C123*100+B123,Key!$G$2:$G$263,0)),""))</f>
        <v/>
      </c>
      <c r="F123">
        <f>IF(OR(C123="",B123=""),"",IFERROR(INDEX(Key!$E$2:$E$263,MATCH(C123*100+B123,Key!$G$2:$G$263,0)),""))</f>
        <v/>
      </c>
      <c r="G123" s="6" t="n"/>
      <c r="H123">
        <f>IF(OR(C123="",B123=""),"",IFERROR(INDEX(Papers!$K$2:$P$12,MATCH(C123,Papers!$A$2:$A$12,0),INDEX(Key!$D$2:$D$263,MATCH(C123*100+B123,Key!$G$2:$G$263,0))),""))</f>
        <v/>
      </c>
      <c r="I123" s="6" t="n"/>
      <c r="J123" s="6" t="n"/>
    </row>
    <row r="124">
      <c r="A124" s="6" t="n"/>
      <c r="B124" s="6" t="n"/>
      <c r="C124">
        <f>IF(A124="","",IFERROR(INDEX(Attempts!$D$2:$D$200,MATCH(A124,Attempts!$A$2:$A$200,0)),"?"))</f>
        <v/>
      </c>
      <c r="D124">
        <f>IF(OR(A124="",B124=""),"",IFERROR(INDEX(Attempts!$M$2:$AP$200,MATCH(A124,Attempts!$A$2:$A$200,0),B124),""))</f>
        <v/>
      </c>
      <c r="E124">
        <f>IF(OR(C124="",B124=""),"",IFERROR(INDEX(Key!$C$2:$C$263,MATCH(C124*100+B124,Key!$G$2:$G$263,0)),""))</f>
        <v/>
      </c>
      <c r="F124">
        <f>IF(OR(C124="",B124=""),"",IFERROR(INDEX(Key!$E$2:$E$263,MATCH(C124*100+B124,Key!$G$2:$G$263,0)),""))</f>
        <v/>
      </c>
      <c r="G124" s="6" t="n"/>
      <c r="H124">
        <f>IF(OR(C124="",B124=""),"",IFERROR(INDEX(Papers!$K$2:$P$12,MATCH(C124,Papers!$A$2:$A$12,0),INDEX(Key!$D$2:$D$263,MATCH(C124*100+B124,Key!$G$2:$G$263,0))),""))</f>
        <v/>
      </c>
      <c r="I124" s="6" t="n"/>
      <c r="J124" s="6" t="n"/>
    </row>
    <row r="125">
      <c r="A125" s="6" t="n"/>
      <c r="B125" s="6" t="n"/>
      <c r="C125">
        <f>IF(A125="","",IFERROR(INDEX(Attempts!$D$2:$D$200,MATCH(A125,Attempts!$A$2:$A$200,0)),"?"))</f>
        <v/>
      </c>
      <c r="D125">
        <f>IF(OR(A125="",B125=""),"",IFERROR(INDEX(Attempts!$M$2:$AP$200,MATCH(A125,Attempts!$A$2:$A$200,0),B125),""))</f>
        <v/>
      </c>
      <c r="E125">
        <f>IF(OR(C125="",B125=""),"",IFERROR(INDEX(Key!$C$2:$C$263,MATCH(C125*100+B125,Key!$G$2:$G$263,0)),""))</f>
        <v/>
      </c>
      <c r="F125">
        <f>IF(OR(C125="",B125=""),"",IFERROR(INDEX(Key!$E$2:$E$263,MATCH(C125*100+B125,Key!$G$2:$G$263,0)),""))</f>
        <v/>
      </c>
      <c r="G125" s="6" t="n"/>
      <c r="H125">
        <f>IF(OR(C125="",B125=""),"",IFERROR(INDEX(Papers!$K$2:$P$12,MATCH(C125,Papers!$A$2:$A$12,0),INDEX(Key!$D$2:$D$263,MATCH(C125*100+B125,Key!$G$2:$G$263,0))),""))</f>
        <v/>
      </c>
      <c r="I125" s="6" t="n"/>
      <c r="J125" s="6" t="n"/>
    </row>
    <row r="126">
      <c r="A126" s="6" t="n"/>
      <c r="B126" s="6" t="n"/>
      <c r="C126">
        <f>IF(A126="","",IFERROR(INDEX(Attempts!$D$2:$D$200,MATCH(A126,Attempts!$A$2:$A$200,0)),"?"))</f>
        <v/>
      </c>
      <c r="D126">
        <f>IF(OR(A126="",B126=""),"",IFERROR(INDEX(Attempts!$M$2:$AP$200,MATCH(A126,Attempts!$A$2:$A$200,0),B126),""))</f>
        <v/>
      </c>
      <c r="E126">
        <f>IF(OR(C126="",B126=""),"",IFERROR(INDEX(Key!$C$2:$C$263,MATCH(C126*100+B126,Key!$G$2:$G$263,0)),""))</f>
        <v/>
      </c>
      <c r="F126">
        <f>IF(OR(C126="",B126=""),"",IFERROR(INDEX(Key!$E$2:$E$263,MATCH(C126*100+B126,Key!$G$2:$G$263,0)),""))</f>
        <v/>
      </c>
      <c r="G126" s="6" t="n"/>
      <c r="H126">
        <f>IF(OR(C126="",B126=""),"",IFERROR(INDEX(Papers!$K$2:$P$12,MATCH(C126,Papers!$A$2:$A$12,0),INDEX(Key!$D$2:$D$263,MATCH(C126*100+B126,Key!$G$2:$G$263,0))),""))</f>
        <v/>
      </c>
      <c r="I126" s="6" t="n"/>
      <c r="J126" s="6" t="n"/>
    </row>
    <row r="127">
      <c r="A127" s="6" t="n"/>
      <c r="B127" s="6" t="n"/>
      <c r="C127">
        <f>IF(A127="","",IFERROR(INDEX(Attempts!$D$2:$D$200,MATCH(A127,Attempts!$A$2:$A$200,0)),"?"))</f>
        <v/>
      </c>
      <c r="D127">
        <f>IF(OR(A127="",B127=""),"",IFERROR(INDEX(Attempts!$M$2:$AP$200,MATCH(A127,Attempts!$A$2:$A$200,0),B127),""))</f>
        <v/>
      </c>
      <c r="E127">
        <f>IF(OR(C127="",B127=""),"",IFERROR(INDEX(Key!$C$2:$C$263,MATCH(C127*100+B127,Key!$G$2:$G$263,0)),""))</f>
        <v/>
      </c>
      <c r="F127">
        <f>IF(OR(C127="",B127=""),"",IFERROR(INDEX(Key!$E$2:$E$263,MATCH(C127*100+B127,Key!$G$2:$G$263,0)),""))</f>
        <v/>
      </c>
      <c r="G127" s="6" t="n"/>
      <c r="H127">
        <f>IF(OR(C127="",B127=""),"",IFERROR(INDEX(Papers!$K$2:$P$12,MATCH(C127,Papers!$A$2:$A$12,0),INDEX(Key!$D$2:$D$263,MATCH(C127*100+B127,Key!$G$2:$G$263,0))),""))</f>
        <v/>
      </c>
      <c r="I127" s="6" t="n"/>
      <c r="J127" s="6" t="n"/>
    </row>
    <row r="128">
      <c r="A128" s="6" t="n"/>
      <c r="B128" s="6" t="n"/>
      <c r="C128">
        <f>IF(A128="","",IFERROR(INDEX(Attempts!$D$2:$D$200,MATCH(A128,Attempts!$A$2:$A$200,0)),"?"))</f>
        <v/>
      </c>
      <c r="D128">
        <f>IF(OR(A128="",B128=""),"",IFERROR(INDEX(Attempts!$M$2:$AP$200,MATCH(A128,Attempts!$A$2:$A$200,0),B128),""))</f>
        <v/>
      </c>
      <c r="E128">
        <f>IF(OR(C128="",B128=""),"",IFERROR(INDEX(Key!$C$2:$C$263,MATCH(C128*100+B128,Key!$G$2:$G$263,0)),""))</f>
        <v/>
      </c>
      <c r="F128">
        <f>IF(OR(C128="",B128=""),"",IFERROR(INDEX(Key!$E$2:$E$263,MATCH(C128*100+B128,Key!$G$2:$G$263,0)),""))</f>
        <v/>
      </c>
      <c r="G128" s="6" t="n"/>
      <c r="H128">
        <f>IF(OR(C128="",B128=""),"",IFERROR(INDEX(Papers!$K$2:$P$12,MATCH(C128,Papers!$A$2:$A$12,0),INDEX(Key!$D$2:$D$263,MATCH(C128*100+B128,Key!$G$2:$G$263,0))),""))</f>
        <v/>
      </c>
      <c r="I128" s="6" t="n"/>
      <c r="J128" s="6" t="n"/>
    </row>
    <row r="129">
      <c r="A129" s="6" t="n"/>
      <c r="B129" s="6" t="n"/>
      <c r="C129">
        <f>IF(A129="","",IFERROR(INDEX(Attempts!$D$2:$D$200,MATCH(A129,Attempts!$A$2:$A$200,0)),"?"))</f>
        <v/>
      </c>
      <c r="D129">
        <f>IF(OR(A129="",B129=""),"",IFERROR(INDEX(Attempts!$M$2:$AP$200,MATCH(A129,Attempts!$A$2:$A$200,0),B129),""))</f>
        <v/>
      </c>
      <c r="E129">
        <f>IF(OR(C129="",B129=""),"",IFERROR(INDEX(Key!$C$2:$C$263,MATCH(C129*100+B129,Key!$G$2:$G$263,0)),""))</f>
        <v/>
      </c>
      <c r="F129">
        <f>IF(OR(C129="",B129=""),"",IFERROR(INDEX(Key!$E$2:$E$263,MATCH(C129*100+B129,Key!$G$2:$G$263,0)),""))</f>
        <v/>
      </c>
      <c r="G129" s="6" t="n"/>
      <c r="H129">
        <f>IF(OR(C129="",B129=""),"",IFERROR(INDEX(Papers!$K$2:$P$12,MATCH(C129,Papers!$A$2:$A$12,0),INDEX(Key!$D$2:$D$263,MATCH(C129*100+B129,Key!$G$2:$G$263,0))),""))</f>
        <v/>
      </c>
      <c r="I129" s="6" t="n"/>
      <c r="J129" s="6" t="n"/>
    </row>
    <row r="130">
      <c r="A130" s="6" t="n"/>
      <c r="B130" s="6" t="n"/>
      <c r="C130">
        <f>IF(A130="","",IFERROR(INDEX(Attempts!$D$2:$D$200,MATCH(A130,Attempts!$A$2:$A$200,0)),"?"))</f>
        <v/>
      </c>
      <c r="D130">
        <f>IF(OR(A130="",B130=""),"",IFERROR(INDEX(Attempts!$M$2:$AP$200,MATCH(A130,Attempts!$A$2:$A$200,0),B130),""))</f>
        <v/>
      </c>
      <c r="E130">
        <f>IF(OR(C130="",B130=""),"",IFERROR(INDEX(Key!$C$2:$C$263,MATCH(C130*100+B130,Key!$G$2:$G$263,0)),""))</f>
        <v/>
      </c>
      <c r="F130">
        <f>IF(OR(C130="",B130=""),"",IFERROR(INDEX(Key!$E$2:$E$263,MATCH(C130*100+B130,Key!$G$2:$G$263,0)),""))</f>
        <v/>
      </c>
      <c r="G130" s="6" t="n"/>
      <c r="H130">
        <f>IF(OR(C130="",B130=""),"",IFERROR(INDEX(Papers!$K$2:$P$12,MATCH(C130,Papers!$A$2:$A$12,0),INDEX(Key!$D$2:$D$263,MATCH(C130*100+B130,Key!$G$2:$G$263,0))),""))</f>
        <v/>
      </c>
      <c r="I130" s="6" t="n"/>
      <c r="J130" s="6" t="n"/>
    </row>
    <row r="131">
      <c r="A131" s="6" t="n"/>
      <c r="B131" s="6" t="n"/>
      <c r="C131">
        <f>IF(A131="","",IFERROR(INDEX(Attempts!$D$2:$D$200,MATCH(A131,Attempts!$A$2:$A$200,0)),"?"))</f>
        <v/>
      </c>
      <c r="D131">
        <f>IF(OR(A131="",B131=""),"",IFERROR(INDEX(Attempts!$M$2:$AP$200,MATCH(A131,Attempts!$A$2:$A$200,0),B131),""))</f>
        <v/>
      </c>
      <c r="E131">
        <f>IF(OR(C131="",B131=""),"",IFERROR(INDEX(Key!$C$2:$C$263,MATCH(C131*100+B131,Key!$G$2:$G$263,0)),""))</f>
        <v/>
      </c>
      <c r="F131">
        <f>IF(OR(C131="",B131=""),"",IFERROR(INDEX(Key!$E$2:$E$263,MATCH(C131*100+B131,Key!$G$2:$G$263,0)),""))</f>
        <v/>
      </c>
      <c r="G131" s="6" t="n"/>
      <c r="H131">
        <f>IF(OR(C131="",B131=""),"",IFERROR(INDEX(Papers!$K$2:$P$12,MATCH(C131,Papers!$A$2:$A$12,0),INDEX(Key!$D$2:$D$263,MATCH(C131*100+B131,Key!$G$2:$G$263,0))),""))</f>
        <v/>
      </c>
      <c r="I131" s="6" t="n"/>
      <c r="J131" s="6" t="n"/>
    </row>
    <row r="132">
      <c r="A132" s="6" t="n"/>
      <c r="B132" s="6" t="n"/>
      <c r="C132">
        <f>IF(A132="","",IFERROR(INDEX(Attempts!$D$2:$D$200,MATCH(A132,Attempts!$A$2:$A$200,0)),"?"))</f>
        <v/>
      </c>
      <c r="D132">
        <f>IF(OR(A132="",B132=""),"",IFERROR(INDEX(Attempts!$M$2:$AP$200,MATCH(A132,Attempts!$A$2:$A$200,0),B132),""))</f>
        <v/>
      </c>
      <c r="E132">
        <f>IF(OR(C132="",B132=""),"",IFERROR(INDEX(Key!$C$2:$C$263,MATCH(C132*100+B132,Key!$G$2:$G$263,0)),""))</f>
        <v/>
      </c>
      <c r="F132">
        <f>IF(OR(C132="",B132=""),"",IFERROR(INDEX(Key!$E$2:$E$263,MATCH(C132*100+B132,Key!$G$2:$G$263,0)),""))</f>
        <v/>
      </c>
      <c r="G132" s="6" t="n"/>
      <c r="H132">
        <f>IF(OR(C132="",B132=""),"",IFERROR(INDEX(Papers!$K$2:$P$12,MATCH(C132,Papers!$A$2:$A$12,0),INDEX(Key!$D$2:$D$263,MATCH(C132*100+B132,Key!$G$2:$G$263,0))),""))</f>
        <v/>
      </c>
      <c r="I132" s="6" t="n"/>
      <c r="J132" s="6" t="n"/>
    </row>
    <row r="133">
      <c r="A133" s="6" t="n"/>
      <c r="B133" s="6" t="n"/>
      <c r="C133">
        <f>IF(A133="","",IFERROR(INDEX(Attempts!$D$2:$D$200,MATCH(A133,Attempts!$A$2:$A$200,0)),"?"))</f>
        <v/>
      </c>
      <c r="D133">
        <f>IF(OR(A133="",B133=""),"",IFERROR(INDEX(Attempts!$M$2:$AP$200,MATCH(A133,Attempts!$A$2:$A$200,0),B133),""))</f>
        <v/>
      </c>
      <c r="E133">
        <f>IF(OR(C133="",B133=""),"",IFERROR(INDEX(Key!$C$2:$C$263,MATCH(C133*100+B133,Key!$G$2:$G$263,0)),""))</f>
        <v/>
      </c>
      <c r="F133">
        <f>IF(OR(C133="",B133=""),"",IFERROR(INDEX(Key!$E$2:$E$263,MATCH(C133*100+B133,Key!$G$2:$G$263,0)),""))</f>
        <v/>
      </c>
      <c r="G133" s="6" t="n"/>
      <c r="H133">
        <f>IF(OR(C133="",B133=""),"",IFERROR(INDEX(Papers!$K$2:$P$12,MATCH(C133,Papers!$A$2:$A$12,0),INDEX(Key!$D$2:$D$263,MATCH(C133*100+B133,Key!$G$2:$G$263,0))),""))</f>
        <v/>
      </c>
      <c r="I133" s="6" t="n"/>
      <c r="J133" s="6" t="n"/>
    </row>
    <row r="134">
      <c r="A134" s="6" t="n"/>
      <c r="B134" s="6" t="n"/>
      <c r="C134">
        <f>IF(A134="","",IFERROR(INDEX(Attempts!$D$2:$D$200,MATCH(A134,Attempts!$A$2:$A$200,0)),"?"))</f>
        <v/>
      </c>
      <c r="D134">
        <f>IF(OR(A134="",B134=""),"",IFERROR(INDEX(Attempts!$M$2:$AP$200,MATCH(A134,Attempts!$A$2:$A$200,0),B134),""))</f>
        <v/>
      </c>
      <c r="E134">
        <f>IF(OR(C134="",B134=""),"",IFERROR(INDEX(Key!$C$2:$C$263,MATCH(C134*100+B134,Key!$G$2:$G$263,0)),""))</f>
        <v/>
      </c>
      <c r="F134">
        <f>IF(OR(C134="",B134=""),"",IFERROR(INDEX(Key!$E$2:$E$263,MATCH(C134*100+B134,Key!$G$2:$G$263,0)),""))</f>
        <v/>
      </c>
      <c r="G134" s="6" t="n"/>
      <c r="H134">
        <f>IF(OR(C134="",B134=""),"",IFERROR(INDEX(Papers!$K$2:$P$12,MATCH(C134,Papers!$A$2:$A$12,0),INDEX(Key!$D$2:$D$263,MATCH(C134*100+B134,Key!$G$2:$G$263,0))),""))</f>
        <v/>
      </c>
      <c r="I134" s="6" t="n"/>
      <c r="J134" s="6" t="n"/>
    </row>
    <row r="135">
      <c r="A135" s="6" t="n"/>
      <c r="B135" s="6" t="n"/>
      <c r="C135">
        <f>IF(A135="","",IFERROR(INDEX(Attempts!$D$2:$D$200,MATCH(A135,Attempts!$A$2:$A$200,0)),"?"))</f>
        <v/>
      </c>
      <c r="D135">
        <f>IF(OR(A135="",B135=""),"",IFERROR(INDEX(Attempts!$M$2:$AP$200,MATCH(A135,Attempts!$A$2:$A$200,0),B135),""))</f>
        <v/>
      </c>
      <c r="E135">
        <f>IF(OR(C135="",B135=""),"",IFERROR(INDEX(Key!$C$2:$C$263,MATCH(C135*100+B135,Key!$G$2:$G$263,0)),""))</f>
        <v/>
      </c>
      <c r="F135">
        <f>IF(OR(C135="",B135=""),"",IFERROR(INDEX(Key!$E$2:$E$263,MATCH(C135*100+B135,Key!$G$2:$G$263,0)),""))</f>
        <v/>
      </c>
      <c r="G135" s="6" t="n"/>
      <c r="H135">
        <f>IF(OR(C135="",B135=""),"",IFERROR(INDEX(Papers!$K$2:$P$12,MATCH(C135,Papers!$A$2:$A$12,0),INDEX(Key!$D$2:$D$263,MATCH(C135*100+B135,Key!$G$2:$G$263,0))),""))</f>
        <v/>
      </c>
      <c r="I135" s="6" t="n"/>
      <c r="J135" s="6" t="n"/>
    </row>
    <row r="136">
      <c r="A136" s="6" t="n"/>
      <c r="B136" s="6" t="n"/>
      <c r="C136">
        <f>IF(A136="","",IFERROR(INDEX(Attempts!$D$2:$D$200,MATCH(A136,Attempts!$A$2:$A$200,0)),"?"))</f>
        <v/>
      </c>
      <c r="D136">
        <f>IF(OR(A136="",B136=""),"",IFERROR(INDEX(Attempts!$M$2:$AP$200,MATCH(A136,Attempts!$A$2:$A$200,0),B136),""))</f>
        <v/>
      </c>
      <c r="E136">
        <f>IF(OR(C136="",B136=""),"",IFERROR(INDEX(Key!$C$2:$C$263,MATCH(C136*100+B136,Key!$G$2:$G$263,0)),""))</f>
        <v/>
      </c>
      <c r="F136">
        <f>IF(OR(C136="",B136=""),"",IFERROR(INDEX(Key!$E$2:$E$263,MATCH(C136*100+B136,Key!$G$2:$G$263,0)),""))</f>
        <v/>
      </c>
      <c r="G136" s="6" t="n"/>
      <c r="H136">
        <f>IF(OR(C136="",B136=""),"",IFERROR(INDEX(Papers!$K$2:$P$12,MATCH(C136,Papers!$A$2:$A$12,0),INDEX(Key!$D$2:$D$263,MATCH(C136*100+B136,Key!$G$2:$G$263,0))),""))</f>
        <v/>
      </c>
      <c r="I136" s="6" t="n"/>
      <c r="J136" s="6" t="n"/>
    </row>
    <row r="137">
      <c r="A137" s="6" t="n"/>
      <c r="B137" s="6" t="n"/>
      <c r="C137">
        <f>IF(A137="","",IFERROR(INDEX(Attempts!$D$2:$D$200,MATCH(A137,Attempts!$A$2:$A$200,0)),"?"))</f>
        <v/>
      </c>
      <c r="D137">
        <f>IF(OR(A137="",B137=""),"",IFERROR(INDEX(Attempts!$M$2:$AP$200,MATCH(A137,Attempts!$A$2:$A$200,0),B137),""))</f>
        <v/>
      </c>
      <c r="E137">
        <f>IF(OR(C137="",B137=""),"",IFERROR(INDEX(Key!$C$2:$C$263,MATCH(C137*100+B137,Key!$G$2:$G$263,0)),""))</f>
        <v/>
      </c>
      <c r="F137">
        <f>IF(OR(C137="",B137=""),"",IFERROR(INDEX(Key!$E$2:$E$263,MATCH(C137*100+B137,Key!$G$2:$G$263,0)),""))</f>
        <v/>
      </c>
      <c r="G137" s="6" t="n"/>
      <c r="H137">
        <f>IF(OR(C137="",B137=""),"",IFERROR(INDEX(Papers!$K$2:$P$12,MATCH(C137,Papers!$A$2:$A$12,0),INDEX(Key!$D$2:$D$263,MATCH(C137*100+B137,Key!$G$2:$G$263,0))),""))</f>
        <v/>
      </c>
      <c r="I137" s="6" t="n"/>
      <c r="J137" s="6" t="n"/>
    </row>
    <row r="138">
      <c r="A138" s="6" t="n"/>
      <c r="B138" s="6" t="n"/>
      <c r="C138">
        <f>IF(A138="","",IFERROR(INDEX(Attempts!$D$2:$D$200,MATCH(A138,Attempts!$A$2:$A$200,0)),"?"))</f>
        <v/>
      </c>
      <c r="D138">
        <f>IF(OR(A138="",B138=""),"",IFERROR(INDEX(Attempts!$M$2:$AP$200,MATCH(A138,Attempts!$A$2:$A$200,0),B138),""))</f>
        <v/>
      </c>
      <c r="E138">
        <f>IF(OR(C138="",B138=""),"",IFERROR(INDEX(Key!$C$2:$C$263,MATCH(C138*100+B138,Key!$G$2:$G$263,0)),""))</f>
        <v/>
      </c>
      <c r="F138">
        <f>IF(OR(C138="",B138=""),"",IFERROR(INDEX(Key!$E$2:$E$263,MATCH(C138*100+B138,Key!$G$2:$G$263,0)),""))</f>
        <v/>
      </c>
      <c r="G138" s="6" t="n"/>
      <c r="H138">
        <f>IF(OR(C138="",B138=""),"",IFERROR(INDEX(Papers!$K$2:$P$12,MATCH(C138,Papers!$A$2:$A$12,0),INDEX(Key!$D$2:$D$263,MATCH(C138*100+B138,Key!$G$2:$G$263,0))),""))</f>
        <v/>
      </c>
      <c r="I138" s="6" t="n"/>
      <c r="J138" s="6" t="n"/>
    </row>
    <row r="139">
      <c r="A139" s="6" t="n"/>
      <c r="B139" s="6" t="n"/>
      <c r="C139">
        <f>IF(A139="","",IFERROR(INDEX(Attempts!$D$2:$D$200,MATCH(A139,Attempts!$A$2:$A$200,0)),"?"))</f>
        <v/>
      </c>
      <c r="D139">
        <f>IF(OR(A139="",B139=""),"",IFERROR(INDEX(Attempts!$M$2:$AP$200,MATCH(A139,Attempts!$A$2:$A$200,0),B139),""))</f>
        <v/>
      </c>
      <c r="E139">
        <f>IF(OR(C139="",B139=""),"",IFERROR(INDEX(Key!$C$2:$C$263,MATCH(C139*100+B139,Key!$G$2:$G$263,0)),""))</f>
        <v/>
      </c>
      <c r="F139">
        <f>IF(OR(C139="",B139=""),"",IFERROR(INDEX(Key!$E$2:$E$263,MATCH(C139*100+B139,Key!$G$2:$G$263,0)),""))</f>
        <v/>
      </c>
      <c r="G139" s="6" t="n"/>
      <c r="H139">
        <f>IF(OR(C139="",B139=""),"",IFERROR(INDEX(Papers!$K$2:$P$12,MATCH(C139,Papers!$A$2:$A$12,0),INDEX(Key!$D$2:$D$263,MATCH(C139*100+B139,Key!$G$2:$G$263,0))),""))</f>
        <v/>
      </c>
      <c r="I139" s="6" t="n"/>
      <c r="J139" s="6" t="n"/>
    </row>
    <row r="140">
      <c r="A140" s="6" t="n"/>
      <c r="B140" s="6" t="n"/>
      <c r="C140">
        <f>IF(A140="","",IFERROR(INDEX(Attempts!$D$2:$D$200,MATCH(A140,Attempts!$A$2:$A$200,0)),"?"))</f>
        <v/>
      </c>
      <c r="D140">
        <f>IF(OR(A140="",B140=""),"",IFERROR(INDEX(Attempts!$M$2:$AP$200,MATCH(A140,Attempts!$A$2:$A$200,0),B140),""))</f>
        <v/>
      </c>
      <c r="E140">
        <f>IF(OR(C140="",B140=""),"",IFERROR(INDEX(Key!$C$2:$C$263,MATCH(C140*100+B140,Key!$G$2:$G$263,0)),""))</f>
        <v/>
      </c>
      <c r="F140">
        <f>IF(OR(C140="",B140=""),"",IFERROR(INDEX(Key!$E$2:$E$263,MATCH(C140*100+B140,Key!$G$2:$G$263,0)),""))</f>
        <v/>
      </c>
      <c r="G140" s="6" t="n"/>
      <c r="H140">
        <f>IF(OR(C140="",B140=""),"",IFERROR(INDEX(Papers!$K$2:$P$12,MATCH(C140,Papers!$A$2:$A$12,0),INDEX(Key!$D$2:$D$263,MATCH(C140*100+B140,Key!$G$2:$G$263,0))),""))</f>
        <v/>
      </c>
      <c r="I140" s="6" t="n"/>
      <c r="J140" s="6" t="n"/>
    </row>
    <row r="141">
      <c r="A141" s="6" t="n"/>
      <c r="B141" s="6" t="n"/>
      <c r="C141">
        <f>IF(A141="","",IFERROR(INDEX(Attempts!$D$2:$D$200,MATCH(A141,Attempts!$A$2:$A$200,0)),"?"))</f>
        <v/>
      </c>
      <c r="D141">
        <f>IF(OR(A141="",B141=""),"",IFERROR(INDEX(Attempts!$M$2:$AP$200,MATCH(A141,Attempts!$A$2:$A$200,0),B141),""))</f>
        <v/>
      </c>
      <c r="E141">
        <f>IF(OR(C141="",B141=""),"",IFERROR(INDEX(Key!$C$2:$C$263,MATCH(C141*100+B141,Key!$G$2:$G$263,0)),""))</f>
        <v/>
      </c>
      <c r="F141">
        <f>IF(OR(C141="",B141=""),"",IFERROR(INDEX(Key!$E$2:$E$263,MATCH(C141*100+B141,Key!$G$2:$G$263,0)),""))</f>
        <v/>
      </c>
      <c r="G141" s="6" t="n"/>
      <c r="H141">
        <f>IF(OR(C141="",B141=""),"",IFERROR(INDEX(Papers!$K$2:$P$12,MATCH(C141,Papers!$A$2:$A$12,0),INDEX(Key!$D$2:$D$263,MATCH(C141*100+B141,Key!$G$2:$G$263,0))),""))</f>
        <v/>
      </c>
      <c r="I141" s="6" t="n"/>
      <c r="J141" s="6" t="n"/>
    </row>
    <row r="142">
      <c r="A142" s="6" t="n"/>
      <c r="B142" s="6" t="n"/>
      <c r="C142">
        <f>IF(A142="","",IFERROR(INDEX(Attempts!$D$2:$D$200,MATCH(A142,Attempts!$A$2:$A$200,0)),"?"))</f>
        <v/>
      </c>
      <c r="D142">
        <f>IF(OR(A142="",B142=""),"",IFERROR(INDEX(Attempts!$M$2:$AP$200,MATCH(A142,Attempts!$A$2:$A$200,0),B142),""))</f>
        <v/>
      </c>
      <c r="E142">
        <f>IF(OR(C142="",B142=""),"",IFERROR(INDEX(Key!$C$2:$C$263,MATCH(C142*100+B142,Key!$G$2:$G$263,0)),""))</f>
        <v/>
      </c>
      <c r="F142">
        <f>IF(OR(C142="",B142=""),"",IFERROR(INDEX(Key!$E$2:$E$263,MATCH(C142*100+B142,Key!$G$2:$G$263,0)),""))</f>
        <v/>
      </c>
      <c r="G142" s="6" t="n"/>
      <c r="H142">
        <f>IF(OR(C142="",B142=""),"",IFERROR(INDEX(Papers!$K$2:$P$12,MATCH(C142,Papers!$A$2:$A$12,0),INDEX(Key!$D$2:$D$263,MATCH(C142*100+B142,Key!$G$2:$G$263,0))),""))</f>
        <v/>
      </c>
      <c r="I142" s="6" t="n"/>
      <c r="J142" s="6" t="n"/>
    </row>
    <row r="143">
      <c r="A143" s="6" t="n"/>
      <c r="B143" s="6" t="n"/>
      <c r="C143">
        <f>IF(A143="","",IFERROR(INDEX(Attempts!$D$2:$D$200,MATCH(A143,Attempts!$A$2:$A$200,0)),"?"))</f>
        <v/>
      </c>
      <c r="D143">
        <f>IF(OR(A143="",B143=""),"",IFERROR(INDEX(Attempts!$M$2:$AP$200,MATCH(A143,Attempts!$A$2:$A$200,0),B143),""))</f>
        <v/>
      </c>
      <c r="E143">
        <f>IF(OR(C143="",B143=""),"",IFERROR(INDEX(Key!$C$2:$C$263,MATCH(C143*100+B143,Key!$G$2:$G$263,0)),""))</f>
        <v/>
      </c>
      <c r="F143">
        <f>IF(OR(C143="",B143=""),"",IFERROR(INDEX(Key!$E$2:$E$263,MATCH(C143*100+B143,Key!$G$2:$G$263,0)),""))</f>
        <v/>
      </c>
      <c r="G143" s="6" t="n"/>
      <c r="H143">
        <f>IF(OR(C143="",B143=""),"",IFERROR(INDEX(Papers!$K$2:$P$12,MATCH(C143,Papers!$A$2:$A$12,0),INDEX(Key!$D$2:$D$263,MATCH(C143*100+B143,Key!$G$2:$G$263,0))),""))</f>
        <v/>
      </c>
      <c r="I143" s="6" t="n"/>
      <c r="J143" s="6" t="n"/>
    </row>
    <row r="144">
      <c r="A144" s="6" t="n"/>
      <c r="B144" s="6" t="n"/>
      <c r="C144">
        <f>IF(A144="","",IFERROR(INDEX(Attempts!$D$2:$D$200,MATCH(A144,Attempts!$A$2:$A$200,0)),"?"))</f>
        <v/>
      </c>
      <c r="D144">
        <f>IF(OR(A144="",B144=""),"",IFERROR(INDEX(Attempts!$M$2:$AP$200,MATCH(A144,Attempts!$A$2:$A$200,0),B144),""))</f>
        <v/>
      </c>
      <c r="E144">
        <f>IF(OR(C144="",B144=""),"",IFERROR(INDEX(Key!$C$2:$C$263,MATCH(C144*100+B144,Key!$G$2:$G$263,0)),""))</f>
        <v/>
      </c>
      <c r="F144">
        <f>IF(OR(C144="",B144=""),"",IFERROR(INDEX(Key!$E$2:$E$263,MATCH(C144*100+B144,Key!$G$2:$G$263,0)),""))</f>
        <v/>
      </c>
      <c r="G144" s="6" t="n"/>
      <c r="H144">
        <f>IF(OR(C144="",B144=""),"",IFERROR(INDEX(Papers!$K$2:$P$12,MATCH(C144,Papers!$A$2:$A$12,0),INDEX(Key!$D$2:$D$263,MATCH(C144*100+B144,Key!$G$2:$G$263,0))),""))</f>
        <v/>
      </c>
      <c r="I144" s="6" t="n"/>
      <c r="J144" s="6" t="n"/>
    </row>
    <row r="145">
      <c r="A145" s="6" t="n"/>
      <c r="B145" s="6" t="n"/>
      <c r="C145">
        <f>IF(A145="","",IFERROR(INDEX(Attempts!$D$2:$D$200,MATCH(A145,Attempts!$A$2:$A$200,0)),"?"))</f>
        <v/>
      </c>
      <c r="D145">
        <f>IF(OR(A145="",B145=""),"",IFERROR(INDEX(Attempts!$M$2:$AP$200,MATCH(A145,Attempts!$A$2:$A$200,0),B145),""))</f>
        <v/>
      </c>
      <c r="E145">
        <f>IF(OR(C145="",B145=""),"",IFERROR(INDEX(Key!$C$2:$C$263,MATCH(C145*100+B145,Key!$G$2:$G$263,0)),""))</f>
        <v/>
      </c>
      <c r="F145">
        <f>IF(OR(C145="",B145=""),"",IFERROR(INDEX(Key!$E$2:$E$263,MATCH(C145*100+B145,Key!$G$2:$G$263,0)),""))</f>
        <v/>
      </c>
      <c r="G145" s="6" t="n"/>
      <c r="H145">
        <f>IF(OR(C145="",B145=""),"",IFERROR(INDEX(Papers!$K$2:$P$12,MATCH(C145,Papers!$A$2:$A$12,0),INDEX(Key!$D$2:$D$263,MATCH(C145*100+B145,Key!$G$2:$G$263,0))),""))</f>
        <v/>
      </c>
      <c r="I145" s="6" t="n"/>
      <c r="J145" s="6" t="n"/>
    </row>
    <row r="146">
      <c r="A146" s="6" t="n"/>
      <c r="B146" s="6" t="n"/>
      <c r="C146">
        <f>IF(A146="","",IFERROR(INDEX(Attempts!$D$2:$D$200,MATCH(A146,Attempts!$A$2:$A$200,0)),"?"))</f>
        <v/>
      </c>
      <c r="D146">
        <f>IF(OR(A146="",B146=""),"",IFERROR(INDEX(Attempts!$M$2:$AP$200,MATCH(A146,Attempts!$A$2:$A$200,0),B146),""))</f>
        <v/>
      </c>
      <c r="E146">
        <f>IF(OR(C146="",B146=""),"",IFERROR(INDEX(Key!$C$2:$C$263,MATCH(C146*100+B146,Key!$G$2:$G$263,0)),""))</f>
        <v/>
      </c>
      <c r="F146">
        <f>IF(OR(C146="",B146=""),"",IFERROR(INDEX(Key!$E$2:$E$263,MATCH(C146*100+B146,Key!$G$2:$G$263,0)),""))</f>
        <v/>
      </c>
      <c r="G146" s="6" t="n"/>
      <c r="H146">
        <f>IF(OR(C146="",B146=""),"",IFERROR(INDEX(Papers!$K$2:$P$12,MATCH(C146,Papers!$A$2:$A$12,0),INDEX(Key!$D$2:$D$263,MATCH(C146*100+B146,Key!$G$2:$G$263,0))),""))</f>
        <v/>
      </c>
      <c r="I146" s="6" t="n"/>
      <c r="J146" s="6" t="n"/>
    </row>
    <row r="147">
      <c r="A147" s="6" t="n"/>
      <c r="B147" s="6" t="n"/>
      <c r="C147">
        <f>IF(A147="","",IFERROR(INDEX(Attempts!$D$2:$D$200,MATCH(A147,Attempts!$A$2:$A$200,0)),"?"))</f>
        <v/>
      </c>
      <c r="D147">
        <f>IF(OR(A147="",B147=""),"",IFERROR(INDEX(Attempts!$M$2:$AP$200,MATCH(A147,Attempts!$A$2:$A$200,0),B147),""))</f>
        <v/>
      </c>
      <c r="E147">
        <f>IF(OR(C147="",B147=""),"",IFERROR(INDEX(Key!$C$2:$C$263,MATCH(C147*100+B147,Key!$G$2:$G$263,0)),""))</f>
        <v/>
      </c>
      <c r="F147">
        <f>IF(OR(C147="",B147=""),"",IFERROR(INDEX(Key!$E$2:$E$263,MATCH(C147*100+B147,Key!$G$2:$G$263,0)),""))</f>
        <v/>
      </c>
      <c r="G147" s="6" t="n"/>
      <c r="H147">
        <f>IF(OR(C147="",B147=""),"",IFERROR(INDEX(Papers!$K$2:$P$12,MATCH(C147,Papers!$A$2:$A$12,0),INDEX(Key!$D$2:$D$263,MATCH(C147*100+B147,Key!$G$2:$G$263,0))),""))</f>
        <v/>
      </c>
      <c r="I147" s="6" t="n"/>
      <c r="J147" s="6" t="n"/>
    </row>
    <row r="148">
      <c r="A148" s="6" t="n"/>
      <c r="B148" s="6" t="n"/>
      <c r="C148">
        <f>IF(A148="","",IFERROR(INDEX(Attempts!$D$2:$D$200,MATCH(A148,Attempts!$A$2:$A$200,0)),"?"))</f>
        <v/>
      </c>
      <c r="D148">
        <f>IF(OR(A148="",B148=""),"",IFERROR(INDEX(Attempts!$M$2:$AP$200,MATCH(A148,Attempts!$A$2:$A$200,0),B148),""))</f>
        <v/>
      </c>
      <c r="E148">
        <f>IF(OR(C148="",B148=""),"",IFERROR(INDEX(Key!$C$2:$C$263,MATCH(C148*100+B148,Key!$G$2:$G$263,0)),""))</f>
        <v/>
      </c>
      <c r="F148">
        <f>IF(OR(C148="",B148=""),"",IFERROR(INDEX(Key!$E$2:$E$263,MATCH(C148*100+B148,Key!$G$2:$G$263,0)),""))</f>
        <v/>
      </c>
      <c r="G148" s="6" t="n"/>
      <c r="H148">
        <f>IF(OR(C148="",B148=""),"",IFERROR(INDEX(Papers!$K$2:$P$12,MATCH(C148,Papers!$A$2:$A$12,0),INDEX(Key!$D$2:$D$263,MATCH(C148*100+B148,Key!$G$2:$G$263,0))),""))</f>
        <v/>
      </c>
      <c r="I148" s="6" t="n"/>
      <c r="J148" s="6" t="n"/>
    </row>
    <row r="149">
      <c r="A149" s="6" t="n"/>
      <c r="B149" s="6" t="n"/>
      <c r="C149">
        <f>IF(A149="","",IFERROR(INDEX(Attempts!$D$2:$D$200,MATCH(A149,Attempts!$A$2:$A$200,0)),"?"))</f>
        <v/>
      </c>
      <c r="D149">
        <f>IF(OR(A149="",B149=""),"",IFERROR(INDEX(Attempts!$M$2:$AP$200,MATCH(A149,Attempts!$A$2:$A$200,0),B149),""))</f>
        <v/>
      </c>
      <c r="E149">
        <f>IF(OR(C149="",B149=""),"",IFERROR(INDEX(Key!$C$2:$C$263,MATCH(C149*100+B149,Key!$G$2:$G$263,0)),""))</f>
        <v/>
      </c>
      <c r="F149">
        <f>IF(OR(C149="",B149=""),"",IFERROR(INDEX(Key!$E$2:$E$263,MATCH(C149*100+B149,Key!$G$2:$G$263,0)),""))</f>
        <v/>
      </c>
      <c r="G149" s="6" t="n"/>
      <c r="H149">
        <f>IF(OR(C149="",B149=""),"",IFERROR(INDEX(Papers!$K$2:$P$12,MATCH(C149,Papers!$A$2:$A$12,0),INDEX(Key!$D$2:$D$263,MATCH(C149*100+B149,Key!$G$2:$G$263,0))),""))</f>
        <v/>
      </c>
      <c r="I149" s="6" t="n"/>
      <c r="J149" s="6" t="n"/>
    </row>
    <row r="150">
      <c r="A150" s="6" t="n"/>
      <c r="B150" s="6" t="n"/>
      <c r="C150">
        <f>IF(A150="","",IFERROR(INDEX(Attempts!$D$2:$D$200,MATCH(A150,Attempts!$A$2:$A$200,0)),"?"))</f>
        <v/>
      </c>
      <c r="D150">
        <f>IF(OR(A150="",B150=""),"",IFERROR(INDEX(Attempts!$M$2:$AP$200,MATCH(A150,Attempts!$A$2:$A$200,0),B150),""))</f>
        <v/>
      </c>
      <c r="E150">
        <f>IF(OR(C150="",B150=""),"",IFERROR(INDEX(Key!$C$2:$C$263,MATCH(C150*100+B150,Key!$G$2:$G$263,0)),""))</f>
        <v/>
      </c>
      <c r="F150">
        <f>IF(OR(C150="",B150=""),"",IFERROR(INDEX(Key!$E$2:$E$263,MATCH(C150*100+B150,Key!$G$2:$G$263,0)),""))</f>
        <v/>
      </c>
      <c r="G150" s="6" t="n"/>
      <c r="H150">
        <f>IF(OR(C150="",B150=""),"",IFERROR(INDEX(Papers!$K$2:$P$12,MATCH(C150,Papers!$A$2:$A$12,0),INDEX(Key!$D$2:$D$263,MATCH(C150*100+B150,Key!$G$2:$G$263,0))),""))</f>
        <v/>
      </c>
      <c r="I150" s="6" t="n"/>
      <c r="J150" s="6" t="n"/>
    </row>
    <row r="151">
      <c r="A151" s="6" t="n"/>
      <c r="B151" s="6" t="n"/>
      <c r="C151">
        <f>IF(A151="","",IFERROR(INDEX(Attempts!$D$2:$D$200,MATCH(A151,Attempts!$A$2:$A$200,0)),"?"))</f>
        <v/>
      </c>
      <c r="D151">
        <f>IF(OR(A151="",B151=""),"",IFERROR(INDEX(Attempts!$M$2:$AP$200,MATCH(A151,Attempts!$A$2:$A$200,0),B151),""))</f>
        <v/>
      </c>
      <c r="E151">
        <f>IF(OR(C151="",B151=""),"",IFERROR(INDEX(Key!$C$2:$C$263,MATCH(C151*100+B151,Key!$G$2:$G$263,0)),""))</f>
        <v/>
      </c>
      <c r="F151">
        <f>IF(OR(C151="",B151=""),"",IFERROR(INDEX(Key!$E$2:$E$263,MATCH(C151*100+B151,Key!$G$2:$G$263,0)),""))</f>
        <v/>
      </c>
      <c r="G151" s="6" t="n"/>
      <c r="H151">
        <f>IF(OR(C151="",B151=""),"",IFERROR(INDEX(Papers!$K$2:$P$12,MATCH(C151,Papers!$A$2:$A$12,0),INDEX(Key!$D$2:$D$263,MATCH(C151*100+B151,Key!$G$2:$G$263,0))),""))</f>
        <v/>
      </c>
      <c r="I151" s="6" t="n"/>
      <c r="J151" s="6" t="n"/>
    </row>
    <row r="152">
      <c r="A152" s="6" t="n"/>
      <c r="B152" s="6" t="n"/>
      <c r="C152">
        <f>IF(A152="","",IFERROR(INDEX(Attempts!$D$2:$D$200,MATCH(A152,Attempts!$A$2:$A$200,0)),"?"))</f>
        <v/>
      </c>
      <c r="D152">
        <f>IF(OR(A152="",B152=""),"",IFERROR(INDEX(Attempts!$M$2:$AP$200,MATCH(A152,Attempts!$A$2:$A$200,0),B152),""))</f>
        <v/>
      </c>
      <c r="E152">
        <f>IF(OR(C152="",B152=""),"",IFERROR(INDEX(Key!$C$2:$C$263,MATCH(C152*100+B152,Key!$G$2:$G$263,0)),""))</f>
        <v/>
      </c>
      <c r="F152">
        <f>IF(OR(C152="",B152=""),"",IFERROR(INDEX(Key!$E$2:$E$263,MATCH(C152*100+B152,Key!$G$2:$G$263,0)),""))</f>
        <v/>
      </c>
      <c r="G152" s="6" t="n"/>
      <c r="H152">
        <f>IF(OR(C152="",B152=""),"",IFERROR(INDEX(Papers!$K$2:$P$12,MATCH(C152,Papers!$A$2:$A$12,0),INDEX(Key!$D$2:$D$263,MATCH(C152*100+B152,Key!$G$2:$G$263,0))),""))</f>
        <v/>
      </c>
      <c r="I152" s="6" t="n"/>
      <c r="J152" s="6" t="n"/>
    </row>
    <row r="153">
      <c r="A153" s="6" t="n"/>
      <c r="B153" s="6" t="n"/>
      <c r="C153">
        <f>IF(A153="","",IFERROR(INDEX(Attempts!$D$2:$D$200,MATCH(A153,Attempts!$A$2:$A$200,0)),"?"))</f>
        <v/>
      </c>
      <c r="D153">
        <f>IF(OR(A153="",B153=""),"",IFERROR(INDEX(Attempts!$M$2:$AP$200,MATCH(A153,Attempts!$A$2:$A$200,0),B153),""))</f>
        <v/>
      </c>
      <c r="E153">
        <f>IF(OR(C153="",B153=""),"",IFERROR(INDEX(Key!$C$2:$C$263,MATCH(C153*100+B153,Key!$G$2:$G$263,0)),""))</f>
        <v/>
      </c>
      <c r="F153">
        <f>IF(OR(C153="",B153=""),"",IFERROR(INDEX(Key!$E$2:$E$263,MATCH(C153*100+B153,Key!$G$2:$G$263,0)),""))</f>
        <v/>
      </c>
      <c r="G153" s="6" t="n"/>
      <c r="H153">
        <f>IF(OR(C153="",B153=""),"",IFERROR(INDEX(Papers!$K$2:$P$12,MATCH(C153,Papers!$A$2:$A$12,0),INDEX(Key!$D$2:$D$263,MATCH(C153*100+B153,Key!$G$2:$G$263,0))),""))</f>
        <v/>
      </c>
      <c r="I153" s="6" t="n"/>
      <c r="J153" s="6" t="n"/>
    </row>
    <row r="154">
      <c r="A154" s="6" t="n"/>
      <c r="B154" s="6" t="n"/>
      <c r="C154">
        <f>IF(A154="","",IFERROR(INDEX(Attempts!$D$2:$D$200,MATCH(A154,Attempts!$A$2:$A$200,0)),"?"))</f>
        <v/>
      </c>
      <c r="D154">
        <f>IF(OR(A154="",B154=""),"",IFERROR(INDEX(Attempts!$M$2:$AP$200,MATCH(A154,Attempts!$A$2:$A$200,0),B154),""))</f>
        <v/>
      </c>
      <c r="E154">
        <f>IF(OR(C154="",B154=""),"",IFERROR(INDEX(Key!$C$2:$C$263,MATCH(C154*100+B154,Key!$G$2:$G$263,0)),""))</f>
        <v/>
      </c>
      <c r="F154">
        <f>IF(OR(C154="",B154=""),"",IFERROR(INDEX(Key!$E$2:$E$263,MATCH(C154*100+B154,Key!$G$2:$G$263,0)),""))</f>
        <v/>
      </c>
      <c r="G154" s="6" t="n"/>
      <c r="H154">
        <f>IF(OR(C154="",B154=""),"",IFERROR(INDEX(Papers!$K$2:$P$12,MATCH(C154,Papers!$A$2:$A$12,0),INDEX(Key!$D$2:$D$263,MATCH(C154*100+B154,Key!$G$2:$G$263,0))),""))</f>
        <v/>
      </c>
      <c r="I154" s="6" t="n"/>
      <c r="J154" s="6" t="n"/>
    </row>
    <row r="155">
      <c r="A155" s="6" t="n"/>
      <c r="B155" s="6" t="n"/>
      <c r="C155">
        <f>IF(A155="","",IFERROR(INDEX(Attempts!$D$2:$D$200,MATCH(A155,Attempts!$A$2:$A$200,0)),"?"))</f>
        <v/>
      </c>
      <c r="D155">
        <f>IF(OR(A155="",B155=""),"",IFERROR(INDEX(Attempts!$M$2:$AP$200,MATCH(A155,Attempts!$A$2:$A$200,0),B155),""))</f>
        <v/>
      </c>
      <c r="E155">
        <f>IF(OR(C155="",B155=""),"",IFERROR(INDEX(Key!$C$2:$C$263,MATCH(C155*100+B155,Key!$G$2:$G$263,0)),""))</f>
        <v/>
      </c>
      <c r="F155">
        <f>IF(OR(C155="",B155=""),"",IFERROR(INDEX(Key!$E$2:$E$263,MATCH(C155*100+B155,Key!$G$2:$G$263,0)),""))</f>
        <v/>
      </c>
      <c r="G155" s="6" t="n"/>
      <c r="H155">
        <f>IF(OR(C155="",B155=""),"",IFERROR(INDEX(Papers!$K$2:$P$12,MATCH(C155,Papers!$A$2:$A$12,0),INDEX(Key!$D$2:$D$263,MATCH(C155*100+B155,Key!$G$2:$G$263,0))),""))</f>
        <v/>
      </c>
      <c r="I155" s="6" t="n"/>
      <c r="J155" s="6" t="n"/>
    </row>
    <row r="156">
      <c r="A156" s="6" t="n"/>
      <c r="B156" s="6" t="n"/>
      <c r="C156">
        <f>IF(A156="","",IFERROR(INDEX(Attempts!$D$2:$D$200,MATCH(A156,Attempts!$A$2:$A$200,0)),"?"))</f>
        <v/>
      </c>
      <c r="D156">
        <f>IF(OR(A156="",B156=""),"",IFERROR(INDEX(Attempts!$M$2:$AP$200,MATCH(A156,Attempts!$A$2:$A$200,0),B156),""))</f>
        <v/>
      </c>
      <c r="E156">
        <f>IF(OR(C156="",B156=""),"",IFERROR(INDEX(Key!$C$2:$C$263,MATCH(C156*100+B156,Key!$G$2:$G$263,0)),""))</f>
        <v/>
      </c>
      <c r="F156">
        <f>IF(OR(C156="",B156=""),"",IFERROR(INDEX(Key!$E$2:$E$263,MATCH(C156*100+B156,Key!$G$2:$G$263,0)),""))</f>
        <v/>
      </c>
      <c r="G156" s="6" t="n"/>
      <c r="H156">
        <f>IF(OR(C156="",B156=""),"",IFERROR(INDEX(Papers!$K$2:$P$12,MATCH(C156,Papers!$A$2:$A$12,0),INDEX(Key!$D$2:$D$263,MATCH(C156*100+B156,Key!$G$2:$G$263,0))),""))</f>
        <v/>
      </c>
      <c r="I156" s="6" t="n"/>
      <c r="J156" s="6" t="n"/>
    </row>
    <row r="157">
      <c r="A157" s="6" t="n"/>
      <c r="B157" s="6" t="n"/>
      <c r="C157">
        <f>IF(A157="","",IFERROR(INDEX(Attempts!$D$2:$D$200,MATCH(A157,Attempts!$A$2:$A$200,0)),"?"))</f>
        <v/>
      </c>
      <c r="D157">
        <f>IF(OR(A157="",B157=""),"",IFERROR(INDEX(Attempts!$M$2:$AP$200,MATCH(A157,Attempts!$A$2:$A$200,0),B157),""))</f>
        <v/>
      </c>
      <c r="E157">
        <f>IF(OR(C157="",B157=""),"",IFERROR(INDEX(Key!$C$2:$C$263,MATCH(C157*100+B157,Key!$G$2:$G$263,0)),""))</f>
        <v/>
      </c>
      <c r="F157">
        <f>IF(OR(C157="",B157=""),"",IFERROR(INDEX(Key!$E$2:$E$263,MATCH(C157*100+B157,Key!$G$2:$G$263,0)),""))</f>
        <v/>
      </c>
      <c r="G157" s="6" t="n"/>
      <c r="H157">
        <f>IF(OR(C157="",B157=""),"",IFERROR(INDEX(Papers!$K$2:$P$12,MATCH(C157,Papers!$A$2:$A$12,0),INDEX(Key!$D$2:$D$263,MATCH(C157*100+B157,Key!$G$2:$G$263,0))),""))</f>
        <v/>
      </c>
      <c r="I157" s="6" t="n"/>
      <c r="J157" s="6" t="n"/>
    </row>
    <row r="158">
      <c r="A158" s="6" t="n"/>
      <c r="B158" s="6" t="n"/>
      <c r="C158">
        <f>IF(A158="","",IFERROR(INDEX(Attempts!$D$2:$D$200,MATCH(A158,Attempts!$A$2:$A$200,0)),"?"))</f>
        <v/>
      </c>
      <c r="D158">
        <f>IF(OR(A158="",B158=""),"",IFERROR(INDEX(Attempts!$M$2:$AP$200,MATCH(A158,Attempts!$A$2:$A$200,0),B158),""))</f>
        <v/>
      </c>
      <c r="E158">
        <f>IF(OR(C158="",B158=""),"",IFERROR(INDEX(Key!$C$2:$C$263,MATCH(C158*100+B158,Key!$G$2:$G$263,0)),""))</f>
        <v/>
      </c>
      <c r="F158">
        <f>IF(OR(C158="",B158=""),"",IFERROR(INDEX(Key!$E$2:$E$263,MATCH(C158*100+B158,Key!$G$2:$G$263,0)),""))</f>
        <v/>
      </c>
      <c r="G158" s="6" t="n"/>
      <c r="H158">
        <f>IF(OR(C158="",B158=""),"",IFERROR(INDEX(Papers!$K$2:$P$12,MATCH(C158,Papers!$A$2:$A$12,0),INDEX(Key!$D$2:$D$263,MATCH(C158*100+B158,Key!$G$2:$G$263,0))),""))</f>
        <v/>
      </c>
      <c r="I158" s="6" t="n"/>
      <c r="J158" s="6" t="n"/>
    </row>
    <row r="159">
      <c r="A159" s="6" t="n"/>
      <c r="B159" s="6" t="n"/>
      <c r="C159">
        <f>IF(A159="","",IFERROR(INDEX(Attempts!$D$2:$D$200,MATCH(A159,Attempts!$A$2:$A$200,0)),"?"))</f>
        <v/>
      </c>
      <c r="D159">
        <f>IF(OR(A159="",B159=""),"",IFERROR(INDEX(Attempts!$M$2:$AP$200,MATCH(A159,Attempts!$A$2:$A$200,0),B159),""))</f>
        <v/>
      </c>
      <c r="E159">
        <f>IF(OR(C159="",B159=""),"",IFERROR(INDEX(Key!$C$2:$C$263,MATCH(C159*100+B159,Key!$G$2:$G$263,0)),""))</f>
        <v/>
      </c>
      <c r="F159">
        <f>IF(OR(C159="",B159=""),"",IFERROR(INDEX(Key!$E$2:$E$263,MATCH(C159*100+B159,Key!$G$2:$G$263,0)),""))</f>
        <v/>
      </c>
      <c r="G159" s="6" t="n"/>
      <c r="H159">
        <f>IF(OR(C159="",B159=""),"",IFERROR(INDEX(Papers!$K$2:$P$12,MATCH(C159,Papers!$A$2:$A$12,0),INDEX(Key!$D$2:$D$263,MATCH(C159*100+B159,Key!$G$2:$G$263,0))),""))</f>
        <v/>
      </c>
      <c r="I159" s="6" t="n"/>
      <c r="J159" s="6" t="n"/>
    </row>
    <row r="160">
      <c r="A160" s="6" t="n"/>
      <c r="B160" s="6" t="n"/>
      <c r="C160">
        <f>IF(A160="","",IFERROR(INDEX(Attempts!$D$2:$D$200,MATCH(A160,Attempts!$A$2:$A$200,0)),"?"))</f>
        <v/>
      </c>
      <c r="D160">
        <f>IF(OR(A160="",B160=""),"",IFERROR(INDEX(Attempts!$M$2:$AP$200,MATCH(A160,Attempts!$A$2:$A$200,0),B160),""))</f>
        <v/>
      </c>
      <c r="E160">
        <f>IF(OR(C160="",B160=""),"",IFERROR(INDEX(Key!$C$2:$C$263,MATCH(C160*100+B160,Key!$G$2:$G$263,0)),""))</f>
        <v/>
      </c>
      <c r="F160">
        <f>IF(OR(C160="",B160=""),"",IFERROR(INDEX(Key!$E$2:$E$263,MATCH(C160*100+B160,Key!$G$2:$G$263,0)),""))</f>
        <v/>
      </c>
      <c r="G160" s="6" t="n"/>
      <c r="H160">
        <f>IF(OR(C160="",B160=""),"",IFERROR(INDEX(Papers!$K$2:$P$12,MATCH(C160,Papers!$A$2:$A$12,0),INDEX(Key!$D$2:$D$263,MATCH(C160*100+B160,Key!$G$2:$G$263,0))),""))</f>
        <v/>
      </c>
      <c r="I160" s="6" t="n"/>
      <c r="J160" s="6" t="n"/>
    </row>
    <row r="161">
      <c r="A161" s="6" t="n"/>
      <c r="B161" s="6" t="n"/>
      <c r="C161">
        <f>IF(A161="","",IFERROR(INDEX(Attempts!$D$2:$D$200,MATCH(A161,Attempts!$A$2:$A$200,0)),"?"))</f>
        <v/>
      </c>
      <c r="D161">
        <f>IF(OR(A161="",B161=""),"",IFERROR(INDEX(Attempts!$M$2:$AP$200,MATCH(A161,Attempts!$A$2:$A$200,0),B161),""))</f>
        <v/>
      </c>
      <c r="E161">
        <f>IF(OR(C161="",B161=""),"",IFERROR(INDEX(Key!$C$2:$C$263,MATCH(C161*100+B161,Key!$G$2:$G$263,0)),""))</f>
        <v/>
      </c>
      <c r="F161">
        <f>IF(OR(C161="",B161=""),"",IFERROR(INDEX(Key!$E$2:$E$263,MATCH(C161*100+B161,Key!$G$2:$G$263,0)),""))</f>
        <v/>
      </c>
      <c r="G161" s="6" t="n"/>
      <c r="H161">
        <f>IF(OR(C161="",B161=""),"",IFERROR(INDEX(Papers!$K$2:$P$12,MATCH(C161,Papers!$A$2:$A$12,0),INDEX(Key!$D$2:$D$263,MATCH(C161*100+B161,Key!$G$2:$G$263,0))),""))</f>
        <v/>
      </c>
      <c r="I161" s="6" t="n"/>
      <c r="J161" s="6" t="n"/>
    </row>
    <row r="162">
      <c r="A162" s="6" t="n"/>
      <c r="B162" s="6" t="n"/>
      <c r="C162">
        <f>IF(A162="","",IFERROR(INDEX(Attempts!$D$2:$D$200,MATCH(A162,Attempts!$A$2:$A$200,0)),"?"))</f>
        <v/>
      </c>
      <c r="D162">
        <f>IF(OR(A162="",B162=""),"",IFERROR(INDEX(Attempts!$M$2:$AP$200,MATCH(A162,Attempts!$A$2:$A$200,0),B162),""))</f>
        <v/>
      </c>
      <c r="E162">
        <f>IF(OR(C162="",B162=""),"",IFERROR(INDEX(Key!$C$2:$C$263,MATCH(C162*100+B162,Key!$G$2:$G$263,0)),""))</f>
        <v/>
      </c>
      <c r="F162">
        <f>IF(OR(C162="",B162=""),"",IFERROR(INDEX(Key!$E$2:$E$263,MATCH(C162*100+B162,Key!$G$2:$G$263,0)),""))</f>
        <v/>
      </c>
      <c r="G162" s="6" t="n"/>
      <c r="H162">
        <f>IF(OR(C162="",B162=""),"",IFERROR(INDEX(Papers!$K$2:$P$12,MATCH(C162,Papers!$A$2:$A$12,0),INDEX(Key!$D$2:$D$263,MATCH(C162*100+B162,Key!$G$2:$G$263,0))),""))</f>
        <v/>
      </c>
      <c r="I162" s="6" t="n"/>
      <c r="J162" s="6" t="n"/>
    </row>
    <row r="163">
      <c r="A163" s="6" t="n"/>
      <c r="B163" s="6" t="n"/>
      <c r="C163">
        <f>IF(A163="","",IFERROR(INDEX(Attempts!$D$2:$D$200,MATCH(A163,Attempts!$A$2:$A$200,0)),"?"))</f>
        <v/>
      </c>
      <c r="D163">
        <f>IF(OR(A163="",B163=""),"",IFERROR(INDEX(Attempts!$M$2:$AP$200,MATCH(A163,Attempts!$A$2:$A$200,0),B163),""))</f>
        <v/>
      </c>
      <c r="E163">
        <f>IF(OR(C163="",B163=""),"",IFERROR(INDEX(Key!$C$2:$C$263,MATCH(C163*100+B163,Key!$G$2:$G$263,0)),""))</f>
        <v/>
      </c>
      <c r="F163">
        <f>IF(OR(C163="",B163=""),"",IFERROR(INDEX(Key!$E$2:$E$263,MATCH(C163*100+B163,Key!$G$2:$G$263,0)),""))</f>
        <v/>
      </c>
      <c r="G163" s="6" t="n"/>
      <c r="H163">
        <f>IF(OR(C163="",B163=""),"",IFERROR(INDEX(Papers!$K$2:$P$12,MATCH(C163,Papers!$A$2:$A$12,0),INDEX(Key!$D$2:$D$263,MATCH(C163*100+B163,Key!$G$2:$G$263,0))),""))</f>
        <v/>
      </c>
      <c r="I163" s="6" t="n"/>
      <c r="J163" s="6" t="n"/>
    </row>
    <row r="164">
      <c r="A164" s="6" t="n"/>
      <c r="B164" s="6" t="n"/>
      <c r="C164">
        <f>IF(A164="","",IFERROR(INDEX(Attempts!$D$2:$D$200,MATCH(A164,Attempts!$A$2:$A$200,0)),"?"))</f>
        <v/>
      </c>
      <c r="D164">
        <f>IF(OR(A164="",B164=""),"",IFERROR(INDEX(Attempts!$M$2:$AP$200,MATCH(A164,Attempts!$A$2:$A$200,0),B164),""))</f>
        <v/>
      </c>
      <c r="E164">
        <f>IF(OR(C164="",B164=""),"",IFERROR(INDEX(Key!$C$2:$C$263,MATCH(C164*100+B164,Key!$G$2:$G$263,0)),""))</f>
        <v/>
      </c>
      <c r="F164">
        <f>IF(OR(C164="",B164=""),"",IFERROR(INDEX(Key!$E$2:$E$263,MATCH(C164*100+B164,Key!$G$2:$G$263,0)),""))</f>
        <v/>
      </c>
      <c r="G164" s="6" t="n"/>
      <c r="H164">
        <f>IF(OR(C164="",B164=""),"",IFERROR(INDEX(Papers!$K$2:$P$12,MATCH(C164,Papers!$A$2:$A$12,0),INDEX(Key!$D$2:$D$263,MATCH(C164*100+B164,Key!$G$2:$G$263,0))),""))</f>
        <v/>
      </c>
      <c r="I164" s="6" t="n"/>
      <c r="J164" s="6" t="n"/>
    </row>
    <row r="165">
      <c r="A165" s="6" t="n"/>
      <c r="B165" s="6" t="n"/>
      <c r="C165">
        <f>IF(A165="","",IFERROR(INDEX(Attempts!$D$2:$D$200,MATCH(A165,Attempts!$A$2:$A$200,0)),"?"))</f>
        <v/>
      </c>
      <c r="D165">
        <f>IF(OR(A165="",B165=""),"",IFERROR(INDEX(Attempts!$M$2:$AP$200,MATCH(A165,Attempts!$A$2:$A$200,0),B165),""))</f>
        <v/>
      </c>
      <c r="E165">
        <f>IF(OR(C165="",B165=""),"",IFERROR(INDEX(Key!$C$2:$C$263,MATCH(C165*100+B165,Key!$G$2:$G$263,0)),""))</f>
        <v/>
      </c>
      <c r="F165">
        <f>IF(OR(C165="",B165=""),"",IFERROR(INDEX(Key!$E$2:$E$263,MATCH(C165*100+B165,Key!$G$2:$G$263,0)),""))</f>
        <v/>
      </c>
      <c r="G165" s="6" t="n"/>
      <c r="H165">
        <f>IF(OR(C165="",B165=""),"",IFERROR(INDEX(Papers!$K$2:$P$12,MATCH(C165,Papers!$A$2:$A$12,0),INDEX(Key!$D$2:$D$263,MATCH(C165*100+B165,Key!$G$2:$G$263,0))),""))</f>
        <v/>
      </c>
      <c r="I165" s="6" t="n"/>
      <c r="J165" s="6" t="n"/>
    </row>
    <row r="166">
      <c r="A166" s="6" t="n"/>
      <c r="B166" s="6" t="n"/>
      <c r="C166">
        <f>IF(A166="","",IFERROR(INDEX(Attempts!$D$2:$D$200,MATCH(A166,Attempts!$A$2:$A$200,0)),"?"))</f>
        <v/>
      </c>
      <c r="D166">
        <f>IF(OR(A166="",B166=""),"",IFERROR(INDEX(Attempts!$M$2:$AP$200,MATCH(A166,Attempts!$A$2:$A$200,0),B166),""))</f>
        <v/>
      </c>
      <c r="E166">
        <f>IF(OR(C166="",B166=""),"",IFERROR(INDEX(Key!$C$2:$C$263,MATCH(C166*100+B166,Key!$G$2:$G$263,0)),""))</f>
        <v/>
      </c>
      <c r="F166">
        <f>IF(OR(C166="",B166=""),"",IFERROR(INDEX(Key!$E$2:$E$263,MATCH(C166*100+B166,Key!$G$2:$G$263,0)),""))</f>
        <v/>
      </c>
      <c r="G166" s="6" t="n"/>
      <c r="H166">
        <f>IF(OR(C166="",B166=""),"",IFERROR(INDEX(Papers!$K$2:$P$12,MATCH(C166,Papers!$A$2:$A$12,0),INDEX(Key!$D$2:$D$263,MATCH(C166*100+B166,Key!$G$2:$G$263,0))),""))</f>
        <v/>
      </c>
      <c r="I166" s="6" t="n"/>
      <c r="J166" s="6" t="n"/>
    </row>
    <row r="167">
      <c r="A167" s="6" t="n"/>
      <c r="B167" s="6" t="n"/>
      <c r="C167">
        <f>IF(A167="","",IFERROR(INDEX(Attempts!$D$2:$D$200,MATCH(A167,Attempts!$A$2:$A$200,0)),"?"))</f>
        <v/>
      </c>
      <c r="D167">
        <f>IF(OR(A167="",B167=""),"",IFERROR(INDEX(Attempts!$M$2:$AP$200,MATCH(A167,Attempts!$A$2:$A$200,0),B167),""))</f>
        <v/>
      </c>
      <c r="E167">
        <f>IF(OR(C167="",B167=""),"",IFERROR(INDEX(Key!$C$2:$C$263,MATCH(C167*100+B167,Key!$G$2:$G$263,0)),""))</f>
        <v/>
      </c>
      <c r="F167">
        <f>IF(OR(C167="",B167=""),"",IFERROR(INDEX(Key!$E$2:$E$263,MATCH(C167*100+B167,Key!$G$2:$G$263,0)),""))</f>
        <v/>
      </c>
      <c r="G167" s="6" t="n"/>
      <c r="H167">
        <f>IF(OR(C167="",B167=""),"",IFERROR(INDEX(Papers!$K$2:$P$12,MATCH(C167,Papers!$A$2:$A$12,0),INDEX(Key!$D$2:$D$263,MATCH(C167*100+B167,Key!$G$2:$G$263,0))),""))</f>
        <v/>
      </c>
      <c r="I167" s="6" t="n"/>
      <c r="J167" s="6" t="n"/>
    </row>
    <row r="168">
      <c r="A168" s="6" t="n"/>
      <c r="B168" s="6" t="n"/>
      <c r="C168">
        <f>IF(A168="","",IFERROR(INDEX(Attempts!$D$2:$D$200,MATCH(A168,Attempts!$A$2:$A$200,0)),"?"))</f>
        <v/>
      </c>
      <c r="D168">
        <f>IF(OR(A168="",B168=""),"",IFERROR(INDEX(Attempts!$M$2:$AP$200,MATCH(A168,Attempts!$A$2:$A$200,0),B168),""))</f>
        <v/>
      </c>
      <c r="E168">
        <f>IF(OR(C168="",B168=""),"",IFERROR(INDEX(Key!$C$2:$C$263,MATCH(C168*100+B168,Key!$G$2:$G$263,0)),""))</f>
        <v/>
      </c>
      <c r="F168">
        <f>IF(OR(C168="",B168=""),"",IFERROR(INDEX(Key!$E$2:$E$263,MATCH(C168*100+B168,Key!$G$2:$G$263,0)),""))</f>
        <v/>
      </c>
      <c r="G168" s="6" t="n"/>
      <c r="H168">
        <f>IF(OR(C168="",B168=""),"",IFERROR(INDEX(Papers!$K$2:$P$12,MATCH(C168,Papers!$A$2:$A$12,0),INDEX(Key!$D$2:$D$263,MATCH(C168*100+B168,Key!$G$2:$G$263,0))),""))</f>
        <v/>
      </c>
      <c r="I168" s="6" t="n"/>
      <c r="J168" s="6" t="n"/>
    </row>
    <row r="169">
      <c r="A169" s="6" t="n"/>
      <c r="B169" s="6" t="n"/>
      <c r="C169">
        <f>IF(A169="","",IFERROR(INDEX(Attempts!$D$2:$D$200,MATCH(A169,Attempts!$A$2:$A$200,0)),"?"))</f>
        <v/>
      </c>
      <c r="D169">
        <f>IF(OR(A169="",B169=""),"",IFERROR(INDEX(Attempts!$M$2:$AP$200,MATCH(A169,Attempts!$A$2:$A$200,0),B169),""))</f>
        <v/>
      </c>
      <c r="E169">
        <f>IF(OR(C169="",B169=""),"",IFERROR(INDEX(Key!$C$2:$C$263,MATCH(C169*100+B169,Key!$G$2:$G$263,0)),""))</f>
        <v/>
      </c>
      <c r="F169">
        <f>IF(OR(C169="",B169=""),"",IFERROR(INDEX(Key!$E$2:$E$263,MATCH(C169*100+B169,Key!$G$2:$G$263,0)),""))</f>
        <v/>
      </c>
      <c r="G169" s="6" t="n"/>
      <c r="H169">
        <f>IF(OR(C169="",B169=""),"",IFERROR(INDEX(Papers!$K$2:$P$12,MATCH(C169,Papers!$A$2:$A$12,0),INDEX(Key!$D$2:$D$263,MATCH(C169*100+B169,Key!$G$2:$G$263,0))),""))</f>
        <v/>
      </c>
      <c r="I169" s="6" t="n"/>
      <c r="J169" s="6" t="n"/>
    </row>
    <row r="170">
      <c r="A170" s="6" t="n"/>
      <c r="B170" s="6" t="n"/>
      <c r="C170">
        <f>IF(A170="","",IFERROR(INDEX(Attempts!$D$2:$D$200,MATCH(A170,Attempts!$A$2:$A$200,0)),"?"))</f>
        <v/>
      </c>
      <c r="D170">
        <f>IF(OR(A170="",B170=""),"",IFERROR(INDEX(Attempts!$M$2:$AP$200,MATCH(A170,Attempts!$A$2:$A$200,0),B170),""))</f>
        <v/>
      </c>
      <c r="E170">
        <f>IF(OR(C170="",B170=""),"",IFERROR(INDEX(Key!$C$2:$C$263,MATCH(C170*100+B170,Key!$G$2:$G$263,0)),""))</f>
        <v/>
      </c>
      <c r="F170">
        <f>IF(OR(C170="",B170=""),"",IFERROR(INDEX(Key!$E$2:$E$263,MATCH(C170*100+B170,Key!$G$2:$G$263,0)),""))</f>
        <v/>
      </c>
      <c r="G170" s="6" t="n"/>
      <c r="H170">
        <f>IF(OR(C170="",B170=""),"",IFERROR(INDEX(Papers!$K$2:$P$12,MATCH(C170,Papers!$A$2:$A$12,0),INDEX(Key!$D$2:$D$263,MATCH(C170*100+B170,Key!$G$2:$G$263,0))),""))</f>
        <v/>
      </c>
      <c r="I170" s="6" t="n"/>
      <c r="J170" s="6" t="n"/>
    </row>
    <row r="171">
      <c r="A171" s="6" t="n"/>
      <c r="B171" s="6" t="n"/>
      <c r="C171">
        <f>IF(A171="","",IFERROR(INDEX(Attempts!$D$2:$D$200,MATCH(A171,Attempts!$A$2:$A$200,0)),"?"))</f>
        <v/>
      </c>
      <c r="D171">
        <f>IF(OR(A171="",B171=""),"",IFERROR(INDEX(Attempts!$M$2:$AP$200,MATCH(A171,Attempts!$A$2:$A$200,0),B171),""))</f>
        <v/>
      </c>
      <c r="E171">
        <f>IF(OR(C171="",B171=""),"",IFERROR(INDEX(Key!$C$2:$C$263,MATCH(C171*100+B171,Key!$G$2:$G$263,0)),""))</f>
        <v/>
      </c>
      <c r="F171">
        <f>IF(OR(C171="",B171=""),"",IFERROR(INDEX(Key!$E$2:$E$263,MATCH(C171*100+B171,Key!$G$2:$G$263,0)),""))</f>
        <v/>
      </c>
      <c r="G171" s="6" t="n"/>
      <c r="H171">
        <f>IF(OR(C171="",B171=""),"",IFERROR(INDEX(Papers!$K$2:$P$12,MATCH(C171,Papers!$A$2:$A$12,0),INDEX(Key!$D$2:$D$263,MATCH(C171*100+B171,Key!$G$2:$G$263,0))),""))</f>
        <v/>
      </c>
      <c r="I171" s="6" t="n"/>
      <c r="J171" s="6" t="n"/>
    </row>
    <row r="172">
      <c r="A172" s="6" t="n"/>
      <c r="B172" s="6" t="n"/>
      <c r="C172">
        <f>IF(A172="","",IFERROR(INDEX(Attempts!$D$2:$D$200,MATCH(A172,Attempts!$A$2:$A$200,0)),"?"))</f>
        <v/>
      </c>
      <c r="D172">
        <f>IF(OR(A172="",B172=""),"",IFERROR(INDEX(Attempts!$M$2:$AP$200,MATCH(A172,Attempts!$A$2:$A$200,0),B172),""))</f>
        <v/>
      </c>
      <c r="E172">
        <f>IF(OR(C172="",B172=""),"",IFERROR(INDEX(Key!$C$2:$C$263,MATCH(C172*100+B172,Key!$G$2:$G$263,0)),""))</f>
        <v/>
      </c>
      <c r="F172">
        <f>IF(OR(C172="",B172=""),"",IFERROR(INDEX(Key!$E$2:$E$263,MATCH(C172*100+B172,Key!$G$2:$G$263,0)),""))</f>
        <v/>
      </c>
      <c r="G172" s="6" t="n"/>
      <c r="H172">
        <f>IF(OR(C172="",B172=""),"",IFERROR(INDEX(Papers!$K$2:$P$12,MATCH(C172,Papers!$A$2:$A$12,0),INDEX(Key!$D$2:$D$263,MATCH(C172*100+B172,Key!$G$2:$G$263,0))),""))</f>
        <v/>
      </c>
      <c r="I172" s="6" t="n"/>
      <c r="J172" s="6" t="n"/>
    </row>
    <row r="173">
      <c r="A173" s="6" t="n"/>
      <c r="B173" s="6" t="n"/>
      <c r="C173">
        <f>IF(A173="","",IFERROR(INDEX(Attempts!$D$2:$D$200,MATCH(A173,Attempts!$A$2:$A$200,0)),"?"))</f>
        <v/>
      </c>
      <c r="D173">
        <f>IF(OR(A173="",B173=""),"",IFERROR(INDEX(Attempts!$M$2:$AP$200,MATCH(A173,Attempts!$A$2:$A$200,0),B173),""))</f>
        <v/>
      </c>
      <c r="E173">
        <f>IF(OR(C173="",B173=""),"",IFERROR(INDEX(Key!$C$2:$C$263,MATCH(C173*100+B173,Key!$G$2:$G$263,0)),""))</f>
        <v/>
      </c>
      <c r="F173">
        <f>IF(OR(C173="",B173=""),"",IFERROR(INDEX(Key!$E$2:$E$263,MATCH(C173*100+B173,Key!$G$2:$G$263,0)),""))</f>
        <v/>
      </c>
      <c r="G173" s="6" t="n"/>
      <c r="H173">
        <f>IF(OR(C173="",B173=""),"",IFERROR(INDEX(Papers!$K$2:$P$12,MATCH(C173,Papers!$A$2:$A$12,0),INDEX(Key!$D$2:$D$263,MATCH(C173*100+B173,Key!$G$2:$G$263,0))),""))</f>
        <v/>
      </c>
      <c r="I173" s="6" t="n"/>
      <c r="J173" s="6" t="n"/>
    </row>
    <row r="174">
      <c r="A174" s="6" t="n"/>
      <c r="B174" s="6" t="n"/>
      <c r="C174">
        <f>IF(A174="","",IFERROR(INDEX(Attempts!$D$2:$D$200,MATCH(A174,Attempts!$A$2:$A$200,0)),"?"))</f>
        <v/>
      </c>
      <c r="D174">
        <f>IF(OR(A174="",B174=""),"",IFERROR(INDEX(Attempts!$M$2:$AP$200,MATCH(A174,Attempts!$A$2:$A$200,0),B174),""))</f>
        <v/>
      </c>
      <c r="E174">
        <f>IF(OR(C174="",B174=""),"",IFERROR(INDEX(Key!$C$2:$C$263,MATCH(C174*100+B174,Key!$G$2:$G$263,0)),""))</f>
        <v/>
      </c>
      <c r="F174">
        <f>IF(OR(C174="",B174=""),"",IFERROR(INDEX(Key!$E$2:$E$263,MATCH(C174*100+B174,Key!$G$2:$G$263,0)),""))</f>
        <v/>
      </c>
      <c r="G174" s="6" t="n"/>
      <c r="H174">
        <f>IF(OR(C174="",B174=""),"",IFERROR(INDEX(Papers!$K$2:$P$12,MATCH(C174,Papers!$A$2:$A$12,0),INDEX(Key!$D$2:$D$263,MATCH(C174*100+B174,Key!$G$2:$G$263,0))),""))</f>
        <v/>
      </c>
      <c r="I174" s="6" t="n"/>
      <c r="J174" s="6" t="n"/>
    </row>
    <row r="175">
      <c r="A175" s="6" t="n"/>
      <c r="B175" s="6" t="n"/>
      <c r="C175">
        <f>IF(A175="","",IFERROR(INDEX(Attempts!$D$2:$D$200,MATCH(A175,Attempts!$A$2:$A$200,0)),"?"))</f>
        <v/>
      </c>
      <c r="D175">
        <f>IF(OR(A175="",B175=""),"",IFERROR(INDEX(Attempts!$M$2:$AP$200,MATCH(A175,Attempts!$A$2:$A$200,0),B175),""))</f>
        <v/>
      </c>
      <c r="E175">
        <f>IF(OR(C175="",B175=""),"",IFERROR(INDEX(Key!$C$2:$C$263,MATCH(C175*100+B175,Key!$G$2:$G$263,0)),""))</f>
        <v/>
      </c>
      <c r="F175">
        <f>IF(OR(C175="",B175=""),"",IFERROR(INDEX(Key!$E$2:$E$263,MATCH(C175*100+B175,Key!$G$2:$G$263,0)),""))</f>
        <v/>
      </c>
      <c r="G175" s="6" t="n"/>
      <c r="H175">
        <f>IF(OR(C175="",B175=""),"",IFERROR(INDEX(Papers!$K$2:$P$12,MATCH(C175,Papers!$A$2:$A$12,0),INDEX(Key!$D$2:$D$263,MATCH(C175*100+B175,Key!$G$2:$G$263,0))),""))</f>
        <v/>
      </c>
      <c r="I175" s="6" t="n"/>
      <c r="J175" s="6" t="n"/>
    </row>
    <row r="176">
      <c r="A176" s="6" t="n"/>
      <c r="B176" s="6" t="n"/>
      <c r="C176">
        <f>IF(A176="","",IFERROR(INDEX(Attempts!$D$2:$D$200,MATCH(A176,Attempts!$A$2:$A$200,0)),"?"))</f>
        <v/>
      </c>
      <c r="D176">
        <f>IF(OR(A176="",B176=""),"",IFERROR(INDEX(Attempts!$M$2:$AP$200,MATCH(A176,Attempts!$A$2:$A$200,0),B176),""))</f>
        <v/>
      </c>
      <c r="E176">
        <f>IF(OR(C176="",B176=""),"",IFERROR(INDEX(Key!$C$2:$C$263,MATCH(C176*100+B176,Key!$G$2:$G$263,0)),""))</f>
        <v/>
      </c>
      <c r="F176">
        <f>IF(OR(C176="",B176=""),"",IFERROR(INDEX(Key!$E$2:$E$263,MATCH(C176*100+B176,Key!$G$2:$G$263,0)),""))</f>
        <v/>
      </c>
      <c r="G176" s="6" t="n"/>
      <c r="H176">
        <f>IF(OR(C176="",B176=""),"",IFERROR(INDEX(Papers!$K$2:$P$12,MATCH(C176,Papers!$A$2:$A$12,0),INDEX(Key!$D$2:$D$263,MATCH(C176*100+B176,Key!$G$2:$G$263,0))),""))</f>
        <v/>
      </c>
      <c r="I176" s="6" t="n"/>
      <c r="J176" s="6" t="n"/>
    </row>
    <row r="177">
      <c r="A177" s="6" t="n"/>
      <c r="B177" s="6" t="n"/>
      <c r="C177">
        <f>IF(A177="","",IFERROR(INDEX(Attempts!$D$2:$D$200,MATCH(A177,Attempts!$A$2:$A$200,0)),"?"))</f>
        <v/>
      </c>
      <c r="D177">
        <f>IF(OR(A177="",B177=""),"",IFERROR(INDEX(Attempts!$M$2:$AP$200,MATCH(A177,Attempts!$A$2:$A$200,0),B177),""))</f>
        <v/>
      </c>
      <c r="E177">
        <f>IF(OR(C177="",B177=""),"",IFERROR(INDEX(Key!$C$2:$C$263,MATCH(C177*100+B177,Key!$G$2:$G$263,0)),""))</f>
        <v/>
      </c>
      <c r="F177">
        <f>IF(OR(C177="",B177=""),"",IFERROR(INDEX(Key!$E$2:$E$263,MATCH(C177*100+B177,Key!$G$2:$G$263,0)),""))</f>
        <v/>
      </c>
      <c r="G177" s="6" t="n"/>
      <c r="H177">
        <f>IF(OR(C177="",B177=""),"",IFERROR(INDEX(Papers!$K$2:$P$12,MATCH(C177,Papers!$A$2:$A$12,0),INDEX(Key!$D$2:$D$263,MATCH(C177*100+B177,Key!$G$2:$G$263,0))),""))</f>
        <v/>
      </c>
      <c r="I177" s="6" t="n"/>
      <c r="J177" s="6" t="n"/>
    </row>
    <row r="178">
      <c r="A178" s="6" t="n"/>
      <c r="B178" s="6" t="n"/>
      <c r="C178">
        <f>IF(A178="","",IFERROR(INDEX(Attempts!$D$2:$D$200,MATCH(A178,Attempts!$A$2:$A$200,0)),"?"))</f>
        <v/>
      </c>
      <c r="D178">
        <f>IF(OR(A178="",B178=""),"",IFERROR(INDEX(Attempts!$M$2:$AP$200,MATCH(A178,Attempts!$A$2:$A$200,0),B178),""))</f>
        <v/>
      </c>
      <c r="E178">
        <f>IF(OR(C178="",B178=""),"",IFERROR(INDEX(Key!$C$2:$C$263,MATCH(C178*100+B178,Key!$G$2:$G$263,0)),""))</f>
        <v/>
      </c>
      <c r="F178">
        <f>IF(OR(C178="",B178=""),"",IFERROR(INDEX(Key!$E$2:$E$263,MATCH(C178*100+B178,Key!$G$2:$G$263,0)),""))</f>
        <v/>
      </c>
      <c r="G178" s="6" t="n"/>
      <c r="H178">
        <f>IF(OR(C178="",B178=""),"",IFERROR(INDEX(Papers!$K$2:$P$12,MATCH(C178,Papers!$A$2:$A$12,0),INDEX(Key!$D$2:$D$263,MATCH(C178*100+B178,Key!$G$2:$G$263,0))),""))</f>
        <v/>
      </c>
      <c r="I178" s="6" t="n"/>
      <c r="J178" s="6" t="n"/>
    </row>
    <row r="179">
      <c r="A179" s="6" t="n"/>
      <c r="B179" s="6" t="n"/>
      <c r="C179">
        <f>IF(A179="","",IFERROR(INDEX(Attempts!$D$2:$D$200,MATCH(A179,Attempts!$A$2:$A$200,0)),"?"))</f>
        <v/>
      </c>
      <c r="D179">
        <f>IF(OR(A179="",B179=""),"",IFERROR(INDEX(Attempts!$M$2:$AP$200,MATCH(A179,Attempts!$A$2:$A$200,0),B179),""))</f>
        <v/>
      </c>
      <c r="E179">
        <f>IF(OR(C179="",B179=""),"",IFERROR(INDEX(Key!$C$2:$C$263,MATCH(C179*100+B179,Key!$G$2:$G$263,0)),""))</f>
        <v/>
      </c>
      <c r="F179">
        <f>IF(OR(C179="",B179=""),"",IFERROR(INDEX(Key!$E$2:$E$263,MATCH(C179*100+B179,Key!$G$2:$G$263,0)),""))</f>
        <v/>
      </c>
      <c r="G179" s="6" t="n"/>
      <c r="H179">
        <f>IF(OR(C179="",B179=""),"",IFERROR(INDEX(Papers!$K$2:$P$12,MATCH(C179,Papers!$A$2:$A$12,0),INDEX(Key!$D$2:$D$263,MATCH(C179*100+B179,Key!$G$2:$G$263,0))),""))</f>
        <v/>
      </c>
      <c r="I179" s="6" t="n"/>
      <c r="J179" s="6" t="n"/>
    </row>
    <row r="180">
      <c r="A180" s="6" t="n"/>
      <c r="B180" s="6" t="n"/>
      <c r="C180">
        <f>IF(A180="","",IFERROR(INDEX(Attempts!$D$2:$D$200,MATCH(A180,Attempts!$A$2:$A$200,0)),"?"))</f>
        <v/>
      </c>
      <c r="D180">
        <f>IF(OR(A180="",B180=""),"",IFERROR(INDEX(Attempts!$M$2:$AP$200,MATCH(A180,Attempts!$A$2:$A$200,0),B180),""))</f>
        <v/>
      </c>
      <c r="E180">
        <f>IF(OR(C180="",B180=""),"",IFERROR(INDEX(Key!$C$2:$C$263,MATCH(C180*100+B180,Key!$G$2:$G$263,0)),""))</f>
        <v/>
      </c>
      <c r="F180">
        <f>IF(OR(C180="",B180=""),"",IFERROR(INDEX(Key!$E$2:$E$263,MATCH(C180*100+B180,Key!$G$2:$G$263,0)),""))</f>
        <v/>
      </c>
      <c r="G180" s="6" t="n"/>
      <c r="H180">
        <f>IF(OR(C180="",B180=""),"",IFERROR(INDEX(Papers!$K$2:$P$12,MATCH(C180,Papers!$A$2:$A$12,0),INDEX(Key!$D$2:$D$263,MATCH(C180*100+B180,Key!$G$2:$G$263,0))),""))</f>
        <v/>
      </c>
      <c r="I180" s="6" t="n"/>
      <c r="J180" s="6" t="n"/>
    </row>
    <row r="181">
      <c r="A181" s="6" t="n"/>
      <c r="B181" s="6" t="n"/>
      <c r="C181">
        <f>IF(A181="","",IFERROR(INDEX(Attempts!$D$2:$D$200,MATCH(A181,Attempts!$A$2:$A$200,0)),"?"))</f>
        <v/>
      </c>
      <c r="D181">
        <f>IF(OR(A181="",B181=""),"",IFERROR(INDEX(Attempts!$M$2:$AP$200,MATCH(A181,Attempts!$A$2:$A$200,0),B181),""))</f>
        <v/>
      </c>
      <c r="E181">
        <f>IF(OR(C181="",B181=""),"",IFERROR(INDEX(Key!$C$2:$C$263,MATCH(C181*100+B181,Key!$G$2:$G$263,0)),""))</f>
        <v/>
      </c>
      <c r="F181">
        <f>IF(OR(C181="",B181=""),"",IFERROR(INDEX(Key!$E$2:$E$263,MATCH(C181*100+B181,Key!$G$2:$G$263,0)),""))</f>
        <v/>
      </c>
      <c r="G181" s="6" t="n"/>
      <c r="H181">
        <f>IF(OR(C181="",B181=""),"",IFERROR(INDEX(Papers!$K$2:$P$12,MATCH(C181,Papers!$A$2:$A$12,0),INDEX(Key!$D$2:$D$263,MATCH(C181*100+B181,Key!$G$2:$G$263,0))),""))</f>
        <v/>
      </c>
      <c r="I181" s="6" t="n"/>
      <c r="J181" s="6" t="n"/>
    </row>
    <row r="182">
      <c r="A182" s="6" t="n"/>
      <c r="B182" s="6" t="n"/>
      <c r="C182">
        <f>IF(A182="","",IFERROR(INDEX(Attempts!$D$2:$D$200,MATCH(A182,Attempts!$A$2:$A$200,0)),"?"))</f>
        <v/>
      </c>
      <c r="D182">
        <f>IF(OR(A182="",B182=""),"",IFERROR(INDEX(Attempts!$M$2:$AP$200,MATCH(A182,Attempts!$A$2:$A$200,0),B182),""))</f>
        <v/>
      </c>
      <c r="E182">
        <f>IF(OR(C182="",B182=""),"",IFERROR(INDEX(Key!$C$2:$C$263,MATCH(C182*100+B182,Key!$G$2:$G$263,0)),""))</f>
        <v/>
      </c>
      <c r="F182">
        <f>IF(OR(C182="",B182=""),"",IFERROR(INDEX(Key!$E$2:$E$263,MATCH(C182*100+B182,Key!$G$2:$G$263,0)),""))</f>
        <v/>
      </c>
      <c r="G182" s="6" t="n"/>
      <c r="H182">
        <f>IF(OR(C182="",B182=""),"",IFERROR(INDEX(Papers!$K$2:$P$12,MATCH(C182,Papers!$A$2:$A$12,0),INDEX(Key!$D$2:$D$263,MATCH(C182*100+B182,Key!$G$2:$G$263,0))),""))</f>
        <v/>
      </c>
      <c r="I182" s="6" t="n"/>
      <c r="J182" s="6" t="n"/>
    </row>
    <row r="183">
      <c r="A183" s="6" t="n"/>
      <c r="B183" s="6" t="n"/>
      <c r="C183">
        <f>IF(A183="","",IFERROR(INDEX(Attempts!$D$2:$D$200,MATCH(A183,Attempts!$A$2:$A$200,0)),"?"))</f>
        <v/>
      </c>
      <c r="D183">
        <f>IF(OR(A183="",B183=""),"",IFERROR(INDEX(Attempts!$M$2:$AP$200,MATCH(A183,Attempts!$A$2:$A$200,0),B183),""))</f>
        <v/>
      </c>
      <c r="E183">
        <f>IF(OR(C183="",B183=""),"",IFERROR(INDEX(Key!$C$2:$C$263,MATCH(C183*100+B183,Key!$G$2:$G$263,0)),""))</f>
        <v/>
      </c>
      <c r="F183">
        <f>IF(OR(C183="",B183=""),"",IFERROR(INDEX(Key!$E$2:$E$263,MATCH(C183*100+B183,Key!$G$2:$G$263,0)),""))</f>
        <v/>
      </c>
      <c r="G183" s="6" t="n"/>
      <c r="H183">
        <f>IF(OR(C183="",B183=""),"",IFERROR(INDEX(Papers!$K$2:$P$12,MATCH(C183,Papers!$A$2:$A$12,0),INDEX(Key!$D$2:$D$263,MATCH(C183*100+B183,Key!$G$2:$G$263,0))),""))</f>
        <v/>
      </c>
      <c r="I183" s="6" t="n"/>
      <c r="J183" s="6" t="n"/>
    </row>
    <row r="184">
      <c r="A184" s="6" t="n"/>
      <c r="B184" s="6" t="n"/>
      <c r="C184">
        <f>IF(A184="","",IFERROR(INDEX(Attempts!$D$2:$D$200,MATCH(A184,Attempts!$A$2:$A$200,0)),"?"))</f>
        <v/>
      </c>
      <c r="D184">
        <f>IF(OR(A184="",B184=""),"",IFERROR(INDEX(Attempts!$M$2:$AP$200,MATCH(A184,Attempts!$A$2:$A$200,0),B184),""))</f>
        <v/>
      </c>
      <c r="E184">
        <f>IF(OR(C184="",B184=""),"",IFERROR(INDEX(Key!$C$2:$C$263,MATCH(C184*100+B184,Key!$G$2:$G$263,0)),""))</f>
        <v/>
      </c>
      <c r="F184">
        <f>IF(OR(C184="",B184=""),"",IFERROR(INDEX(Key!$E$2:$E$263,MATCH(C184*100+B184,Key!$G$2:$G$263,0)),""))</f>
        <v/>
      </c>
      <c r="G184" s="6" t="n"/>
      <c r="H184">
        <f>IF(OR(C184="",B184=""),"",IFERROR(INDEX(Papers!$K$2:$P$12,MATCH(C184,Papers!$A$2:$A$12,0),INDEX(Key!$D$2:$D$263,MATCH(C184*100+B184,Key!$G$2:$G$263,0))),""))</f>
        <v/>
      </c>
      <c r="I184" s="6" t="n"/>
      <c r="J184" s="6" t="n"/>
    </row>
    <row r="185">
      <c r="A185" s="6" t="n"/>
      <c r="B185" s="6" t="n"/>
      <c r="C185">
        <f>IF(A185="","",IFERROR(INDEX(Attempts!$D$2:$D$200,MATCH(A185,Attempts!$A$2:$A$200,0)),"?"))</f>
        <v/>
      </c>
      <c r="D185">
        <f>IF(OR(A185="",B185=""),"",IFERROR(INDEX(Attempts!$M$2:$AP$200,MATCH(A185,Attempts!$A$2:$A$200,0),B185),""))</f>
        <v/>
      </c>
      <c r="E185">
        <f>IF(OR(C185="",B185=""),"",IFERROR(INDEX(Key!$C$2:$C$263,MATCH(C185*100+B185,Key!$G$2:$G$263,0)),""))</f>
        <v/>
      </c>
      <c r="F185">
        <f>IF(OR(C185="",B185=""),"",IFERROR(INDEX(Key!$E$2:$E$263,MATCH(C185*100+B185,Key!$G$2:$G$263,0)),""))</f>
        <v/>
      </c>
      <c r="G185" s="6" t="n"/>
      <c r="H185">
        <f>IF(OR(C185="",B185=""),"",IFERROR(INDEX(Papers!$K$2:$P$12,MATCH(C185,Papers!$A$2:$A$12,0),INDEX(Key!$D$2:$D$263,MATCH(C185*100+B185,Key!$G$2:$G$263,0))),""))</f>
        <v/>
      </c>
      <c r="I185" s="6" t="n"/>
      <c r="J185" s="6" t="n"/>
    </row>
    <row r="186">
      <c r="A186" s="6" t="n"/>
      <c r="B186" s="6" t="n"/>
      <c r="C186">
        <f>IF(A186="","",IFERROR(INDEX(Attempts!$D$2:$D$200,MATCH(A186,Attempts!$A$2:$A$200,0)),"?"))</f>
        <v/>
      </c>
      <c r="D186">
        <f>IF(OR(A186="",B186=""),"",IFERROR(INDEX(Attempts!$M$2:$AP$200,MATCH(A186,Attempts!$A$2:$A$200,0),B186),""))</f>
        <v/>
      </c>
      <c r="E186">
        <f>IF(OR(C186="",B186=""),"",IFERROR(INDEX(Key!$C$2:$C$263,MATCH(C186*100+B186,Key!$G$2:$G$263,0)),""))</f>
        <v/>
      </c>
      <c r="F186">
        <f>IF(OR(C186="",B186=""),"",IFERROR(INDEX(Key!$E$2:$E$263,MATCH(C186*100+B186,Key!$G$2:$G$263,0)),""))</f>
        <v/>
      </c>
      <c r="G186" s="6" t="n"/>
      <c r="H186">
        <f>IF(OR(C186="",B186=""),"",IFERROR(INDEX(Papers!$K$2:$P$12,MATCH(C186,Papers!$A$2:$A$12,0),INDEX(Key!$D$2:$D$263,MATCH(C186*100+B186,Key!$G$2:$G$263,0))),""))</f>
        <v/>
      </c>
      <c r="I186" s="6" t="n"/>
      <c r="J186" s="6" t="n"/>
    </row>
    <row r="187">
      <c r="A187" s="6" t="n"/>
      <c r="B187" s="6" t="n"/>
      <c r="C187">
        <f>IF(A187="","",IFERROR(INDEX(Attempts!$D$2:$D$200,MATCH(A187,Attempts!$A$2:$A$200,0)),"?"))</f>
        <v/>
      </c>
      <c r="D187">
        <f>IF(OR(A187="",B187=""),"",IFERROR(INDEX(Attempts!$M$2:$AP$200,MATCH(A187,Attempts!$A$2:$A$200,0),B187),""))</f>
        <v/>
      </c>
      <c r="E187">
        <f>IF(OR(C187="",B187=""),"",IFERROR(INDEX(Key!$C$2:$C$263,MATCH(C187*100+B187,Key!$G$2:$G$263,0)),""))</f>
        <v/>
      </c>
      <c r="F187">
        <f>IF(OR(C187="",B187=""),"",IFERROR(INDEX(Key!$E$2:$E$263,MATCH(C187*100+B187,Key!$G$2:$G$263,0)),""))</f>
        <v/>
      </c>
      <c r="G187" s="6" t="n"/>
      <c r="H187">
        <f>IF(OR(C187="",B187=""),"",IFERROR(INDEX(Papers!$K$2:$P$12,MATCH(C187,Papers!$A$2:$A$12,0),INDEX(Key!$D$2:$D$263,MATCH(C187*100+B187,Key!$G$2:$G$263,0))),""))</f>
        <v/>
      </c>
      <c r="I187" s="6" t="n"/>
      <c r="J187" s="6" t="n"/>
    </row>
    <row r="188">
      <c r="A188" s="6" t="n"/>
      <c r="B188" s="6" t="n"/>
      <c r="C188">
        <f>IF(A188="","",IFERROR(INDEX(Attempts!$D$2:$D$200,MATCH(A188,Attempts!$A$2:$A$200,0)),"?"))</f>
        <v/>
      </c>
      <c r="D188">
        <f>IF(OR(A188="",B188=""),"",IFERROR(INDEX(Attempts!$M$2:$AP$200,MATCH(A188,Attempts!$A$2:$A$200,0),B188),""))</f>
        <v/>
      </c>
      <c r="E188">
        <f>IF(OR(C188="",B188=""),"",IFERROR(INDEX(Key!$C$2:$C$263,MATCH(C188*100+B188,Key!$G$2:$G$263,0)),""))</f>
        <v/>
      </c>
      <c r="F188">
        <f>IF(OR(C188="",B188=""),"",IFERROR(INDEX(Key!$E$2:$E$263,MATCH(C188*100+B188,Key!$G$2:$G$263,0)),""))</f>
        <v/>
      </c>
      <c r="G188" s="6" t="n"/>
      <c r="H188">
        <f>IF(OR(C188="",B188=""),"",IFERROR(INDEX(Papers!$K$2:$P$12,MATCH(C188,Papers!$A$2:$A$12,0),INDEX(Key!$D$2:$D$263,MATCH(C188*100+B188,Key!$G$2:$G$263,0))),""))</f>
        <v/>
      </c>
      <c r="I188" s="6" t="n"/>
      <c r="J188" s="6" t="n"/>
    </row>
    <row r="189">
      <c r="A189" s="6" t="n"/>
      <c r="B189" s="6" t="n"/>
      <c r="C189">
        <f>IF(A189="","",IFERROR(INDEX(Attempts!$D$2:$D$200,MATCH(A189,Attempts!$A$2:$A$200,0)),"?"))</f>
        <v/>
      </c>
      <c r="D189">
        <f>IF(OR(A189="",B189=""),"",IFERROR(INDEX(Attempts!$M$2:$AP$200,MATCH(A189,Attempts!$A$2:$A$200,0),B189),""))</f>
        <v/>
      </c>
      <c r="E189">
        <f>IF(OR(C189="",B189=""),"",IFERROR(INDEX(Key!$C$2:$C$263,MATCH(C189*100+B189,Key!$G$2:$G$263,0)),""))</f>
        <v/>
      </c>
      <c r="F189">
        <f>IF(OR(C189="",B189=""),"",IFERROR(INDEX(Key!$E$2:$E$263,MATCH(C189*100+B189,Key!$G$2:$G$263,0)),""))</f>
        <v/>
      </c>
      <c r="G189" s="6" t="n"/>
      <c r="H189">
        <f>IF(OR(C189="",B189=""),"",IFERROR(INDEX(Papers!$K$2:$P$12,MATCH(C189,Papers!$A$2:$A$12,0),INDEX(Key!$D$2:$D$263,MATCH(C189*100+B189,Key!$G$2:$G$263,0))),""))</f>
        <v/>
      </c>
      <c r="I189" s="6" t="n"/>
      <c r="J189" s="6" t="n"/>
    </row>
    <row r="190">
      <c r="A190" s="6" t="n"/>
      <c r="B190" s="6" t="n"/>
      <c r="C190">
        <f>IF(A190="","",IFERROR(INDEX(Attempts!$D$2:$D$200,MATCH(A190,Attempts!$A$2:$A$200,0)),"?"))</f>
        <v/>
      </c>
      <c r="D190">
        <f>IF(OR(A190="",B190=""),"",IFERROR(INDEX(Attempts!$M$2:$AP$200,MATCH(A190,Attempts!$A$2:$A$200,0),B190),""))</f>
        <v/>
      </c>
      <c r="E190">
        <f>IF(OR(C190="",B190=""),"",IFERROR(INDEX(Key!$C$2:$C$263,MATCH(C190*100+B190,Key!$G$2:$G$263,0)),""))</f>
        <v/>
      </c>
      <c r="F190">
        <f>IF(OR(C190="",B190=""),"",IFERROR(INDEX(Key!$E$2:$E$263,MATCH(C190*100+B190,Key!$G$2:$G$263,0)),""))</f>
        <v/>
      </c>
      <c r="G190" s="6" t="n"/>
      <c r="H190">
        <f>IF(OR(C190="",B190=""),"",IFERROR(INDEX(Papers!$K$2:$P$12,MATCH(C190,Papers!$A$2:$A$12,0),INDEX(Key!$D$2:$D$263,MATCH(C190*100+B190,Key!$G$2:$G$263,0))),""))</f>
        <v/>
      </c>
      <c r="I190" s="6" t="n"/>
      <c r="J190" s="6" t="n"/>
    </row>
    <row r="191">
      <c r="A191" s="6" t="n"/>
      <c r="B191" s="6" t="n"/>
      <c r="C191">
        <f>IF(A191="","",IFERROR(INDEX(Attempts!$D$2:$D$200,MATCH(A191,Attempts!$A$2:$A$200,0)),"?"))</f>
        <v/>
      </c>
      <c r="D191">
        <f>IF(OR(A191="",B191=""),"",IFERROR(INDEX(Attempts!$M$2:$AP$200,MATCH(A191,Attempts!$A$2:$A$200,0),B191),""))</f>
        <v/>
      </c>
      <c r="E191">
        <f>IF(OR(C191="",B191=""),"",IFERROR(INDEX(Key!$C$2:$C$263,MATCH(C191*100+B191,Key!$G$2:$G$263,0)),""))</f>
        <v/>
      </c>
      <c r="F191">
        <f>IF(OR(C191="",B191=""),"",IFERROR(INDEX(Key!$E$2:$E$263,MATCH(C191*100+B191,Key!$G$2:$G$263,0)),""))</f>
        <v/>
      </c>
      <c r="G191" s="6" t="n"/>
      <c r="H191">
        <f>IF(OR(C191="",B191=""),"",IFERROR(INDEX(Papers!$K$2:$P$12,MATCH(C191,Papers!$A$2:$A$12,0),INDEX(Key!$D$2:$D$263,MATCH(C191*100+B191,Key!$G$2:$G$263,0))),""))</f>
        <v/>
      </c>
      <c r="I191" s="6" t="n"/>
      <c r="J191" s="6" t="n"/>
    </row>
    <row r="192">
      <c r="A192" s="6" t="n"/>
      <c r="B192" s="6" t="n"/>
      <c r="C192">
        <f>IF(A192="","",IFERROR(INDEX(Attempts!$D$2:$D$200,MATCH(A192,Attempts!$A$2:$A$200,0)),"?"))</f>
        <v/>
      </c>
      <c r="D192">
        <f>IF(OR(A192="",B192=""),"",IFERROR(INDEX(Attempts!$M$2:$AP$200,MATCH(A192,Attempts!$A$2:$A$200,0),B192),""))</f>
        <v/>
      </c>
      <c r="E192">
        <f>IF(OR(C192="",B192=""),"",IFERROR(INDEX(Key!$C$2:$C$263,MATCH(C192*100+B192,Key!$G$2:$G$263,0)),""))</f>
        <v/>
      </c>
      <c r="F192">
        <f>IF(OR(C192="",B192=""),"",IFERROR(INDEX(Key!$E$2:$E$263,MATCH(C192*100+B192,Key!$G$2:$G$263,0)),""))</f>
        <v/>
      </c>
      <c r="G192" s="6" t="n"/>
      <c r="H192">
        <f>IF(OR(C192="",B192=""),"",IFERROR(INDEX(Papers!$K$2:$P$12,MATCH(C192,Papers!$A$2:$A$12,0),INDEX(Key!$D$2:$D$263,MATCH(C192*100+B192,Key!$G$2:$G$263,0))),""))</f>
        <v/>
      </c>
      <c r="I192" s="6" t="n"/>
      <c r="J192" s="6" t="n"/>
    </row>
    <row r="193">
      <c r="A193" s="6" t="n"/>
      <c r="B193" s="6" t="n"/>
      <c r="C193">
        <f>IF(A193="","",IFERROR(INDEX(Attempts!$D$2:$D$200,MATCH(A193,Attempts!$A$2:$A$200,0)),"?"))</f>
        <v/>
      </c>
      <c r="D193">
        <f>IF(OR(A193="",B193=""),"",IFERROR(INDEX(Attempts!$M$2:$AP$200,MATCH(A193,Attempts!$A$2:$A$200,0),B193),""))</f>
        <v/>
      </c>
      <c r="E193">
        <f>IF(OR(C193="",B193=""),"",IFERROR(INDEX(Key!$C$2:$C$263,MATCH(C193*100+B193,Key!$G$2:$G$263,0)),""))</f>
        <v/>
      </c>
      <c r="F193">
        <f>IF(OR(C193="",B193=""),"",IFERROR(INDEX(Key!$E$2:$E$263,MATCH(C193*100+B193,Key!$G$2:$G$263,0)),""))</f>
        <v/>
      </c>
      <c r="G193" s="6" t="n"/>
      <c r="H193">
        <f>IF(OR(C193="",B193=""),"",IFERROR(INDEX(Papers!$K$2:$P$12,MATCH(C193,Papers!$A$2:$A$12,0),INDEX(Key!$D$2:$D$263,MATCH(C193*100+B193,Key!$G$2:$G$263,0))),""))</f>
        <v/>
      </c>
      <c r="I193" s="6" t="n"/>
      <c r="J193" s="6" t="n"/>
    </row>
    <row r="194">
      <c r="A194" s="6" t="n"/>
      <c r="B194" s="6" t="n"/>
      <c r="C194">
        <f>IF(A194="","",IFERROR(INDEX(Attempts!$D$2:$D$200,MATCH(A194,Attempts!$A$2:$A$200,0)),"?"))</f>
        <v/>
      </c>
      <c r="D194">
        <f>IF(OR(A194="",B194=""),"",IFERROR(INDEX(Attempts!$M$2:$AP$200,MATCH(A194,Attempts!$A$2:$A$200,0),B194),""))</f>
        <v/>
      </c>
      <c r="E194">
        <f>IF(OR(C194="",B194=""),"",IFERROR(INDEX(Key!$C$2:$C$263,MATCH(C194*100+B194,Key!$G$2:$G$263,0)),""))</f>
        <v/>
      </c>
      <c r="F194">
        <f>IF(OR(C194="",B194=""),"",IFERROR(INDEX(Key!$E$2:$E$263,MATCH(C194*100+B194,Key!$G$2:$G$263,0)),""))</f>
        <v/>
      </c>
      <c r="G194" s="6" t="n"/>
      <c r="H194">
        <f>IF(OR(C194="",B194=""),"",IFERROR(INDEX(Papers!$K$2:$P$12,MATCH(C194,Papers!$A$2:$A$12,0),INDEX(Key!$D$2:$D$263,MATCH(C194*100+B194,Key!$G$2:$G$263,0))),""))</f>
        <v/>
      </c>
      <c r="I194" s="6" t="n"/>
      <c r="J194" s="6" t="n"/>
    </row>
    <row r="195">
      <c r="A195" s="6" t="n"/>
      <c r="B195" s="6" t="n"/>
      <c r="C195">
        <f>IF(A195="","",IFERROR(INDEX(Attempts!$D$2:$D$200,MATCH(A195,Attempts!$A$2:$A$200,0)),"?"))</f>
        <v/>
      </c>
      <c r="D195">
        <f>IF(OR(A195="",B195=""),"",IFERROR(INDEX(Attempts!$M$2:$AP$200,MATCH(A195,Attempts!$A$2:$A$200,0),B195),""))</f>
        <v/>
      </c>
      <c r="E195">
        <f>IF(OR(C195="",B195=""),"",IFERROR(INDEX(Key!$C$2:$C$263,MATCH(C195*100+B195,Key!$G$2:$G$263,0)),""))</f>
        <v/>
      </c>
      <c r="F195">
        <f>IF(OR(C195="",B195=""),"",IFERROR(INDEX(Key!$E$2:$E$263,MATCH(C195*100+B195,Key!$G$2:$G$263,0)),""))</f>
        <v/>
      </c>
      <c r="G195" s="6" t="n"/>
      <c r="H195">
        <f>IF(OR(C195="",B195=""),"",IFERROR(INDEX(Papers!$K$2:$P$12,MATCH(C195,Papers!$A$2:$A$12,0),INDEX(Key!$D$2:$D$263,MATCH(C195*100+B195,Key!$G$2:$G$263,0))),""))</f>
        <v/>
      </c>
      <c r="I195" s="6" t="n"/>
      <c r="J195" s="6" t="n"/>
    </row>
    <row r="196">
      <c r="A196" s="6" t="n"/>
      <c r="B196" s="6" t="n"/>
      <c r="C196">
        <f>IF(A196="","",IFERROR(INDEX(Attempts!$D$2:$D$200,MATCH(A196,Attempts!$A$2:$A$200,0)),"?"))</f>
        <v/>
      </c>
      <c r="D196">
        <f>IF(OR(A196="",B196=""),"",IFERROR(INDEX(Attempts!$M$2:$AP$200,MATCH(A196,Attempts!$A$2:$A$200,0),B196),""))</f>
        <v/>
      </c>
      <c r="E196">
        <f>IF(OR(C196="",B196=""),"",IFERROR(INDEX(Key!$C$2:$C$263,MATCH(C196*100+B196,Key!$G$2:$G$263,0)),""))</f>
        <v/>
      </c>
      <c r="F196">
        <f>IF(OR(C196="",B196=""),"",IFERROR(INDEX(Key!$E$2:$E$263,MATCH(C196*100+B196,Key!$G$2:$G$263,0)),""))</f>
        <v/>
      </c>
      <c r="G196" s="6" t="n"/>
      <c r="H196">
        <f>IF(OR(C196="",B196=""),"",IFERROR(INDEX(Papers!$K$2:$P$12,MATCH(C196,Papers!$A$2:$A$12,0),INDEX(Key!$D$2:$D$263,MATCH(C196*100+B196,Key!$G$2:$G$263,0))),""))</f>
        <v/>
      </c>
      <c r="I196" s="6" t="n"/>
      <c r="J196" s="6" t="n"/>
    </row>
    <row r="197">
      <c r="A197" s="6" t="n"/>
      <c r="B197" s="6" t="n"/>
      <c r="C197">
        <f>IF(A197="","",IFERROR(INDEX(Attempts!$D$2:$D$200,MATCH(A197,Attempts!$A$2:$A$200,0)),"?"))</f>
        <v/>
      </c>
      <c r="D197">
        <f>IF(OR(A197="",B197=""),"",IFERROR(INDEX(Attempts!$M$2:$AP$200,MATCH(A197,Attempts!$A$2:$A$200,0),B197),""))</f>
        <v/>
      </c>
      <c r="E197">
        <f>IF(OR(C197="",B197=""),"",IFERROR(INDEX(Key!$C$2:$C$263,MATCH(C197*100+B197,Key!$G$2:$G$263,0)),""))</f>
        <v/>
      </c>
      <c r="F197">
        <f>IF(OR(C197="",B197=""),"",IFERROR(INDEX(Key!$E$2:$E$263,MATCH(C197*100+B197,Key!$G$2:$G$263,0)),""))</f>
        <v/>
      </c>
      <c r="G197" s="6" t="n"/>
      <c r="H197">
        <f>IF(OR(C197="",B197=""),"",IFERROR(INDEX(Papers!$K$2:$P$12,MATCH(C197,Papers!$A$2:$A$12,0),INDEX(Key!$D$2:$D$263,MATCH(C197*100+B197,Key!$G$2:$G$263,0))),""))</f>
        <v/>
      </c>
      <c r="I197" s="6" t="n"/>
      <c r="J197" s="6" t="n"/>
    </row>
    <row r="198">
      <c r="A198" s="6" t="n"/>
      <c r="B198" s="6" t="n"/>
      <c r="C198">
        <f>IF(A198="","",IFERROR(INDEX(Attempts!$D$2:$D$200,MATCH(A198,Attempts!$A$2:$A$200,0)),"?"))</f>
        <v/>
      </c>
      <c r="D198">
        <f>IF(OR(A198="",B198=""),"",IFERROR(INDEX(Attempts!$M$2:$AP$200,MATCH(A198,Attempts!$A$2:$A$200,0),B198),""))</f>
        <v/>
      </c>
      <c r="E198">
        <f>IF(OR(C198="",B198=""),"",IFERROR(INDEX(Key!$C$2:$C$263,MATCH(C198*100+B198,Key!$G$2:$G$263,0)),""))</f>
        <v/>
      </c>
      <c r="F198">
        <f>IF(OR(C198="",B198=""),"",IFERROR(INDEX(Key!$E$2:$E$263,MATCH(C198*100+B198,Key!$G$2:$G$263,0)),""))</f>
        <v/>
      </c>
      <c r="G198" s="6" t="n"/>
      <c r="H198">
        <f>IF(OR(C198="",B198=""),"",IFERROR(INDEX(Papers!$K$2:$P$12,MATCH(C198,Papers!$A$2:$A$12,0),INDEX(Key!$D$2:$D$263,MATCH(C198*100+B198,Key!$G$2:$G$263,0))),""))</f>
        <v/>
      </c>
      <c r="I198" s="6" t="n"/>
      <c r="J198" s="6" t="n"/>
    </row>
    <row r="199">
      <c r="A199" s="6" t="n"/>
      <c r="B199" s="6" t="n"/>
      <c r="C199">
        <f>IF(A199="","",IFERROR(INDEX(Attempts!$D$2:$D$200,MATCH(A199,Attempts!$A$2:$A$200,0)),"?"))</f>
        <v/>
      </c>
      <c r="D199">
        <f>IF(OR(A199="",B199=""),"",IFERROR(INDEX(Attempts!$M$2:$AP$200,MATCH(A199,Attempts!$A$2:$A$200,0),B199),""))</f>
        <v/>
      </c>
      <c r="E199">
        <f>IF(OR(C199="",B199=""),"",IFERROR(INDEX(Key!$C$2:$C$263,MATCH(C199*100+B199,Key!$G$2:$G$263,0)),""))</f>
        <v/>
      </c>
      <c r="F199">
        <f>IF(OR(C199="",B199=""),"",IFERROR(INDEX(Key!$E$2:$E$263,MATCH(C199*100+B199,Key!$G$2:$G$263,0)),""))</f>
        <v/>
      </c>
      <c r="G199" s="6" t="n"/>
      <c r="H199">
        <f>IF(OR(C199="",B199=""),"",IFERROR(INDEX(Papers!$K$2:$P$12,MATCH(C199,Papers!$A$2:$A$12,0),INDEX(Key!$D$2:$D$263,MATCH(C199*100+B199,Key!$G$2:$G$263,0))),""))</f>
        <v/>
      </c>
      <c r="I199" s="6" t="n"/>
      <c r="J199" s="6" t="n"/>
    </row>
    <row r="200">
      <c r="A200" s="6" t="n"/>
      <c r="B200" s="6" t="n"/>
      <c r="C200">
        <f>IF(A200="","",IFERROR(INDEX(Attempts!$D$2:$D$200,MATCH(A200,Attempts!$A$2:$A$200,0)),"?"))</f>
        <v/>
      </c>
      <c r="D200">
        <f>IF(OR(A200="",B200=""),"",IFERROR(INDEX(Attempts!$M$2:$AP$200,MATCH(A200,Attempts!$A$2:$A$200,0),B200),""))</f>
        <v/>
      </c>
      <c r="E200">
        <f>IF(OR(C200="",B200=""),"",IFERROR(INDEX(Key!$C$2:$C$263,MATCH(C200*100+B200,Key!$G$2:$G$263,0)),""))</f>
        <v/>
      </c>
      <c r="F200">
        <f>IF(OR(C200="",B200=""),"",IFERROR(INDEX(Key!$E$2:$E$263,MATCH(C200*100+B200,Key!$G$2:$G$263,0)),""))</f>
        <v/>
      </c>
      <c r="G200" s="6" t="n"/>
      <c r="H200">
        <f>IF(OR(C200="",B200=""),"",IFERROR(INDEX(Papers!$K$2:$P$12,MATCH(C200,Papers!$A$2:$A$12,0),INDEX(Key!$D$2:$D$263,MATCH(C200*100+B200,Key!$G$2:$G$263,0))),""))</f>
        <v/>
      </c>
      <c r="I200" s="6" t="n"/>
      <c r="J200" s="6" t="n"/>
    </row>
    <row r="201">
      <c r="A201" s="6" t="n"/>
      <c r="B201" s="6" t="n"/>
      <c r="C201">
        <f>IF(A201="","",IFERROR(INDEX(Attempts!$D$2:$D$200,MATCH(A201,Attempts!$A$2:$A$200,0)),"?"))</f>
        <v/>
      </c>
      <c r="D201">
        <f>IF(OR(A201="",B201=""),"",IFERROR(INDEX(Attempts!$M$2:$AP$200,MATCH(A201,Attempts!$A$2:$A$200,0),B201),""))</f>
        <v/>
      </c>
      <c r="E201">
        <f>IF(OR(C201="",B201=""),"",IFERROR(INDEX(Key!$C$2:$C$263,MATCH(C201*100+B201,Key!$G$2:$G$263,0)),""))</f>
        <v/>
      </c>
      <c r="F201">
        <f>IF(OR(C201="",B201=""),"",IFERROR(INDEX(Key!$E$2:$E$263,MATCH(C201*100+B201,Key!$G$2:$G$263,0)),""))</f>
        <v/>
      </c>
      <c r="G201" s="6" t="n"/>
      <c r="H201">
        <f>IF(OR(C201="",B201=""),"",IFERROR(INDEX(Papers!$K$2:$P$12,MATCH(C201,Papers!$A$2:$A$12,0),INDEX(Key!$D$2:$D$263,MATCH(C201*100+B201,Key!$G$2:$G$263,0))),""))</f>
        <v/>
      </c>
      <c r="I201" s="6" t="n"/>
      <c r="J201" s="6" t="n"/>
    </row>
    <row r="202">
      <c r="A202" s="6" t="n"/>
      <c r="B202" s="6" t="n"/>
      <c r="C202">
        <f>IF(A202="","",IFERROR(INDEX(Attempts!$D$2:$D$200,MATCH(A202,Attempts!$A$2:$A$200,0)),"?"))</f>
        <v/>
      </c>
      <c r="D202">
        <f>IF(OR(A202="",B202=""),"",IFERROR(INDEX(Attempts!$M$2:$AP$200,MATCH(A202,Attempts!$A$2:$A$200,0),B202),""))</f>
        <v/>
      </c>
      <c r="E202">
        <f>IF(OR(C202="",B202=""),"",IFERROR(INDEX(Key!$C$2:$C$263,MATCH(C202*100+B202,Key!$G$2:$G$263,0)),""))</f>
        <v/>
      </c>
      <c r="F202">
        <f>IF(OR(C202="",B202=""),"",IFERROR(INDEX(Key!$E$2:$E$263,MATCH(C202*100+B202,Key!$G$2:$G$263,0)),""))</f>
        <v/>
      </c>
      <c r="G202" s="6" t="n"/>
      <c r="H202">
        <f>IF(OR(C202="",B202=""),"",IFERROR(INDEX(Papers!$K$2:$P$12,MATCH(C202,Papers!$A$2:$A$12,0),INDEX(Key!$D$2:$D$263,MATCH(C202*100+B202,Key!$G$2:$G$263,0))),""))</f>
        <v/>
      </c>
      <c r="I202" s="6" t="n"/>
      <c r="J202" s="6" t="n"/>
    </row>
    <row r="203">
      <c r="A203" s="6" t="n"/>
      <c r="B203" s="6" t="n"/>
      <c r="C203">
        <f>IF(A203="","",IFERROR(INDEX(Attempts!$D$2:$D$200,MATCH(A203,Attempts!$A$2:$A$200,0)),"?"))</f>
        <v/>
      </c>
      <c r="D203">
        <f>IF(OR(A203="",B203=""),"",IFERROR(INDEX(Attempts!$M$2:$AP$200,MATCH(A203,Attempts!$A$2:$A$200,0),B203),""))</f>
        <v/>
      </c>
      <c r="E203">
        <f>IF(OR(C203="",B203=""),"",IFERROR(INDEX(Key!$C$2:$C$263,MATCH(C203*100+B203,Key!$G$2:$G$263,0)),""))</f>
        <v/>
      </c>
      <c r="F203">
        <f>IF(OR(C203="",B203=""),"",IFERROR(INDEX(Key!$E$2:$E$263,MATCH(C203*100+B203,Key!$G$2:$G$263,0)),""))</f>
        <v/>
      </c>
      <c r="G203" s="6" t="n"/>
      <c r="H203">
        <f>IF(OR(C203="",B203=""),"",IFERROR(INDEX(Papers!$K$2:$P$12,MATCH(C203,Papers!$A$2:$A$12,0),INDEX(Key!$D$2:$D$263,MATCH(C203*100+B203,Key!$G$2:$G$263,0))),""))</f>
        <v/>
      </c>
      <c r="I203" s="6" t="n"/>
      <c r="J203" s="6" t="n"/>
    </row>
    <row r="204">
      <c r="A204" s="6" t="n"/>
      <c r="B204" s="6" t="n"/>
      <c r="C204">
        <f>IF(A204="","",IFERROR(INDEX(Attempts!$D$2:$D$200,MATCH(A204,Attempts!$A$2:$A$200,0)),"?"))</f>
        <v/>
      </c>
      <c r="D204">
        <f>IF(OR(A204="",B204=""),"",IFERROR(INDEX(Attempts!$M$2:$AP$200,MATCH(A204,Attempts!$A$2:$A$200,0),B204),""))</f>
        <v/>
      </c>
      <c r="E204">
        <f>IF(OR(C204="",B204=""),"",IFERROR(INDEX(Key!$C$2:$C$263,MATCH(C204*100+B204,Key!$G$2:$G$263,0)),""))</f>
        <v/>
      </c>
      <c r="F204">
        <f>IF(OR(C204="",B204=""),"",IFERROR(INDEX(Key!$E$2:$E$263,MATCH(C204*100+B204,Key!$G$2:$G$263,0)),""))</f>
        <v/>
      </c>
      <c r="G204" s="6" t="n"/>
      <c r="H204">
        <f>IF(OR(C204="",B204=""),"",IFERROR(INDEX(Papers!$K$2:$P$12,MATCH(C204,Papers!$A$2:$A$12,0),INDEX(Key!$D$2:$D$263,MATCH(C204*100+B204,Key!$G$2:$G$263,0))),""))</f>
        <v/>
      </c>
      <c r="I204" s="6" t="n"/>
      <c r="J204" s="6" t="n"/>
    </row>
    <row r="205">
      <c r="A205" s="6" t="n"/>
      <c r="B205" s="6" t="n"/>
      <c r="C205">
        <f>IF(A205="","",IFERROR(INDEX(Attempts!$D$2:$D$200,MATCH(A205,Attempts!$A$2:$A$200,0)),"?"))</f>
        <v/>
      </c>
      <c r="D205">
        <f>IF(OR(A205="",B205=""),"",IFERROR(INDEX(Attempts!$M$2:$AP$200,MATCH(A205,Attempts!$A$2:$A$200,0),B205),""))</f>
        <v/>
      </c>
      <c r="E205">
        <f>IF(OR(C205="",B205=""),"",IFERROR(INDEX(Key!$C$2:$C$263,MATCH(C205*100+B205,Key!$G$2:$G$263,0)),""))</f>
        <v/>
      </c>
      <c r="F205">
        <f>IF(OR(C205="",B205=""),"",IFERROR(INDEX(Key!$E$2:$E$263,MATCH(C205*100+B205,Key!$G$2:$G$263,0)),""))</f>
        <v/>
      </c>
      <c r="G205" s="6" t="n"/>
      <c r="H205">
        <f>IF(OR(C205="",B205=""),"",IFERROR(INDEX(Papers!$K$2:$P$12,MATCH(C205,Papers!$A$2:$A$12,0),INDEX(Key!$D$2:$D$263,MATCH(C205*100+B205,Key!$G$2:$G$263,0))),""))</f>
        <v/>
      </c>
      <c r="I205" s="6" t="n"/>
      <c r="J205" s="6" t="n"/>
    </row>
    <row r="206">
      <c r="A206" s="6" t="n"/>
      <c r="B206" s="6" t="n"/>
      <c r="C206">
        <f>IF(A206="","",IFERROR(INDEX(Attempts!$D$2:$D$200,MATCH(A206,Attempts!$A$2:$A$200,0)),"?"))</f>
        <v/>
      </c>
      <c r="D206">
        <f>IF(OR(A206="",B206=""),"",IFERROR(INDEX(Attempts!$M$2:$AP$200,MATCH(A206,Attempts!$A$2:$A$200,0),B206),""))</f>
        <v/>
      </c>
      <c r="E206">
        <f>IF(OR(C206="",B206=""),"",IFERROR(INDEX(Key!$C$2:$C$263,MATCH(C206*100+B206,Key!$G$2:$G$263,0)),""))</f>
        <v/>
      </c>
      <c r="F206">
        <f>IF(OR(C206="",B206=""),"",IFERROR(INDEX(Key!$E$2:$E$263,MATCH(C206*100+B206,Key!$G$2:$G$263,0)),""))</f>
        <v/>
      </c>
      <c r="G206" s="6" t="n"/>
      <c r="H206">
        <f>IF(OR(C206="",B206=""),"",IFERROR(INDEX(Papers!$K$2:$P$12,MATCH(C206,Papers!$A$2:$A$12,0),INDEX(Key!$D$2:$D$263,MATCH(C206*100+B206,Key!$G$2:$G$263,0))),""))</f>
        <v/>
      </c>
      <c r="I206" s="6" t="n"/>
      <c r="J206" s="6" t="n"/>
    </row>
    <row r="207">
      <c r="A207" s="6" t="n"/>
      <c r="B207" s="6" t="n"/>
      <c r="C207">
        <f>IF(A207="","",IFERROR(INDEX(Attempts!$D$2:$D$200,MATCH(A207,Attempts!$A$2:$A$200,0)),"?"))</f>
        <v/>
      </c>
      <c r="D207">
        <f>IF(OR(A207="",B207=""),"",IFERROR(INDEX(Attempts!$M$2:$AP$200,MATCH(A207,Attempts!$A$2:$A$200,0),B207),""))</f>
        <v/>
      </c>
      <c r="E207">
        <f>IF(OR(C207="",B207=""),"",IFERROR(INDEX(Key!$C$2:$C$263,MATCH(C207*100+B207,Key!$G$2:$G$263,0)),""))</f>
        <v/>
      </c>
      <c r="F207">
        <f>IF(OR(C207="",B207=""),"",IFERROR(INDEX(Key!$E$2:$E$263,MATCH(C207*100+B207,Key!$G$2:$G$263,0)),""))</f>
        <v/>
      </c>
      <c r="G207" s="6" t="n"/>
      <c r="H207">
        <f>IF(OR(C207="",B207=""),"",IFERROR(INDEX(Papers!$K$2:$P$12,MATCH(C207,Papers!$A$2:$A$12,0),INDEX(Key!$D$2:$D$263,MATCH(C207*100+B207,Key!$G$2:$G$263,0))),""))</f>
        <v/>
      </c>
      <c r="I207" s="6" t="n"/>
      <c r="J207" s="6" t="n"/>
    </row>
    <row r="208">
      <c r="A208" s="6" t="n"/>
      <c r="B208" s="6" t="n"/>
      <c r="C208">
        <f>IF(A208="","",IFERROR(INDEX(Attempts!$D$2:$D$200,MATCH(A208,Attempts!$A$2:$A$200,0)),"?"))</f>
        <v/>
      </c>
      <c r="D208">
        <f>IF(OR(A208="",B208=""),"",IFERROR(INDEX(Attempts!$M$2:$AP$200,MATCH(A208,Attempts!$A$2:$A$200,0),B208),""))</f>
        <v/>
      </c>
      <c r="E208">
        <f>IF(OR(C208="",B208=""),"",IFERROR(INDEX(Key!$C$2:$C$263,MATCH(C208*100+B208,Key!$G$2:$G$263,0)),""))</f>
        <v/>
      </c>
      <c r="F208">
        <f>IF(OR(C208="",B208=""),"",IFERROR(INDEX(Key!$E$2:$E$263,MATCH(C208*100+B208,Key!$G$2:$G$263,0)),""))</f>
        <v/>
      </c>
      <c r="G208" s="6" t="n"/>
      <c r="H208">
        <f>IF(OR(C208="",B208=""),"",IFERROR(INDEX(Papers!$K$2:$P$12,MATCH(C208,Papers!$A$2:$A$12,0),INDEX(Key!$D$2:$D$263,MATCH(C208*100+B208,Key!$G$2:$G$263,0))),""))</f>
        <v/>
      </c>
      <c r="I208" s="6" t="n"/>
      <c r="J208" s="6" t="n"/>
    </row>
    <row r="209">
      <c r="A209" s="6" t="n"/>
      <c r="B209" s="6" t="n"/>
      <c r="C209">
        <f>IF(A209="","",IFERROR(INDEX(Attempts!$D$2:$D$200,MATCH(A209,Attempts!$A$2:$A$200,0)),"?"))</f>
        <v/>
      </c>
      <c r="D209">
        <f>IF(OR(A209="",B209=""),"",IFERROR(INDEX(Attempts!$M$2:$AP$200,MATCH(A209,Attempts!$A$2:$A$200,0),B209),""))</f>
        <v/>
      </c>
      <c r="E209">
        <f>IF(OR(C209="",B209=""),"",IFERROR(INDEX(Key!$C$2:$C$263,MATCH(C209*100+B209,Key!$G$2:$G$263,0)),""))</f>
        <v/>
      </c>
      <c r="F209">
        <f>IF(OR(C209="",B209=""),"",IFERROR(INDEX(Key!$E$2:$E$263,MATCH(C209*100+B209,Key!$G$2:$G$263,0)),""))</f>
        <v/>
      </c>
      <c r="G209" s="6" t="n"/>
      <c r="H209">
        <f>IF(OR(C209="",B209=""),"",IFERROR(INDEX(Papers!$K$2:$P$12,MATCH(C209,Papers!$A$2:$A$12,0),INDEX(Key!$D$2:$D$263,MATCH(C209*100+B209,Key!$G$2:$G$263,0))),""))</f>
        <v/>
      </c>
      <c r="I209" s="6" t="n"/>
      <c r="J209" s="6" t="n"/>
    </row>
    <row r="210">
      <c r="A210" s="6" t="n"/>
      <c r="B210" s="6" t="n"/>
      <c r="C210">
        <f>IF(A210="","",IFERROR(INDEX(Attempts!$D$2:$D$200,MATCH(A210,Attempts!$A$2:$A$200,0)),"?"))</f>
        <v/>
      </c>
      <c r="D210">
        <f>IF(OR(A210="",B210=""),"",IFERROR(INDEX(Attempts!$M$2:$AP$200,MATCH(A210,Attempts!$A$2:$A$200,0),B210),""))</f>
        <v/>
      </c>
      <c r="E210">
        <f>IF(OR(C210="",B210=""),"",IFERROR(INDEX(Key!$C$2:$C$263,MATCH(C210*100+B210,Key!$G$2:$G$263,0)),""))</f>
        <v/>
      </c>
      <c r="F210">
        <f>IF(OR(C210="",B210=""),"",IFERROR(INDEX(Key!$E$2:$E$263,MATCH(C210*100+B210,Key!$G$2:$G$263,0)),""))</f>
        <v/>
      </c>
      <c r="G210" s="6" t="n"/>
      <c r="H210">
        <f>IF(OR(C210="",B210=""),"",IFERROR(INDEX(Papers!$K$2:$P$12,MATCH(C210,Papers!$A$2:$A$12,0),INDEX(Key!$D$2:$D$263,MATCH(C210*100+B210,Key!$G$2:$G$263,0))),""))</f>
        <v/>
      </c>
      <c r="I210" s="6" t="n"/>
      <c r="J210" s="6" t="n"/>
    </row>
    <row r="211">
      <c r="A211" s="6" t="n"/>
      <c r="B211" s="6" t="n"/>
      <c r="C211">
        <f>IF(A211="","",IFERROR(INDEX(Attempts!$D$2:$D$200,MATCH(A211,Attempts!$A$2:$A$200,0)),"?"))</f>
        <v/>
      </c>
      <c r="D211">
        <f>IF(OR(A211="",B211=""),"",IFERROR(INDEX(Attempts!$M$2:$AP$200,MATCH(A211,Attempts!$A$2:$A$200,0),B211),""))</f>
        <v/>
      </c>
      <c r="E211">
        <f>IF(OR(C211="",B211=""),"",IFERROR(INDEX(Key!$C$2:$C$263,MATCH(C211*100+B211,Key!$G$2:$G$263,0)),""))</f>
        <v/>
      </c>
      <c r="F211">
        <f>IF(OR(C211="",B211=""),"",IFERROR(INDEX(Key!$E$2:$E$263,MATCH(C211*100+B211,Key!$G$2:$G$263,0)),""))</f>
        <v/>
      </c>
      <c r="G211" s="6" t="n"/>
      <c r="H211">
        <f>IF(OR(C211="",B211=""),"",IFERROR(INDEX(Papers!$K$2:$P$12,MATCH(C211,Papers!$A$2:$A$12,0),INDEX(Key!$D$2:$D$263,MATCH(C211*100+B211,Key!$G$2:$G$263,0))),""))</f>
        <v/>
      </c>
      <c r="I211" s="6" t="n"/>
      <c r="J211" s="6" t="n"/>
    </row>
    <row r="212">
      <c r="A212" s="6" t="n"/>
      <c r="B212" s="6" t="n"/>
      <c r="C212">
        <f>IF(A212="","",IFERROR(INDEX(Attempts!$D$2:$D$200,MATCH(A212,Attempts!$A$2:$A$200,0)),"?"))</f>
        <v/>
      </c>
      <c r="D212">
        <f>IF(OR(A212="",B212=""),"",IFERROR(INDEX(Attempts!$M$2:$AP$200,MATCH(A212,Attempts!$A$2:$A$200,0),B212),""))</f>
        <v/>
      </c>
      <c r="E212">
        <f>IF(OR(C212="",B212=""),"",IFERROR(INDEX(Key!$C$2:$C$263,MATCH(C212*100+B212,Key!$G$2:$G$263,0)),""))</f>
        <v/>
      </c>
      <c r="F212">
        <f>IF(OR(C212="",B212=""),"",IFERROR(INDEX(Key!$E$2:$E$263,MATCH(C212*100+B212,Key!$G$2:$G$263,0)),""))</f>
        <v/>
      </c>
      <c r="G212" s="6" t="n"/>
      <c r="H212">
        <f>IF(OR(C212="",B212=""),"",IFERROR(INDEX(Papers!$K$2:$P$12,MATCH(C212,Papers!$A$2:$A$12,0),INDEX(Key!$D$2:$D$263,MATCH(C212*100+B212,Key!$G$2:$G$263,0))),""))</f>
        <v/>
      </c>
      <c r="I212" s="6" t="n"/>
      <c r="J212" s="6" t="n"/>
    </row>
    <row r="213">
      <c r="A213" s="6" t="n"/>
      <c r="B213" s="6" t="n"/>
      <c r="C213">
        <f>IF(A213="","",IFERROR(INDEX(Attempts!$D$2:$D$200,MATCH(A213,Attempts!$A$2:$A$200,0)),"?"))</f>
        <v/>
      </c>
      <c r="D213">
        <f>IF(OR(A213="",B213=""),"",IFERROR(INDEX(Attempts!$M$2:$AP$200,MATCH(A213,Attempts!$A$2:$A$200,0),B213),""))</f>
        <v/>
      </c>
      <c r="E213">
        <f>IF(OR(C213="",B213=""),"",IFERROR(INDEX(Key!$C$2:$C$263,MATCH(C213*100+B213,Key!$G$2:$G$263,0)),""))</f>
        <v/>
      </c>
      <c r="F213">
        <f>IF(OR(C213="",B213=""),"",IFERROR(INDEX(Key!$E$2:$E$263,MATCH(C213*100+B213,Key!$G$2:$G$263,0)),""))</f>
        <v/>
      </c>
      <c r="G213" s="6" t="n"/>
      <c r="H213">
        <f>IF(OR(C213="",B213=""),"",IFERROR(INDEX(Papers!$K$2:$P$12,MATCH(C213,Papers!$A$2:$A$12,0),INDEX(Key!$D$2:$D$263,MATCH(C213*100+B213,Key!$G$2:$G$263,0))),""))</f>
        <v/>
      </c>
      <c r="I213" s="6" t="n"/>
      <c r="J213" s="6" t="n"/>
    </row>
    <row r="214">
      <c r="A214" s="6" t="n"/>
      <c r="B214" s="6" t="n"/>
      <c r="C214">
        <f>IF(A214="","",IFERROR(INDEX(Attempts!$D$2:$D$200,MATCH(A214,Attempts!$A$2:$A$200,0)),"?"))</f>
        <v/>
      </c>
      <c r="D214">
        <f>IF(OR(A214="",B214=""),"",IFERROR(INDEX(Attempts!$M$2:$AP$200,MATCH(A214,Attempts!$A$2:$A$200,0),B214),""))</f>
        <v/>
      </c>
      <c r="E214">
        <f>IF(OR(C214="",B214=""),"",IFERROR(INDEX(Key!$C$2:$C$263,MATCH(C214*100+B214,Key!$G$2:$G$263,0)),""))</f>
        <v/>
      </c>
      <c r="F214">
        <f>IF(OR(C214="",B214=""),"",IFERROR(INDEX(Key!$E$2:$E$263,MATCH(C214*100+B214,Key!$G$2:$G$263,0)),""))</f>
        <v/>
      </c>
      <c r="G214" s="6" t="n"/>
      <c r="H214">
        <f>IF(OR(C214="",B214=""),"",IFERROR(INDEX(Papers!$K$2:$P$12,MATCH(C214,Papers!$A$2:$A$12,0),INDEX(Key!$D$2:$D$263,MATCH(C214*100+B214,Key!$G$2:$G$263,0))),""))</f>
        <v/>
      </c>
      <c r="I214" s="6" t="n"/>
      <c r="J214" s="6" t="n"/>
    </row>
    <row r="215">
      <c r="A215" s="6" t="n"/>
      <c r="B215" s="6" t="n"/>
      <c r="C215">
        <f>IF(A215="","",IFERROR(INDEX(Attempts!$D$2:$D$200,MATCH(A215,Attempts!$A$2:$A$200,0)),"?"))</f>
        <v/>
      </c>
      <c r="D215">
        <f>IF(OR(A215="",B215=""),"",IFERROR(INDEX(Attempts!$M$2:$AP$200,MATCH(A215,Attempts!$A$2:$A$200,0),B215),""))</f>
        <v/>
      </c>
      <c r="E215">
        <f>IF(OR(C215="",B215=""),"",IFERROR(INDEX(Key!$C$2:$C$263,MATCH(C215*100+B215,Key!$G$2:$G$263,0)),""))</f>
        <v/>
      </c>
      <c r="F215">
        <f>IF(OR(C215="",B215=""),"",IFERROR(INDEX(Key!$E$2:$E$263,MATCH(C215*100+B215,Key!$G$2:$G$263,0)),""))</f>
        <v/>
      </c>
      <c r="G215" s="6" t="n"/>
      <c r="H215">
        <f>IF(OR(C215="",B215=""),"",IFERROR(INDEX(Papers!$K$2:$P$12,MATCH(C215,Papers!$A$2:$A$12,0),INDEX(Key!$D$2:$D$263,MATCH(C215*100+B215,Key!$G$2:$G$263,0))),""))</f>
        <v/>
      </c>
      <c r="I215" s="6" t="n"/>
      <c r="J215" s="6" t="n"/>
    </row>
    <row r="216">
      <c r="A216" s="6" t="n"/>
      <c r="B216" s="6" t="n"/>
      <c r="C216">
        <f>IF(A216="","",IFERROR(INDEX(Attempts!$D$2:$D$200,MATCH(A216,Attempts!$A$2:$A$200,0)),"?"))</f>
        <v/>
      </c>
      <c r="D216">
        <f>IF(OR(A216="",B216=""),"",IFERROR(INDEX(Attempts!$M$2:$AP$200,MATCH(A216,Attempts!$A$2:$A$200,0),B216),""))</f>
        <v/>
      </c>
      <c r="E216">
        <f>IF(OR(C216="",B216=""),"",IFERROR(INDEX(Key!$C$2:$C$263,MATCH(C216*100+B216,Key!$G$2:$G$263,0)),""))</f>
        <v/>
      </c>
      <c r="F216">
        <f>IF(OR(C216="",B216=""),"",IFERROR(INDEX(Key!$E$2:$E$263,MATCH(C216*100+B216,Key!$G$2:$G$263,0)),""))</f>
        <v/>
      </c>
      <c r="G216" s="6" t="n"/>
      <c r="H216">
        <f>IF(OR(C216="",B216=""),"",IFERROR(INDEX(Papers!$K$2:$P$12,MATCH(C216,Papers!$A$2:$A$12,0),INDEX(Key!$D$2:$D$263,MATCH(C216*100+B216,Key!$G$2:$G$263,0))),""))</f>
        <v/>
      </c>
      <c r="I216" s="6" t="n"/>
      <c r="J216" s="6" t="n"/>
    </row>
    <row r="217">
      <c r="A217" s="6" t="n"/>
      <c r="B217" s="6" t="n"/>
      <c r="C217">
        <f>IF(A217="","",IFERROR(INDEX(Attempts!$D$2:$D$200,MATCH(A217,Attempts!$A$2:$A$200,0)),"?"))</f>
        <v/>
      </c>
      <c r="D217">
        <f>IF(OR(A217="",B217=""),"",IFERROR(INDEX(Attempts!$M$2:$AP$200,MATCH(A217,Attempts!$A$2:$A$200,0),B217),""))</f>
        <v/>
      </c>
      <c r="E217">
        <f>IF(OR(C217="",B217=""),"",IFERROR(INDEX(Key!$C$2:$C$263,MATCH(C217*100+B217,Key!$G$2:$G$263,0)),""))</f>
        <v/>
      </c>
      <c r="F217">
        <f>IF(OR(C217="",B217=""),"",IFERROR(INDEX(Key!$E$2:$E$263,MATCH(C217*100+B217,Key!$G$2:$G$263,0)),""))</f>
        <v/>
      </c>
      <c r="G217" s="6" t="n"/>
      <c r="H217">
        <f>IF(OR(C217="",B217=""),"",IFERROR(INDEX(Papers!$K$2:$P$12,MATCH(C217,Papers!$A$2:$A$12,0),INDEX(Key!$D$2:$D$263,MATCH(C217*100+B217,Key!$G$2:$G$263,0))),""))</f>
        <v/>
      </c>
      <c r="I217" s="6" t="n"/>
      <c r="J217" s="6" t="n"/>
    </row>
    <row r="218">
      <c r="A218" s="6" t="n"/>
      <c r="B218" s="6" t="n"/>
      <c r="C218">
        <f>IF(A218="","",IFERROR(INDEX(Attempts!$D$2:$D$200,MATCH(A218,Attempts!$A$2:$A$200,0)),"?"))</f>
        <v/>
      </c>
      <c r="D218">
        <f>IF(OR(A218="",B218=""),"",IFERROR(INDEX(Attempts!$M$2:$AP$200,MATCH(A218,Attempts!$A$2:$A$200,0),B218),""))</f>
        <v/>
      </c>
      <c r="E218">
        <f>IF(OR(C218="",B218=""),"",IFERROR(INDEX(Key!$C$2:$C$263,MATCH(C218*100+B218,Key!$G$2:$G$263,0)),""))</f>
        <v/>
      </c>
      <c r="F218">
        <f>IF(OR(C218="",B218=""),"",IFERROR(INDEX(Key!$E$2:$E$263,MATCH(C218*100+B218,Key!$G$2:$G$263,0)),""))</f>
        <v/>
      </c>
      <c r="G218" s="6" t="n"/>
      <c r="H218">
        <f>IF(OR(C218="",B218=""),"",IFERROR(INDEX(Papers!$K$2:$P$12,MATCH(C218,Papers!$A$2:$A$12,0),INDEX(Key!$D$2:$D$263,MATCH(C218*100+B218,Key!$G$2:$G$263,0))),""))</f>
        <v/>
      </c>
      <c r="I218" s="6" t="n"/>
      <c r="J218" s="6" t="n"/>
    </row>
    <row r="219">
      <c r="A219" s="6" t="n"/>
      <c r="B219" s="6" t="n"/>
      <c r="C219">
        <f>IF(A219="","",IFERROR(INDEX(Attempts!$D$2:$D$200,MATCH(A219,Attempts!$A$2:$A$200,0)),"?"))</f>
        <v/>
      </c>
      <c r="D219">
        <f>IF(OR(A219="",B219=""),"",IFERROR(INDEX(Attempts!$M$2:$AP$200,MATCH(A219,Attempts!$A$2:$A$200,0),B219),""))</f>
        <v/>
      </c>
      <c r="E219">
        <f>IF(OR(C219="",B219=""),"",IFERROR(INDEX(Key!$C$2:$C$263,MATCH(C219*100+B219,Key!$G$2:$G$263,0)),""))</f>
        <v/>
      </c>
      <c r="F219">
        <f>IF(OR(C219="",B219=""),"",IFERROR(INDEX(Key!$E$2:$E$263,MATCH(C219*100+B219,Key!$G$2:$G$263,0)),""))</f>
        <v/>
      </c>
      <c r="G219" s="6" t="n"/>
      <c r="H219">
        <f>IF(OR(C219="",B219=""),"",IFERROR(INDEX(Papers!$K$2:$P$12,MATCH(C219,Papers!$A$2:$A$12,0),INDEX(Key!$D$2:$D$263,MATCH(C219*100+B219,Key!$G$2:$G$263,0))),""))</f>
        <v/>
      </c>
      <c r="I219" s="6" t="n"/>
      <c r="J219" s="6" t="n"/>
    </row>
    <row r="220">
      <c r="A220" s="6" t="n"/>
      <c r="B220" s="6" t="n"/>
      <c r="C220">
        <f>IF(A220="","",IFERROR(INDEX(Attempts!$D$2:$D$200,MATCH(A220,Attempts!$A$2:$A$200,0)),"?"))</f>
        <v/>
      </c>
      <c r="D220">
        <f>IF(OR(A220="",B220=""),"",IFERROR(INDEX(Attempts!$M$2:$AP$200,MATCH(A220,Attempts!$A$2:$A$200,0),B220),""))</f>
        <v/>
      </c>
      <c r="E220">
        <f>IF(OR(C220="",B220=""),"",IFERROR(INDEX(Key!$C$2:$C$263,MATCH(C220*100+B220,Key!$G$2:$G$263,0)),""))</f>
        <v/>
      </c>
      <c r="F220">
        <f>IF(OR(C220="",B220=""),"",IFERROR(INDEX(Key!$E$2:$E$263,MATCH(C220*100+B220,Key!$G$2:$G$263,0)),""))</f>
        <v/>
      </c>
      <c r="G220" s="6" t="n"/>
      <c r="H220">
        <f>IF(OR(C220="",B220=""),"",IFERROR(INDEX(Papers!$K$2:$P$12,MATCH(C220,Papers!$A$2:$A$12,0),INDEX(Key!$D$2:$D$263,MATCH(C220*100+B220,Key!$G$2:$G$263,0))),""))</f>
        <v/>
      </c>
      <c r="I220" s="6" t="n"/>
      <c r="J220" s="6" t="n"/>
    </row>
    <row r="221">
      <c r="A221" s="6" t="n"/>
      <c r="B221" s="6" t="n"/>
      <c r="C221">
        <f>IF(A221="","",IFERROR(INDEX(Attempts!$D$2:$D$200,MATCH(A221,Attempts!$A$2:$A$200,0)),"?"))</f>
        <v/>
      </c>
      <c r="D221">
        <f>IF(OR(A221="",B221=""),"",IFERROR(INDEX(Attempts!$M$2:$AP$200,MATCH(A221,Attempts!$A$2:$A$200,0),B221),""))</f>
        <v/>
      </c>
      <c r="E221">
        <f>IF(OR(C221="",B221=""),"",IFERROR(INDEX(Key!$C$2:$C$263,MATCH(C221*100+B221,Key!$G$2:$G$263,0)),""))</f>
        <v/>
      </c>
      <c r="F221">
        <f>IF(OR(C221="",B221=""),"",IFERROR(INDEX(Key!$E$2:$E$263,MATCH(C221*100+B221,Key!$G$2:$G$263,0)),""))</f>
        <v/>
      </c>
      <c r="G221" s="6" t="n"/>
      <c r="H221">
        <f>IF(OR(C221="",B221=""),"",IFERROR(INDEX(Papers!$K$2:$P$12,MATCH(C221,Papers!$A$2:$A$12,0),INDEX(Key!$D$2:$D$263,MATCH(C221*100+B221,Key!$G$2:$G$263,0))),""))</f>
        <v/>
      </c>
      <c r="I221" s="6" t="n"/>
      <c r="J221" s="6" t="n"/>
    </row>
    <row r="222">
      <c r="A222" s="6" t="n"/>
      <c r="B222" s="6" t="n"/>
      <c r="C222">
        <f>IF(A222="","",IFERROR(INDEX(Attempts!$D$2:$D$200,MATCH(A222,Attempts!$A$2:$A$200,0)),"?"))</f>
        <v/>
      </c>
      <c r="D222">
        <f>IF(OR(A222="",B222=""),"",IFERROR(INDEX(Attempts!$M$2:$AP$200,MATCH(A222,Attempts!$A$2:$A$200,0),B222),""))</f>
        <v/>
      </c>
      <c r="E222">
        <f>IF(OR(C222="",B222=""),"",IFERROR(INDEX(Key!$C$2:$C$263,MATCH(C222*100+B222,Key!$G$2:$G$263,0)),""))</f>
        <v/>
      </c>
      <c r="F222">
        <f>IF(OR(C222="",B222=""),"",IFERROR(INDEX(Key!$E$2:$E$263,MATCH(C222*100+B222,Key!$G$2:$G$263,0)),""))</f>
        <v/>
      </c>
      <c r="G222" s="6" t="n"/>
      <c r="H222">
        <f>IF(OR(C222="",B222=""),"",IFERROR(INDEX(Papers!$K$2:$P$12,MATCH(C222,Papers!$A$2:$A$12,0),INDEX(Key!$D$2:$D$263,MATCH(C222*100+B222,Key!$G$2:$G$263,0))),""))</f>
        <v/>
      </c>
      <c r="I222" s="6" t="n"/>
      <c r="J222" s="6" t="n"/>
    </row>
    <row r="223">
      <c r="A223" s="6" t="n"/>
      <c r="B223" s="6" t="n"/>
      <c r="C223">
        <f>IF(A223="","",IFERROR(INDEX(Attempts!$D$2:$D$200,MATCH(A223,Attempts!$A$2:$A$200,0)),"?"))</f>
        <v/>
      </c>
      <c r="D223">
        <f>IF(OR(A223="",B223=""),"",IFERROR(INDEX(Attempts!$M$2:$AP$200,MATCH(A223,Attempts!$A$2:$A$200,0),B223),""))</f>
        <v/>
      </c>
      <c r="E223">
        <f>IF(OR(C223="",B223=""),"",IFERROR(INDEX(Key!$C$2:$C$263,MATCH(C223*100+B223,Key!$G$2:$G$263,0)),""))</f>
        <v/>
      </c>
      <c r="F223">
        <f>IF(OR(C223="",B223=""),"",IFERROR(INDEX(Key!$E$2:$E$263,MATCH(C223*100+B223,Key!$G$2:$G$263,0)),""))</f>
        <v/>
      </c>
      <c r="G223" s="6" t="n"/>
      <c r="H223">
        <f>IF(OR(C223="",B223=""),"",IFERROR(INDEX(Papers!$K$2:$P$12,MATCH(C223,Papers!$A$2:$A$12,0),INDEX(Key!$D$2:$D$263,MATCH(C223*100+B223,Key!$G$2:$G$263,0))),""))</f>
        <v/>
      </c>
      <c r="I223" s="6" t="n"/>
      <c r="J223" s="6" t="n"/>
    </row>
    <row r="224">
      <c r="A224" s="6" t="n"/>
      <c r="B224" s="6" t="n"/>
      <c r="C224">
        <f>IF(A224="","",IFERROR(INDEX(Attempts!$D$2:$D$200,MATCH(A224,Attempts!$A$2:$A$200,0)),"?"))</f>
        <v/>
      </c>
      <c r="D224">
        <f>IF(OR(A224="",B224=""),"",IFERROR(INDEX(Attempts!$M$2:$AP$200,MATCH(A224,Attempts!$A$2:$A$200,0),B224),""))</f>
        <v/>
      </c>
      <c r="E224">
        <f>IF(OR(C224="",B224=""),"",IFERROR(INDEX(Key!$C$2:$C$263,MATCH(C224*100+B224,Key!$G$2:$G$263,0)),""))</f>
        <v/>
      </c>
      <c r="F224">
        <f>IF(OR(C224="",B224=""),"",IFERROR(INDEX(Key!$E$2:$E$263,MATCH(C224*100+B224,Key!$G$2:$G$263,0)),""))</f>
        <v/>
      </c>
      <c r="G224" s="6" t="n"/>
      <c r="H224">
        <f>IF(OR(C224="",B224=""),"",IFERROR(INDEX(Papers!$K$2:$P$12,MATCH(C224,Papers!$A$2:$A$12,0),INDEX(Key!$D$2:$D$263,MATCH(C224*100+B224,Key!$G$2:$G$263,0))),""))</f>
        <v/>
      </c>
      <c r="I224" s="6" t="n"/>
      <c r="J224" s="6" t="n"/>
    </row>
    <row r="225">
      <c r="A225" s="6" t="n"/>
      <c r="B225" s="6" t="n"/>
      <c r="C225">
        <f>IF(A225="","",IFERROR(INDEX(Attempts!$D$2:$D$200,MATCH(A225,Attempts!$A$2:$A$200,0)),"?"))</f>
        <v/>
      </c>
      <c r="D225">
        <f>IF(OR(A225="",B225=""),"",IFERROR(INDEX(Attempts!$M$2:$AP$200,MATCH(A225,Attempts!$A$2:$A$200,0),B225),""))</f>
        <v/>
      </c>
      <c r="E225">
        <f>IF(OR(C225="",B225=""),"",IFERROR(INDEX(Key!$C$2:$C$263,MATCH(C225*100+B225,Key!$G$2:$G$263,0)),""))</f>
        <v/>
      </c>
      <c r="F225">
        <f>IF(OR(C225="",B225=""),"",IFERROR(INDEX(Key!$E$2:$E$263,MATCH(C225*100+B225,Key!$G$2:$G$263,0)),""))</f>
        <v/>
      </c>
      <c r="G225" s="6" t="n"/>
      <c r="H225">
        <f>IF(OR(C225="",B225=""),"",IFERROR(INDEX(Papers!$K$2:$P$12,MATCH(C225,Papers!$A$2:$A$12,0),INDEX(Key!$D$2:$D$263,MATCH(C225*100+B225,Key!$G$2:$G$263,0))),""))</f>
        <v/>
      </c>
      <c r="I225" s="6" t="n"/>
      <c r="J225" s="6" t="n"/>
    </row>
    <row r="226">
      <c r="A226" s="6" t="n"/>
      <c r="B226" s="6" t="n"/>
      <c r="C226">
        <f>IF(A226="","",IFERROR(INDEX(Attempts!$D$2:$D$200,MATCH(A226,Attempts!$A$2:$A$200,0)),"?"))</f>
        <v/>
      </c>
      <c r="D226">
        <f>IF(OR(A226="",B226=""),"",IFERROR(INDEX(Attempts!$M$2:$AP$200,MATCH(A226,Attempts!$A$2:$A$200,0),B226),""))</f>
        <v/>
      </c>
      <c r="E226">
        <f>IF(OR(C226="",B226=""),"",IFERROR(INDEX(Key!$C$2:$C$263,MATCH(C226*100+B226,Key!$G$2:$G$263,0)),""))</f>
        <v/>
      </c>
      <c r="F226">
        <f>IF(OR(C226="",B226=""),"",IFERROR(INDEX(Key!$E$2:$E$263,MATCH(C226*100+B226,Key!$G$2:$G$263,0)),""))</f>
        <v/>
      </c>
      <c r="G226" s="6" t="n"/>
      <c r="H226">
        <f>IF(OR(C226="",B226=""),"",IFERROR(INDEX(Papers!$K$2:$P$12,MATCH(C226,Papers!$A$2:$A$12,0),INDEX(Key!$D$2:$D$263,MATCH(C226*100+B226,Key!$G$2:$G$263,0))),""))</f>
        <v/>
      </c>
      <c r="I226" s="6" t="n"/>
      <c r="J226" s="6" t="n"/>
    </row>
    <row r="227">
      <c r="A227" s="6" t="n"/>
      <c r="B227" s="6" t="n"/>
      <c r="C227">
        <f>IF(A227="","",IFERROR(INDEX(Attempts!$D$2:$D$200,MATCH(A227,Attempts!$A$2:$A$200,0)),"?"))</f>
        <v/>
      </c>
      <c r="D227">
        <f>IF(OR(A227="",B227=""),"",IFERROR(INDEX(Attempts!$M$2:$AP$200,MATCH(A227,Attempts!$A$2:$A$200,0),B227),""))</f>
        <v/>
      </c>
      <c r="E227">
        <f>IF(OR(C227="",B227=""),"",IFERROR(INDEX(Key!$C$2:$C$263,MATCH(C227*100+B227,Key!$G$2:$G$263,0)),""))</f>
        <v/>
      </c>
      <c r="F227">
        <f>IF(OR(C227="",B227=""),"",IFERROR(INDEX(Key!$E$2:$E$263,MATCH(C227*100+B227,Key!$G$2:$G$263,0)),""))</f>
        <v/>
      </c>
      <c r="G227" s="6" t="n"/>
      <c r="H227">
        <f>IF(OR(C227="",B227=""),"",IFERROR(INDEX(Papers!$K$2:$P$12,MATCH(C227,Papers!$A$2:$A$12,0),INDEX(Key!$D$2:$D$263,MATCH(C227*100+B227,Key!$G$2:$G$263,0))),""))</f>
        <v/>
      </c>
      <c r="I227" s="6" t="n"/>
      <c r="J227" s="6" t="n"/>
    </row>
    <row r="228">
      <c r="A228" s="6" t="n"/>
      <c r="B228" s="6" t="n"/>
      <c r="C228">
        <f>IF(A228="","",IFERROR(INDEX(Attempts!$D$2:$D$200,MATCH(A228,Attempts!$A$2:$A$200,0)),"?"))</f>
        <v/>
      </c>
      <c r="D228">
        <f>IF(OR(A228="",B228=""),"",IFERROR(INDEX(Attempts!$M$2:$AP$200,MATCH(A228,Attempts!$A$2:$A$200,0),B228),""))</f>
        <v/>
      </c>
      <c r="E228">
        <f>IF(OR(C228="",B228=""),"",IFERROR(INDEX(Key!$C$2:$C$263,MATCH(C228*100+B228,Key!$G$2:$G$263,0)),""))</f>
        <v/>
      </c>
      <c r="F228">
        <f>IF(OR(C228="",B228=""),"",IFERROR(INDEX(Key!$E$2:$E$263,MATCH(C228*100+B228,Key!$G$2:$G$263,0)),""))</f>
        <v/>
      </c>
      <c r="G228" s="6" t="n"/>
      <c r="H228">
        <f>IF(OR(C228="",B228=""),"",IFERROR(INDEX(Papers!$K$2:$P$12,MATCH(C228,Papers!$A$2:$A$12,0),INDEX(Key!$D$2:$D$263,MATCH(C228*100+B228,Key!$G$2:$G$263,0))),""))</f>
        <v/>
      </c>
      <c r="I228" s="6" t="n"/>
      <c r="J228" s="6" t="n"/>
    </row>
    <row r="229">
      <c r="A229" s="6" t="n"/>
      <c r="B229" s="6" t="n"/>
      <c r="C229">
        <f>IF(A229="","",IFERROR(INDEX(Attempts!$D$2:$D$200,MATCH(A229,Attempts!$A$2:$A$200,0)),"?"))</f>
        <v/>
      </c>
      <c r="D229">
        <f>IF(OR(A229="",B229=""),"",IFERROR(INDEX(Attempts!$M$2:$AP$200,MATCH(A229,Attempts!$A$2:$A$200,0),B229),""))</f>
        <v/>
      </c>
      <c r="E229">
        <f>IF(OR(C229="",B229=""),"",IFERROR(INDEX(Key!$C$2:$C$263,MATCH(C229*100+B229,Key!$G$2:$G$263,0)),""))</f>
        <v/>
      </c>
      <c r="F229">
        <f>IF(OR(C229="",B229=""),"",IFERROR(INDEX(Key!$E$2:$E$263,MATCH(C229*100+B229,Key!$G$2:$G$263,0)),""))</f>
        <v/>
      </c>
      <c r="G229" s="6" t="n"/>
      <c r="H229">
        <f>IF(OR(C229="",B229=""),"",IFERROR(INDEX(Papers!$K$2:$P$12,MATCH(C229,Papers!$A$2:$A$12,0),INDEX(Key!$D$2:$D$263,MATCH(C229*100+B229,Key!$G$2:$G$263,0))),""))</f>
        <v/>
      </c>
      <c r="I229" s="6" t="n"/>
      <c r="J229" s="6" t="n"/>
    </row>
    <row r="230">
      <c r="A230" s="6" t="n"/>
      <c r="B230" s="6" t="n"/>
      <c r="C230">
        <f>IF(A230="","",IFERROR(INDEX(Attempts!$D$2:$D$200,MATCH(A230,Attempts!$A$2:$A$200,0)),"?"))</f>
        <v/>
      </c>
      <c r="D230">
        <f>IF(OR(A230="",B230=""),"",IFERROR(INDEX(Attempts!$M$2:$AP$200,MATCH(A230,Attempts!$A$2:$A$200,0),B230),""))</f>
        <v/>
      </c>
      <c r="E230">
        <f>IF(OR(C230="",B230=""),"",IFERROR(INDEX(Key!$C$2:$C$263,MATCH(C230*100+B230,Key!$G$2:$G$263,0)),""))</f>
        <v/>
      </c>
      <c r="F230">
        <f>IF(OR(C230="",B230=""),"",IFERROR(INDEX(Key!$E$2:$E$263,MATCH(C230*100+B230,Key!$G$2:$G$263,0)),""))</f>
        <v/>
      </c>
      <c r="G230" s="6" t="n"/>
      <c r="H230">
        <f>IF(OR(C230="",B230=""),"",IFERROR(INDEX(Papers!$K$2:$P$12,MATCH(C230,Papers!$A$2:$A$12,0),INDEX(Key!$D$2:$D$263,MATCH(C230*100+B230,Key!$G$2:$G$263,0))),""))</f>
        <v/>
      </c>
      <c r="I230" s="6" t="n"/>
      <c r="J230" s="6" t="n"/>
    </row>
    <row r="231">
      <c r="A231" s="6" t="n"/>
      <c r="B231" s="6" t="n"/>
      <c r="C231">
        <f>IF(A231="","",IFERROR(INDEX(Attempts!$D$2:$D$200,MATCH(A231,Attempts!$A$2:$A$200,0)),"?"))</f>
        <v/>
      </c>
      <c r="D231">
        <f>IF(OR(A231="",B231=""),"",IFERROR(INDEX(Attempts!$M$2:$AP$200,MATCH(A231,Attempts!$A$2:$A$200,0),B231),""))</f>
        <v/>
      </c>
      <c r="E231">
        <f>IF(OR(C231="",B231=""),"",IFERROR(INDEX(Key!$C$2:$C$263,MATCH(C231*100+B231,Key!$G$2:$G$263,0)),""))</f>
        <v/>
      </c>
      <c r="F231">
        <f>IF(OR(C231="",B231=""),"",IFERROR(INDEX(Key!$E$2:$E$263,MATCH(C231*100+B231,Key!$G$2:$G$263,0)),""))</f>
        <v/>
      </c>
      <c r="G231" s="6" t="n"/>
      <c r="H231">
        <f>IF(OR(C231="",B231=""),"",IFERROR(INDEX(Papers!$K$2:$P$12,MATCH(C231,Papers!$A$2:$A$12,0),INDEX(Key!$D$2:$D$263,MATCH(C231*100+B231,Key!$G$2:$G$263,0))),""))</f>
        <v/>
      </c>
      <c r="I231" s="6" t="n"/>
      <c r="J231" s="6" t="n"/>
    </row>
    <row r="232">
      <c r="A232" s="6" t="n"/>
      <c r="B232" s="6" t="n"/>
      <c r="C232">
        <f>IF(A232="","",IFERROR(INDEX(Attempts!$D$2:$D$200,MATCH(A232,Attempts!$A$2:$A$200,0)),"?"))</f>
        <v/>
      </c>
      <c r="D232">
        <f>IF(OR(A232="",B232=""),"",IFERROR(INDEX(Attempts!$M$2:$AP$200,MATCH(A232,Attempts!$A$2:$A$200,0),B232),""))</f>
        <v/>
      </c>
      <c r="E232">
        <f>IF(OR(C232="",B232=""),"",IFERROR(INDEX(Key!$C$2:$C$263,MATCH(C232*100+B232,Key!$G$2:$G$263,0)),""))</f>
        <v/>
      </c>
      <c r="F232">
        <f>IF(OR(C232="",B232=""),"",IFERROR(INDEX(Key!$E$2:$E$263,MATCH(C232*100+B232,Key!$G$2:$G$263,0)),""))</f>
        <v/>
      </c>
      <c r="G232" s="6" t="n"/>
      <c r="H232">
        <f>IF(OR(C232="",B232=""),"",IFERROR(INDEX(Papers!$K$2:$P$12,MATCH(C232,Papers!$A$2:$A$12,0),INDEX(Key!$D$2:$D$263,MATCH(C232*100+B232,Key!$G$2:$G$263,0))),""))</f>
        <v/>
      </c>
      <c r="I232" s="6" t="n"/>
      <c r="J232" s="6" t="n"/>
    </row>
    <row r="233">
      <c r="A233" s="6" t="n"/>
      <c r="B233" s="6" t="n"/>
      <c r="C233">
        <f>IF(A233="","",IFERROR(INDEX(Attempts!$D$2:$D$200,MATCH(A233,Attempts!$A$2:$A$200,0)),"?"))</f>
        <v/>
      </c>
      <c r="D233">
        <f>IF(OR(A233="",B233=""),"",IFERROR(INDEX(Attempts!$M$2:$AP$200,MATCH(A233,Attempts!$A$2:$A$200,0),B233),""))</f>
        <v/>
      </c>
      <c r="E233">
        <f>IF(OR(C233="",B233=""),"",IFERROR(INDEX(Key!$C$2:$C$263,MATCH(C233*100+B233,Key!$G$2:$G$263,0)),""))</f>
        <v/>
      </c>
      <c r="F233">
        <f>IF(OR(C233="",B233=""),"",IFERROR(INDEX(Key!$E$2:$E$263,MATCH(C233*100+B233,Key!$G$2:$G$263,0)),""))</f>
        <v/>
      </c>
      <c r="G233" s="6" t="n"/>
      <c r="H233">
        <f>IF(OR(C233="",B233=""),"",IFERROR(INDEX(Papers!$K$2:$P$12,MATCH(C233,Papers!$A$2:$A$12,0),INDEX(Key!$D$2:$D$263,MATCH(C233*100+B233,Key!$G$2:$G$263,0))),""))</f>
        <v/>
      </c>
      <c r="I233" s="6" t="n"/>
      <c r="J233" s="6" t="n"/>
    </row>
    <row r="234">
      <c r="A234" s="6" t="n"/>
      <c r="B234" s="6" t="n"/>
      <c r="C234">
        <f>IF(A234="","",IFERROR(INDEX(Attempts!$D$2:$D$200,MATCH(A234,Attempts!$A$2:$A$200,0)),"?"))</f>
        <v/>
      </c>
      <c r="D234">
        <f>IF(OR(A234="",B234=""),"",IFERROR(INDEX(Attempts!$M$2:$AP$200,MATCH(A234,Attempts!$A$2:$A$200,0),B234),""))</f>
        <v/>
      </c>
      <c r="E234">
        <f>IF(OR(C234="",B234=""),"",IFERROR(INDEX(Key!$C$2:$C$263,MATCH(C234*100+B234,Key!$G$2:$G$263,0)),""))</f>
        <v/>
      </c>
      <c r="F234">
        <f>IF(OR(C234="",B234=""),"",IFERROR(INDEX(Key!$E$2:$E$263,MATCH(C234*100+B234,Key!$G$2:$G$263,0)),""))</f>
        <v/>
      </c>
      <c r="G234" s="6" t="n"/>
      <c r="H234">
        <f>IF(OR(C234="",B234=""),"",IFERROR(INDEX(Papers!$K$2:$P$12,MATCH(C234,Papers!$A$2:$A$12,0),INDEX(Key!$D$2:$D$263,MATCH(C234*100+B234,Key!$G$2:$G$263,0))),""))</f>
        <v/>
      </c>
      <c r="I234" s="6" t="n"/>
      <c r="J234" s="6" t="n"/>
    </row>
    <row r="235">
      <c r="A235" s="6" t="n"/>
      <c r="B235" s="6" t="n"/>
      <c r="C235">
        <f>IF(A235="","",IFERROR(INDEX(Attempts!$D$2:$D$200,MATCH(A235,Attempts!$A$2:$A$200,0)),"?"))</f>
        <v/>
      </c>
      <c r="D235">
        <f>IF(OR(A235="",B235=""),"",IFERROR(INDEX(Attempts!$M$2:$AP$200,MATCH(A235,Attempts!$A$2:$A$200,0),B235),""))</f>
        <v/>
      </c>
      <c r="E235">
        <f>IF(OR(C235="",B235=""),"",IFERROR(INDEX(Key!$C$2:$C$263,MATCH(C235*100+B235,Key!$G$2:$G$263,0)),""))</f>
        <v/>
      </c>
      <c r="F235">
        <f>IF(OR(C235="",B235=""),"",IFERROR(INDEX(Key!$E$2:$E$263,MATCH(C235*100+B235,Key!$G$2:$G$263,0)),""))</f>
        <v/>
      </c>
      <c r="G235" s="6" t="n"/>
      <c r="H235">
        <f>IF(OR(C235="",B235=""),"",IFERROR(INDEX(Papers!$K$2:$P$12,MATCH(C235,Papers!$A$2:$A$12,0),INDEX(Key!$D$2:$D$263,MATCH(C235*100+B235,Key!$G$2:$G$263,0))),""))</f>
        <v/>
      </c>
      <c r="I235" s="6" t="n"/>
      <c r="J235" s="6" t="n"/>
    </row>
    <row r="236">
      <c r="A236" s="6" t="n"/>
      <c r="B236" s="6" t="n"/>
      <c r="C236">
        <f>IF(A236="","",IFERROR(INDEX(Attempts!$D$2:$D$200,MATCH(A236,Attempts!$A$2:$A$200,0)),"?"))</f>
        <v/>
      </c>
      <c r="D236">
        <f>IF(OR(A236="",B236=""),"",IFERROR(INDEX(Attempts!$M$2:$AP$200,MATCH(A236,Attempts!$A$2:$A$200,0),B236),""))</f>
        <v/>
      </c>
      <c r="E236">
        <f>IF(OR(C236="",B236=""),"",IFERROR(INDEX(Key!$C$2:$C$263,MATCH(C236*100+B236,Key!$G$2:$G$263,0)),""))</f>
        <v/>
      </c>
      <c r="F236">
        <f>IF(OR(C236="",B236=""),"",IFERROR(INDEX(Key!$E$2:$E$263,MATCH(C236*100+B236,Key!$G$2:$G$263,0)),""))</f>
        <v/>
      </c>
      <c r="G236" s="6" t="n"/>
      <c r="H236">
        <f>IF(OR(C236="",B236=""),"",IFERROR(INDEX(Papers!$K$2:$P$12,MATCH(C236,Papers!$A$2:$A$12,0),INDEX(Key!$D$2:$D$263,MATCH(C236*100+B236,Key!$G$2:$G$263,0))),""))</f>
        <v/>
      </c>
      <c r="I236" s="6" t="n"/>
      <c r="J236" s="6" t="n"/>
    </row>
    <row r="237">
      <c r="A237" s="6" t="n"/>
      <c r="B237" s="6" t="n"/>
      <c r="C237">
        <f>IF(A237="","",IFERROR(INDEX(Attempts!$D$2:$D$200,MATCH(A237,Attempts!$A$2:$A$200,0)),"?"))</f>
        <v/>
      </c>
      <c r="D237">
        <f>IF(OR(A237="",B237=""),"",IFERROR(INDEX(Attempts!$M$2:$AP$200,MATCH(A237,Attempts!$A$2:$A$200,0),B237),""))</f>
        <v/>
      </c>
      <c r="E237">
        <f>IF(OR(C237="",B237=""),"",IFERROR(INDEX(Key!$C$2:$C$263,MATCH(C237*100+B237,Key!$G$2:$G$263,0)),""))</f>
        <v/>
      </c>
      <c r="F237">
        <f>IF(OR(C237="",B237=""),"",IFERROR(INDEX(Key!$E$2:$E$263,MATCH(C237*100+B237,Key!$G$2:$G$263,0)),""))</f>
        <v/>
      </c>
      <c r="G237" s="6" t="n"/>
      <c r="H237">
        <f>IF(OR(C237="",B237=""),"",IFERROR(INDEX(Papers!$K$2:$P$12,MATCH(C237,Papers!$A$2:$A$12,0),INDEX(Key!$D$2:$D$263,MATCH(C237*100+B237,Key!$G$2:$G$263,0))),""))</f>
        <v/>
      </c>
      <c r="I237" s="6" t="n"/>
      <c r="J237" s="6" t="n"/>
    </row>
    <row r="238">
      <c r="A238" s="6" t="n"/>
      <c r="B238" s="6" t="n"/>
      <c r="C238">
        <f>IF(A238="","",IFERROR(INDEX(Attempts!$D$2:$D$200,MATCH(A238,Attempts!$A$2:$A$200,0)),"?"))</f>
        <v/>
      </c>
      <c r="D238">
        <f>IF(OR(A238="",B238=""),"",IFERROR(INDEX(Attempts!$M$2:$AP$200,MATCH(A238,Attempts!$A$2:$A$200,0),B238),""))</f>
        <v/>
      </c>
      <c r="E238">
        <f>IF(OR(C238="",B238=""),"",IFERROR(INDEX(Key!$C$2:$C$263,MATCH(C238*100+B238,Key!$G$2:$G$263,0)),""))</f>
        <v/>
      </c>
      <c r="F238">
        <f>IF(OR(C238="",B238=""),"",IFERROR(INDEX(Key!$E$2:$E$263,MATCH(C238*100+B238,Key!$G$2:$G$263,0)),""))</f>
        <v/>
      </c>
      <c r="G238" s="6" t="n"/>
      <c r="H238">
        <f>IF(OR(C238="",B238=""),"",IFERROR(INDEX(Papers!$K$2:$P$12,MATCH(C238,Papers!$A$2:$A$12,0),INDEX(Key!$D$2:$D$263,MATCH(C238*100+B238,Key!$G$2:$G$263,0))),""))</f>
        <v/>
      </c>
      <c r="I238" s="6" t="n"/>
      <c r="J238" s="6" t="n"/>
    </row>
    <row r="239">
      <c r="A239" s="6" t="n"/>
      <c r="B239" s="6" t="n"/>
      <c r="C239">
        <f>IF(A239="","",IFERROR(INDEX(Attempts!$D$2:$D$200,MATCH(A239,Attempts!$A$2:$A$200,0)),"?"))</f>
        <v/>
      </c>
      <c r="D239">
        <f>IF(OR(A239="",B239=""),"",IFERROR(INDEX(Attempts!$M$2:$AP$200,MATCH(A239,Attempts!$A$2:$A$200,0),B239),""))</f>
        <v/>
      </c>
      <c r="E239">
        <f>IF(OR(C239="",B239=""),"",IFERROR(INDEX(Key!$C$2:$C$263,MATCH(C239*100+B239,Key!$G$2:$G$263,0)),""))</f>
        <v/>
      </c>
      <c r="F239">
        <f>IF(OR(C239="",B239=""),"",IFERROR(INDEX(Key!$E$2:$E$263,MATCH(C239*100+B239,Key!$G$2:$G$263,0)),""))</f>
        <v/>
      </c>
      <c r="G239" s="6" t="n"/>
      <c r="H239">
        <f>IF(OR(C239="",B239=""),"",IFERROR(INDEX(Papers!$K$2:$P$12,MATCH(C239,Papers!$A$2:$A$12,0),INDEX(Key!$D$2:$D$263,MATCH(C239*100+B239,Key!$G$2:$G$263,0))),""))</f>
        <v/>
      </c>
      <c r="I239" s="6" t="n"/>
      <c r="J239" s="6" t="n"/>
    </row>
    <row r="240">
      <c r="A240" s="6" t="n"/>
      <c r="B240" s="6" t="n"/>
      <c r="C240">
        <f>IF(A240="","",IFERROR(INDEX(Attempts!$D$2:$D$200,MATCH(A240,Attempts!$A$2:$A$200,0)),"?"))</f>
        <v/>
      </c>
      <c r="D240">
        <f>IF(OR(A240="",B240=""),"",IFERROR(INDEX(Attempts!$M$2:$AP$200,MATCH(A240,Attempts!$A$2:$A$200,0),B240),""))</f>
        <v/>
      </c>
      <c r="E240">
        <f>IF(OR(C240="",B240=""),"",IFERROR(INDEX(Key!$C$2:$C$263,MATCH(C240*100+B240,Key!$G$2:$G$263,0)),""))</f>
        <v/>
      </c>
      <c r="F240">
        <f>IF(OR(C240="",B240=""),"",IFERROR(INDEX(Key!$E$2:$E$263,MATCH(C240*100+B240,Key!$G$2:$G$263,0)),""))</f>
        <v/>
      </c>
      <c r="G240" s="6" t="n"/>
      <c r="H240">
        <f>IF(OR(C240="",B240=""),"",IFERROR(INDEX(Papers!$K$2:$P$12,MATCH(C240,Papers!$A$2:$A$12,0),INDEX(Key!$D$2:$D$263,MATCH(C240*100+B240,Key!$G$2:$G$263,0))),""))</f>
        <v/>
      </c>
      <c r="I240" s="6" t="n"/>
      <c r="J240" s="6" t="n"/>
    </row>
    <row r="241">
      <c r="A241" s="6" t="n"/>
      <c r="B241" s="6" t="n"/>
      <c r="C241">
        <f>IF(A241="","",IFERROR(INDEX(Attempts!$D$2:$D$200,MATCH(A241,Attempts!$A$2:$A$200,0)),"?"))</f>
        <v/>
      </c>
      <c r="D241">
        <f>IF(OR(A241="",B241=""),"",IFERROR(INDEX(Attempts!$M$2:$AP$200,MATCH(A241,Attempts!$A$2:$A$200,0),B241),""))</f>
        <v/>
      </c>
      <c r="E241">
        <f>IF(OR(C241="",B241=""),"",IFERROR(INDEX(Key!$C$2:$C$263,MATCH(C241*100+B241,Key!$G$2:$G$263,0)),""))</f>
        <v/>
      </c>
      <c r="F241">
        <f>IF(OR(C241="",B241=""),"",IFERROR(INDEX(Key!$E$2:$E$263,MATCH(C241*100+B241,Key!$G$2:$G$263,0)),""))</f>
        <v/>
      </c>
      <c r="G241" s="6" t="n"/>
      <c r="H241">
        <f>IF(OR(C241="",B241=""),"",IFERROR(INDEX(Papers!$K$2:$P$12,MATCH(C241,Papers!$A$2:$A$12,0),INDEX(Key!$D$2:$D$263,MATCH(C241*100+B241,Key!$G$2:$G$263,0))),""))</f>
        <v/>
      </c>
      <c r="I241" s="6" t="n"/>
      <c r="J241" s="6" t="n"/>
    </row>
    <row r="242">
      <c r="A242" s="6" t="n"/>
      <c r="B242" s="6" t="n"/>
      <c r="C242">
        <f>IF(A242="","",IFERROR(INDEX(Attempts!$D$2:$D$200,MATCH(A242,Attempts!$A$2:$A$200,0)),"?"))</f>
        <v/>
      </c>
      <c r="D242">
        <f>IF(OR(A242="",B242=""),"",IFERROR(INDEX(Attempts!$M$2:$AP$200,MATCH(A242,Attempts!$A$2:$A$200,0),B242),""))</f>
        <v/>
      </c>
      <c r="E242">
        <f>IF(OR(C242="",B242=""),"",IFERROR(INDEX(Key!$C$2:$C$263,MATCH(C242*100+B242,Key!$G$2:$G$263,0)),""))</f>
        <v/>
      </c>
      <c r="F242">
        <f>IF(OR(C242="",B242=""),"",IFERROR(INDEX(Key!$E$2:$E$263,MATCH(C242*100+B242,Key!$G$2:$G$263,0)),""))</f>
        <v/>
      </c>
      <c r="G242" s="6" t="n"/>
      <c r="H242">
        <f>IF(OR(C242="",B242=""),"",IFERROR(INDEX(Papers!$K$2:$P$12,MATCH(C242,Papers!$A$2:$A$12,0),INDEX(Key!$D$2:$D$263,MATCH(C242*100+B242,Key!$G$2:$G$263,0))),""))</f>
        <v/>
      </c>
      <c r="I242" s="6" t="n"/>
      <c r="J242" s="6" t="n"/>
    </row>
    <row r="243">
      <c r="A243" s="6" t="n"/>
      <c r="B243" s="6" t="n"/>
      <c r="C243">
        <f>IF(A243="","",IFERROR(INDEX(Attempts!$D$2:$D$200,MATCH(A243,Attempts!$A$2:$A$200,0)),"?"))</f>
        <v/>
      </c>
      <c r="D243">
        <f>IF(OR(A243="",B243=""),"",IFERROR(INDEX(Attempts!$M$2:$AP$200,MATCH(A243,Attempts!$A$2:$A$200,0),B243),""))</f>
        <v/>
      </c>
      <c r="E243">
        <f>IF(OR(C243="",B243=""),"",IFERROR(INDEX(Key!$C$2:$C$263,MATCH(C243*100+B243,Key!$G$2:$G$263,0)),""))</f>
        <v/>
      </c>
      <c r="F243">
        <f>IF(OR(C243="",B243=""),"",IFERROR(INDEX(Key!$E$2:$E$263,MATCH(C243*100+B243,Key!$G$2:$G$263,0)),""))</f>
        <v/>
      </c>
      <c r="G243" s="6" t="n"/>
      <c r="H243">
        <f>IF(OR(C243="",B243=""),"",IFERROR(INDEX(Papers!$K$2:$P$12,MATCH(C243,Papers!$A$2:$A$12,0),INDEX(Key!$D$2:$D$263,MATCH(C243*100+B243,Key!$G$2:$G$263,0))),""))</f>
        <v/>
      </c>
      <c r="I243" s="6" t="n"/>
      <c r="J243" s="6" t="n"/>
    </row>
    <row r="244">
      <c r="A244" s="6" t="n"/>
      <c r="B244" s="6" t="n"/>
      <c r="C244">
        <f>IF(A244="","",IFERROR(INDEX(Attempts!$D$2:$D$200,MATCH(A244,Attempts!$A$2:$A$200,0)),"?"))</f>
        <v/>
      </c>
      <c r="D244">
        <f>IF(OR(A244="",B244=""),"",IFERROR(INDEX(Attempts!$M$2:$AP$200,MATCH(A244,Attempts!$A$2:$A$200,0),B244),""))</f>
        <v/>
      </c>
      <c r="E244">
        <f>IF(OR(C244="",B244=""),"",IFERROR(INDEX(Key!$C$2:$C$263,MATCH(C244*100+B244,Key!$G$2:$G$263,0)),""))</f>
        <v/>
      </c>
      <c r="F244">
        <f>IF(OR(C244="",B244=""),"",IFERROR(INDEX(Key!$E$2:$E$263,MATCH(C244*100+B244,Key!$G$2:$G$263,0)),""))</f>
        <v/>
      </c>
      <c r="G244" s="6" t="n"/>
      <c r="H244">
        <f>IF(OR(C244="",B244=""),"",IFERROR(INDEX(Papers!$K$2:$P$12,MATCH(C244,Papers!$A$2:$A$12,0),INDEX(Key!$D$2:$D$263,MATCH(C244*100+B244,Key!$G$2:$G$263,0))),""))</f>
        <v/>
      </c>
      <c r="I244" s="6" t="n"/>
      <c r="J244" s="6" t="n"/>
    </row>
    <row r="245">
      <c r="A245" s="6" t="n"/>
      <c r="B245" s="6" t="n"/>
      <c r="C245">
        <f>IF(A245="","",IFERROR(INDEX(Attempts!$D$2:$D$200,MATCH(A245,Attempts!$A$2:$A$200,0)),"?"))</f>
        <v/>
      </c>
      <c r="D245">
        <f>IF(OR(A245="",B245=""),"",IFERROR(INDEX(Attempts!$M$2:$AP$200,MATCH(A245,Attempts!$A$2:$A$200,0),B245),""))</f>
        <v/>
      </c>
      <c r="E245">
        <f>IF(OR(C245="",B245=""),"",IFERROR(INDEX(Key!$C$2:$C$263,MATCH(C245*100+B245,Key!$G$2:$G$263,0)),""))</f>
        <v/>
      </c>
      <c r="F245">
        <f>IF(OR(C245="",B245=""),"",IFERROR(INDEX(Key!$E$2:$E$263,MATCH(C245*100+B245,Key!$G$2:$G$263,0)),""))</f>
        <v/>
      </c>
      <c r="G245" s="6" t="n"/>
      <c r="H245">
        <f>IF(OR(C245="",B245=""),"",IFERROR(INDEX(Papers!$K$2:$P$12,MATCH(C245,Papers!$A$2:$A$12,0),INDEX(Key!$D$2:$D$263,MATCH(C245*100+B245,Key!$G$2:$G$263,0))),""))</f>
        <v/>
      </c>
      <c r="I245" s="6" t="n"/>
      <c r="J245" s="6" t="n"/>
    </row>
    <row r="246">
      <c r="A246" s="6" t="n"/>
      <c r="B246" s="6" t="n"/>
      <c r="C246">
        <f>IF(A246="","",IFERROR(INDEX(Attempts!$D$2:$D$200,MATCH(A246,Attempts!$A$2:$A$200,0)),"?"))</f>
        <v/>
      </c>
      <c r="D246">
        <f>IF(OR(A246="",B246=""),"",IFERROR(INDEX(Attempts!$M$2:$AP$200,MATCH(A246,Attempts!$A$2:$A$200,0),B246),""))</f>
        <v/>
      </c>
      <c r="E246">
        <f>IF(OR(C246="",B246=""),"",IFERROR(INDEX(Key!$C$2:$C$263,MATCH(C246*100+B246,Key!$G$2:$G$263,0)),""))</f>
        <v/>
      </c>
      <c r="F246">
        <f>IF(OR(C246="",B246=""),"",IFERROR(INDEX(Key!$E$2:$E$263,MATCH(C246*100+B246,Key!$G$2:$G$263,0)),""))</f>
        <v/>
      </c>
      <c r="G246" s="6" t="n"/>
      <c r="H246">
        <f>IF(OR(C246="",B246=""),"",IFERROR(INDEX(Papers!$K$2:$P$12,MATCH(C246,Papers!$A$2:$A$12,0),INDEX(Key!$D$2:$D$263,MATCH(C246*100+B246,Key!$G$2:$G$263,0))),""))</f>
        <v/>
      </c>
      <c r="I246" s="6" t="n"/>
      <c r="J246" s="6" t="n"/>
    </row>
    <row r="247">
      <c r="A247" s="6" t="n"/>
      <c r="B247" s="6" t="n"/>
      <c r="C247">
        <f>IF(A247="","",IFERROR(INDEX(Attempts!$D$2:$D$200,MATCH(A247,Attempts!$A$2:$A$200,0)),"?"))</f>
        <v/>
      </c>
      <c r="D247">
        <f>IF(OR(A247="",B247=""),"",IFERROR(INDEX(Attempts!$M$2:$AP$200,MATCH(A247,Attempts!$A$2:$A$200,0),B247),""))</f>
        <v/>
      </c>
      <c r="E247">
        <f>IF(OR(C247="",B247=""),"",IFERROR(INDEX(Key!$C$2:$C$263,MATCH(C247*100+B247,Key!$G$2:$G$263,0)),""))</f>
        <v/>
      </c>
      <c r="F247">
        <f>IF(OR(C247="",B247=""),"",IFERROR(INDEX(Key!$E$2:$E$263,MATCH(C247*100+B247,Key!$G$2:$G$263,0)),""))</f>
        <v/>
      </c>
      <c r="G247" s="6" t="n"/>
      <c r="H247">
        <f>IF(OR(C247="",B247=""),"",IFERROR(INDEX(Papers!$K$2:$P$12,MATCH(C247,Papers!$A$2:$A$12,0),INDEX(Key!$D$2:$D$263,MATCH(C247*100+B247,Key!$G$2:$G$263,0))),""))</f>
        <v/>
      </c>
      <c r="I247" s="6" t="n"/>
      <c r="J247" s="6" t="n"/>
    </row>
    <row r="248">
      <c r="A248" s="6" t="n"/>
      <c r="B248" s="6" t="n"/>
      <c r="C248">
        <f>IF(A248="","",IFERROR(INDEX(Attempts!$D$2:$D$200,MATCH(A248,Attempts!$A$2:$A$200,0)),"?"))</f>
        <v/>
      </c>
      <c r="D248">
        <f>IF(OR(A248="",B248=""),"",IFERROR(INDEX(Attempts!$M$2:$AP$200,MATCH(A248,Attempts!$A$2:$A$200,0),B248),""))</f>
        <v/>
      </c>
      <c r="E248">
        <f>IF(OR(C248="",B248=""),"",IFERROR(INDEX(Key!$C$2:$C$263,MATCH(C248*100+B248,Key!$G$2:$G$263,0)),""))</f>
        <v/>
      </c>
      <c r="F248">
        <f>IF(OR(C248="",B248=""),"",IFERROR(INDEX(Key!$E$2:$E$263,MATCH(C248*100+B248,Key!$G$2:$G$263,0)),""))</f>
        <v/>
      </c>
      <c r="G248" s="6" t="n"/>
      <c r="H248">
        <f>IF(OR(C248="",B248=""),"",IFERROR(INDEX(Papers!$K$2:$P$12,MATCH(C248,Papers!$A$2:$A$12,0),INDEX(Key!$D$2:$D$263,MATCH(C248*100+B248,Key!$G$2:$G$263,0))),""))</f>
        <v/>
      </c>
      <c r="I248" s="6" t="n"/>
      <c r="J248" s="6" t="n"/>
    </row>
    <row r="249">
      <c r="A249" s="6" t="n"/>
      <c r="B249" s="6" t="n"/>
      <c r="C249">
        <f>IF(A249="","",IFERROR(INDEX(Attempts!$D$2:$D$200,MATCH(A249,Attempts!$A$2:$A$200,0)),"?"))</f>
        <v/>
      </c>
      <c r="D249">
        <f>IF(OR(A249="",B249=""),"",IFERROR(INDEX(Attempts!$M$2:$AP$200,MATCH(A249,Attempts!$A$2:$A$200,0),B249),""))</f>
        <v/>
      </c>
      <c r="E249">
        <f>IF(OR(C249="",B249=""),"",IFERROR(INDEX(Key!$C$2:$C$263,MATCH(C249*100+B249,Key!$G$2:$G$263,0)),""))</f>
        <v/>
      </c>
      <c r="F249">
        <f>IF(OR(C249="",B249=""),"",IFERROR(INDEX(Key!$E$2:$E$263,MATCH(C249*100+B249,Key!$G$2:$G$263,0)),""))</f>
        <v/>
      </c>
      <c r="G249" s="6" t="n"/>
      <c r="H249">
        <f>IF(OR(C249="",B249=""),"",IFERROR(INDEX(Papers!$K$2:$P$12,MATCH(C249,Papers!$A$2:$A$12,0),INDEX(Key!$D$2:$D$263,MATCH(C249*100+B249,Key!$G$2:$G$263,0))),""))</f>
        <v/>
      </c>
      <c r="I249" s="6" t="n"/>
      <c r="J249" s="6" t="n"/>
    </row>
    <row r="250">
      <c r="A250" s="6" t="n"/>
      <c r="B250" s="6" t="n"/>
      <c r="C250">
        <f>IF(A250="","",IFERROR(INDEX(Attempts!$D$2:$D$200,MATCH(A250,Attempts!$A$2:$A$200,0)),"?"))</f>
        <v/>
      </c>
      <c r="D250">
        <f>IF(OR(A250="",B250=""),"",IFERROR(INDEX(Attempts!$M$2:$AP$200,MATCH(A250,Attempts!$A$2:$A$200,0),B250),""))</f>
        <v/>
      </c>
      <c r="E250">
        <f>IF(OR(C250="",B250=""),"",IFERROR(INDEX(Key!$C$2:$C$263,MATCH(C250*100+B250,Key!$G$2:$G$263,0)),""))</f>
        <v/>
      </c>
      <c r="F250">
        <f>IF(OR(C250="",B250=""),"",IFERROR(INDEX(Key!$E$2:$E$263,MATCH(C250*100+B250,Key!$G$2:$G$263,0)),""))</f>
        <v/>
      </c>
      <c r="G250" s="6" t="n"/>
      <c r="H250">
        <f>IF(OR(C250="",B250=""),"",IFERROR(INDEX(Papers!$K$2:$P$12,MATCH(C250,Papers!$A$2:$A$12,0),INDEX(Key!$D$2:$D$263,MATCH(C250*100+B250,Key!$G$2:$G$263,0))),""))</f>
        <v/>
      </c>
      <c r="I250" s="6" t="n"/>
      <c r="J250" s="6" t="n"/>
    </row>
    <row r="251">
      <c r="A251" s="6" t="n"/>
      <c r="B251" s="6" t="n"/>
      <c r="C251">
        <f>IF(A251="","",IFERROR(INDEX(Attempts!$D$2:$D$200,MATCH(A251,Attempts!$A$2:$A$200,0)),"?"))</f>
        <v/>
      </c>
      <c r="D251">
        <f>IF(OR(A251="",B251=""),"",IFERROR(INDEX(Attempts!$M$2:$AP$200,MATCH(A251,Attempts!$A$2:$A$200,0),B251),""))</f>
        <v/>
      </c>
      <c r="E251">
        <f>IF(OR(C251="",B251=""),"",IFERROR(INDEX(Key!$C$2:$C$263,MATCH(C251*100+B251,Key!$G$2:$G$263,0)),""))</f>
        <v/>
      </c>
      <c r="F251">
        <f>IF(OR(C251="",B251=""),"",IFERROR(INDEX(Key!$E$2:$E$263,MATCH(C251*100+B251,Key!$G$2:$G$263,0)),""))</f>
        <v/>
      </c>
      <c r="G251" s="6" t="n"/>
      <c r="H251">
        <f>IF(OR(C251="",B251=""),"",IFERROR(INDEX(Papers!$K$2:$P$12,MATCH(C251,Papers!$A$2:$A$12,0),INDEX(Key!$D$2:$D$263,MATCH(C251*100+B251,Key!$G$2:$G$263,0))),""))</f>
        <v/>
      </c>
      <c r="I251" s="6" t="n"/>
      <c r="J251" s="6" t="n"/>
    </row>
    <row r="252">
      <c r="A252" s="6" t="n"/>
      <c r="B252" s="6" t="n"/>
      <c r="C252">
        <f>IF(A252="","",IFERROR(INDEX(Attempts!$D$2:$D$200,MATCH(A252,Attempts!$A$2:$A$200,0)),"?"))</f>
        <v/>
      </c>
      <c r="D252">
        <f>IF(OR(A252="",B252=""),"",IFERROR(INDEX(Attempts!$M$2:$AP$200,MATCH(A252,Attempts!$A$2:$A$200,0),B252),""))</f>
        <v/>
      </c>
      <c r="E252">
        <f>IF(OR(C252="",B252=""),"",IFERROR(INDEX(Key!$C$2:$C$263,MATCH(C252*100+B252,Key!$G$2:$G$263,0)),""))</f>
        <v/>
      </c>
      <c r="F252">
        <f>IF(OR(C252="",B252=""),"",IFERROR(INDEX(Key!$E$2:$E$263,MATCH(C252*100+B252,Key!$G$2:$G$263,0)),""))</f>
        <v/>
      </c>
      <c r="G252" s="6" t="n"/>
      <c r="H252">
        <f>IF(OR(C252="",B252=""),"",IFERROR(INDEX(Papers!$K$2:$P$12,MATCH(C252,Papers!$A$2:$A$12,0),INDEX(Key!$D$2:$D$263,MATCH(C252*100+B252,Key!$G$2:$G$263,0))),""))</f>
        <v/>
      </c>
      <c r="I252" s="6" t="n"/>
      <c r="J252" s="6" t="n"/>
    </row>
    <row r="253">
      <c r="A253" s="6" t="n"/>
      <c r="B253" s="6" t="n"/>
      <c r="C253">
        <f>IF(A253="","",IFERROR(INDEX(Attempts!$D$2:$D$200,MATCH(A253,Attempts!$A$2:$A$200,0)),"?"))</f>
        <v/>
      </c>
      <c r="D253">
        <f>IF(OR(A253="",B253=""),"",IFERROR(INDEX(Attempts!$M$2:$AP$200,MATCH(A253,Attempts!$A$2:$A$200,0),B253),""))</f>
        <v/>
      </c>
      <c r="E253">
        <f>IF(OR(C253="",B253=""),"",IFERROR(INDEX(Key!$C$2:$C$263,MATCH(C253*100+B253,Key!$G$2:$G$263,0)),""))</f>
        <v/>
      </c>
      <c r="F253">
        <f>IF(OR(C253="",B253=""),"",IFERROR(INDEX(Key!$E$2:$E$263,MATCH(C253*100+B253,Key!$G$2:$G$263,0)),""))</f>
        <v/>
      </c>
      <c r="G253" s="6" t="n"/>
      <c r="H253">
        <f>IF(OR(C253="",B253=""),"",IFERROR(INDEX(Papers!$K$2:$P$12,MATCH(C253,Papers!$A$2:$A$12,0),INDEX(Key!$D$2:$D$263,MATCH(C253*100+B253,Key!$G$2:$G$263,0))),""))</f>
        <v/>
      </c>
      <c r="I253" s="6" t="n"/>
      <c r="J253" s="6" t="n"/>
    </row>
    <row r="254">
      <c r="A254" s="6" t="n"/>
      <c r="B254" s="6" t="n"/>
      <c r="C254">
        <f>IF(A254="","",IFERROR(INDEX(Attempts!$D$2:$D$200,MATCH(A254,Attempts!$A$2:$A$200,0)),"?"))</f>
        <v/>
      </c>
      <c r="D254">
        <f>IF(OR(A254="",B254=""),"",IFERROR(INDEX(Attempts!$M$2:$AP$200,MATCH(A254,Attempts!$A$2:$A$200,0),B254),""))</f>
        <v/>
      </c>
      <c r="E254">
        <f>IF(OR(C254="",B254=""),"",IFERROR(INDEX(Key!$C$2:$C$263,MATCH(C254*100+B254,Key!$G$2:$G$263,0)),""))</f>
        <v/>
      </c>
      <c r="F254">
        <f>IF(OR(C254="",B254=""),"",IFERROR(INDEX(Key!$E$2:$E$263,MATCH(C254*100+B254,Key!$G$2:$G$263,0)),""))</f>
        <v/>
      </c>
      <c r="G254" s="6" t="n"/>
      <c r="H254">
        <f>IF(OR(C254="",B254=""),"",IFERROR(INDEX(Papers!$K$2:$P$12,MATCH(C254,Papers!$A$2:$A$12,0),INDEX(Key!$D$2:$D$263,MATCH(C254*100+B254,Key!$G$2:$G$263,0))),""))</f>
        <v/>
      </c>
      <c r="I254" s="6" t="n"/>
      <c r="J254" s="6" t="n"/>
    </row>
    <row r="255">
      <c r="A255" s="6" t="n"/>
      <c r="B255" s="6" t="n"/>
      <c r="C255">
        <f>IF(A255="","",IFERROR(INDEX(Attempts!$D$2:$D$200,MATCH(A255,Attempts!$A$2:$A$200,0)),"?"))</f>
        <v/>
      </c>
      <c r="D255">
        <f>IF(OR(A255="",B255=""),"",IFERROR(INDEX(Attempts!$M$2:$AP$200,MATCH(A255,Attempts!$A$2:$A$200,0),B255),""))</f>
        <v/>
      </c>
      <c r="E255">
        <f>IF(OR(C255="",B255=""),"",IFERROR(INDEX(Key!$C$2:$C$263,MATCH(C255*100+B255,Key!$G$2:$G$263,0)),""))</f>
        <v/>
      </c>
      <c r="F255">
        <f>IF(OR(C255="",B255=""),"",IFERROR(INDEX(Key!$E$2:$E$263,MATCH(C255*100+B255,Key!$G$2:$G$263,0)),""))</f>
        <v/>
      </c>
      <c r="G255" s="6" t="n"/>
      <c r="H255">
        <f>IF(OR(C255="",B255=""),"",IFERROR(INDEX(Papers!$K$2:$P$12,MATCH(C255,Papers!$A$2:$A$12,0),INDEX(Key!$D$2:$D$263,MATCH(C255*100+B255,Key!$G$2:$G$263,0))),""))</f>
        <v/>
      </c>
      <c r="I255" s="6" t="n"/>
      <c r="J255" s="6" t="n"/>
    </row>
    <row r="256">
      <c r="A256" s="6" t="n"/>
      <c r="B256" s="6" t="n"/>
      <c r="C256">
        <f>IF(A256="","",IFERROR(INDEX(Attempts!$D$2:$D$200,MATCH(A256,Attempts!$A$2:$A$200,0)),"?"))</f>
        <v/>
      </c>
      <c r="D256">
        <f>IF(OR(A256="",B256=""),"",IFERROR(INDEX(Attempts!$M$2:$AP$200,MATCH(A256,Attempts!$A$2:$A$200,0),B256),""))</f>
        <v/>
      </c>
      <c r="E256">
        <f>IF(OR(C256="",B256=""),"",IFERROR(INDEX(Key!$C$2:$C$263,MATCH(C256*100+B256,Key!$G$2:$G$263,0)),""))</f>
        <v/>
      </c>
      <c r="F256">
        <f>IF(OR(C256="",B256=""),"",IFERROR(INDEX(Key!$E$2:$E$263,MATCH(C256*100+B256,Key!$G$2:$G$263,0)),""))</f>
        <v/>
      </c>
      <c r="G256" s="6" t="n"/>
      <c r="H256">
        <f>IF(OR(C256="",B256=""),"",IFERROR(INDEX(Papers!$K$2:$P$12,MATCH(C256,Papers!$A$2:$A$12,0),INDEX(Key!$D$2:$D$263,MATCH(C256*100+B256,Key!$G$2:$G$263,0))),""))</f>
        <v/>
      </c>
      <c r="I256" s="6" t="n"/>
      <c r="J256" s="6" t="n"/>
    </row>
    <row r="257">
      <c r="A257" s="6" t="n"/>
      <c r="B257" s="6" t="n"/>
      <c r="C257">
        <f>IF(A257="","",IFERROR(INDEX(Attempts!$D$2:$D$200,MATCH(A257,Attempts!$A$2:$A$200,0)),"?"))</f>
        <v/>
      </c>
      <c r="D257">
        <f>IF(OR(A257="",B257=""),"",IFERROR(INDEX(Attempts!$M$2:$AP$200,MATCH(A257,Attempts!$A$2:$A$200,0),B257),""))</f>
        <v/>
      </c>
      <c r="E257">
        <f>IF(OR(C257="",B257=""),"",IFERROR(INDEX(Key!$C$2:$C$263,MATCH(C257*100+B257,Key!$G$2:$G$263,0)),""))</f>
        <v/>
      </c>
      <c r="F257">
        <f>IF(OR(C257="",B257=""),"",IFERROR(INDEX(Key!$E$2:$E$263,MATCH(C257*100+B257,Key!$G$2:$G$263,0)),""))</f>
        <v/>
      </c>
      <c r="G257" s="6" t="n"/>
      <c r="H257">
        <f>IF(OR(C257="",B257=""),"",IFERROR(INDEX(Papers!$K$2:$P$12,MATCH(C257,Papers!$A$2:$A$12,0),INDEX(Key!$D$2:$D$263,MATCH(C257*100+B257,Key!$G$2:$G$263,0))),""))</f>
        <v/>
      </c>
      <c r="I257" s="6" t="n"/>
      <c r="J257" s="6" t="n"/>
    </row>
    <row r="258">
      <c r="A258" s="6" t="n"/>
      <c r="B258" s="6" t="n"/>
      <c r="C258">
        <f>IF(A258="","",IFERROR(INDEX(Attempts!$D$2:$D$200,MATCH(A258,Attempts!$A$2:$A$200,0)),"?"))</f>
        <v/>
      </c>
      <c r="D258">
        <f>IF(OR(A258="",B258=""),"",IFERROR(INDEX(Attempts!$M$2:$AP$200,MATCH(A258,Attempts!$A$2:$A$200,0),B258),""))</f>
        <v/>
      </c>
      <c r="E258">
        <f>IF(OR(C258="",B258=""),"",IFERROR(INDEX(Key!$C$2:$C$263,MATCH(C258*100+B258,Key!$G$2:$G$263,0)),""))</f>
        <v/>
      </c>
      <c r="F258">
        <f>IF(OR(C258="",B258=""),"",IFERROR(INDEX(Key!$E$2:$E$263,MATCH(C258*100+B258,Key!$G$2:$G$263,0)),""))</f>
        <v/>
      </c>
      <c r="G258" s="6" t="n"/>
      <c r="H258">
        <f>IF(OR(C258="",B258=""),"",IFERROR(INDEX(Papers!$K$2:$P$12,MATCH(C258,Papers!$A$2:$A$12,0),INDEX(Key!$D$2:$D$263,MATCH(C258*100+B258,Key!$G$2:$G$263,0))),""))</f>
        <v/>
      </c>
      <c r="I258" s="6" t="n"/>
      <c r="J258" s="6" t="n"/>
    </row>
    <row r="259">
      <c r="A259" s="6" t="n"/>
      <c r="B259" s="6" t="n"/>
      <c r="C259">
        <f>IF(A259="","",IFERROR(INDEX(Attempts!$D$2:$D$200,MATCH(A259,Attempts!$A$2:$A$200,0)),"?"))</f>
        <v/>
      </c>
      <c r="D259">
        <f>IF(OR(A259="",B259=""),"",IFERROR(INDEX(Attempts!$M$2:$AP$200,MATCH(A259,Attempts!$A$2:$A$200,0),B259),""))</f>
        <v/>
      </c>
      <c r="E259">
        <f>IF(OR(C259="",B259=""),"",IFERROR(INDEX(Key!$C$2:$C$263,MATCH(C259*100+B259,Key!$G$2:$G$263,0)),""))</f>
        <v/>
      </c>
      <c r="F259">
        <f>IF(OR(C259="",B259=""),"",IFERROR(INDEX(Key!$E$2:$E$263,MATCH(C259*100+B259,Key!$G$2:$G$263,0)),""))</f>
        <v/>
      </c>
      <c r="G259" s="6" t="n"/>
      <c r="H259">
        <f>IF(OR(C259="",B259=""),"",IFERROR(INDEX(Papers!$K$2:$P$12,MATCH(C259,Papers!$A$2:$A$12,0),INDEX(Key!$D$2:$D$263,MATCH(C259*100+B259,Key!$G$2:$G$263,0))),""))</f>
        <v/>
      </c>
      <c r="I259" s="6" t="n"/>
      <c r="J259" s="6" t="n"/>
    </row>
    <row r="260">
      <c r="A260" s="6" t="n"/>
      <c r="B260" s="6" t="n"/>
      <c r="C260">
        <f>IF(A260="","",IFERROR(INDEX(Attempts!$D$2:$D$200,MATCH(A260,Attempts!$A$2:$A$200,0)),"?"))</f>
        <v/>
      </c>
      <c r="D260">
        <f>IF(OR(A260="",B260=""),"",IFERROR(INDEX(Attempts!$M$2:$AP$200,MATCH(A260,Attempts!$A$2:$A$200,0),B260),""))</f>
        <v/>
      </c>
      <c r="E260">
        <f>IF(OR(C260="",B260=""),"",IFERROR(INDEX(Key!$C$2:$C$263,MATCH(C260*100+B260,Key!$G$2:$G$263,0)),""))</f>
        <v/>
      </c>
      <c r="F260">
        <f>IF(OR(C260="",B260=""),"",IFERROR(INDEX(Key!$E$2:$E$263,MATCH(C260*100+B260,Key!$G$2:$G$263,0)),""))</f>
        <v/>
      </c>
      <c r="G260" s="6" t="n"/>
      <c r="H260">
        <f>IF(OR(C260="",B260=""),"",IFERROR(INDEX(Papers!$K$2:$P$12,MATCH(C260,Papers!$A$2:$A$12,0),INDEX(Key!$D$2:$D$263,MATCH(C260*100+B260,Key!$G$2:$G$263,0))),""))</f>
        <v/>
      </c>
      <c r="I260" s="6" t="n"/>
      <c r="J260" s="6" t="n"/>
    </row>
    <row r="261">
      <c r="A261" s="6" t="n"/>
      <c r="B261" s="6" t="n"/>
      <c r="C261">
        <f>IF(A261="","",IFERROR(INDEX(Attempts!$D$2:$D$200,MATCH(A261,Attempts!$A$2:$A$200,0)),"?"))</f>
        <v/>
      </c>
      <c r="D261">
        <f>IF(OR(A261="",B261=""),"",IFERROR(INDEX(Attempts!$M$2:$AP$200,MATCH(A261,Attempts!$A$2:$A$200,0),B261),""))</f>
        <v/>
      </c>
      <c r="E261">
        <f>IF(OR(C261="",B261=""),"",IFERROR(INDEX(Key!$C$2:$C$263,MATCH(C261*100+B261,Key!$G$2:$G$263,0)),""))</f>
        <v/>
      </c>
      <c r="F261">
        <f>IF(OR(C261="",B261=""),"",IFERROR(INDEX(Key!$E$2:$E$263,MATCH(C261*100+B261,Key!$G$2:$G$263,0)),""))</f>
        <v/>
      </c>
      <c r="G261" s="6" t="n"/>
      <c r="H261">
        <f>IF(OR(C261="",B261=""),"",IFERROR(INDEX(Papers!$K$2:$P$12,MATCH(C261,Papers!$A$2:$A$12,0),INDEX(Key!$D$2:$D$263,MATCH(C261*100+B261,Key!$G$2:$G$263,0))),""))</f>
        <v/>
      </c>
      <c r="I261" s="6" t="n"/>
      <c r="J261" s="6" t="n"/>
    </row>
    <row r="262">
      <c r="A262" s="6" t="n"/>
      <c r="B262" s="6" t="n"/>
      <c r="C262">
        <f>IF(A262="","",IFERROR(INDEX(Attempts!$D$2:$D$200,MATCH(A262,Attempts!$A$2:$A$200,0)),"?"))</f>
        <v/>
      </c>
      <c r="D262">
        <f>IF(OR(A262="",B262=""),"",IFERROR(INDEX(Attempts!$M$2:$AP$200,MATCH(A262,Attempts!$A$2:$A$200,0),B262),""))</f>
        <v/>
      </c>
      <c r="E262">
        <f>IF(OR(C262="",B262=""),"",IFERROR(INDEX(Key!$C$2:$C$263,MATCH(C262*100+B262,Key!$G$2:$G$263,0)),""))</f>
        <v/>
      </c>
      <c r="F262">
        <f>IF(OR(C262="",B262=""),"",IFERROR(INDEX(Key!$E$2:$E$263,MATCH(C262*100+B262,Key!$G$2:$G$263,0)),""))</f>
        <v/>
      </c>
      <c r="G262" s="6" t="n"/>
      <c r="H262">
        <f>IF(OR(C262="",B262=""),"",IFERROR(INDEX(Papers!$K$2:$P$12,MATCH(C262,Papers!$A$2:$A$12,0),INDEX(Key!$D$2:$D$263,MATCH(C262*100+B262,Key!$G$2:$G$263,0))),""))</f>
        <v/>
      </c>
      <c r="I262" s="6" t="n"/>
      <c r="J262" s="6" t="n"/>
    </row>
    <row r="263">
      <c r="A263" s="6" t="n"/>
      <c r="B263" s="6" t="n"/>
      <c r="C263">
        <f>IF(A263="","",IFERROR(INDEX(Attempts!$D$2:$D$200,MATCH(A263,Attempts!$A$2:$A$200,0)),"?"))</f>
        <v/>
      </c>
      <c r="D263">
        <f>IF(OR(A263="",B263=""),"",IFERROR(INDEX(Attempts!$M$2:$AP$200,MATCH(A263,Attempts!$A$2:$A$200,0),B263),""))</f>
        <v/>
      </c>
      <c r="E263">
        <f>IF(OR(C263="",B263=""),"",IFERROR(INDEX(Key!$C$2:$C$263,MATCH(C263*100+B263,Key!$G$2:$G$263,0)),""))</f>
        <v/>
      </c>
      <c r="F263">
        <f>IF(OR(C263="",B263=""),"",IFERROR(INDEX(Key!$E$2:$E$263,MATCH(C263*100+B263,Key!$G$2:$G$263,0)),""))</f>
        <v/>
      </c>
      <c r="G263" s="6" t="n"/>
      <c r="H263">
        <f>IF(OR(C263="",B263=""),"",IFERROR(INDEX(Papers!$K$2:$P$12,MATCH(C263,Papers!$A$2:$A$12,0),INDEX(Key!$D$2:$D$263,MATCH(C263*100+B263,Key!$G$2:$G$263,0))),""))</f>
        <v/>
      </c>
      <c r="I263" s="6" t="n"/>
      <c r="J263" s="6" t="n"/>
    </row>
    <row r="264">
      <c r="A264" s="6" t="n"/>
      <c r="B264" s="6" t="n"/>
      <c r="C264">
        <f>IF(A264="","",IFERROR(INDEX(Attempts!$D$2:$D$200,MATCH(A264,Attempts!$A$2:$A$200,0)),"?"))</f>
        <v/>
      </c>
      <c r="D264">
        <f>IF(OR(A264="",B264=""),"",IFERROR(INDEX(Attempts!$M$2:$AP$200,MATCH(A264,Attempts!$A$2:$A$200,0),B264),""))</f>
        <v/>
      </c>
      <c r="E264">
        <f>IF(OR(C264="",B264=""),"",IFERROR(INDEX(Key!$C$2:$C$263,MATCH(C264*100+B264,Key!$G$2:$G$263,0)),""))</f>
        <v/>
      </c>
      <c r="F264">
        <f>IF(OR(C264="",B264=""),"",IFERROR(INDEX(Key!$E$2:$E$263,MATCH(C264*100+B264,Key!$G$2:$G$263,0)),""))</f>
        <v/>
      </c>
      <c r="G264" s="6" t="n"/>
      <c r="H264">
        <f>IF(OR(C264="",B264=""),"",IFERROR(INDEX(Papers!$K$2:$P$12,MATCH(C264,Papers!$A$2:$A$12,0),INDEX(Key!$D$2:$D$263,MATCH(C264*100+B264,Key!$G$2:$G$263,0))),""))</f>
        <v/>
      </c>
      <c r="I264" s="6" t="n"/>
      <c r="J264" s="6" t="n"/>
    </row>
    <row r="265">
      <c r="A265" s="6" t="n"/>
      <c r="B265" s="6" t="n"/>
      <c r="C265">
        <f>IF(A265="","",IFERROR(INDEX(Attempts!$D$2:$D$200,MATCH(A265,Attempts!$A$2:$A$200,0)),"?"))</f>
        <v/>
      </c>
      <c r="D265">
        <f>IF(OR(A265="",B265=""),"",IFERROR(INDEX(Attempts!$M$2:$AP$200,MATCH(A265,Attempts!$A$2:$A$200,0),B265),""))</f>
        <v/>
      </c>
      <c r="E265">
        <f>IF(OR(C265="",B265=""),"",IFERROR(INDEX(Key!$C$2:$C$263,MATCH(C265*100+B265,Key!$G$2:$G$263,0)),""))</f>
        <v/>
      </c>
      <c r="F265">
        <f>IF(OR(C265="",B265=""),"",IFERROR(INDEX(Key!$E$2:$E$263,MATCH(C265*100+B265,Key!$G$2:$G$263,0)),""))</f>
        <v/>
      </c>
      <c r="G265" s="6" t="n"/>
      <c r="H265">
        <f>IF(OR(C265="",B265=""),"",IFERROR(INDEX(Papers!$K$2:$P$12,MATCH(C265,Papers!$A$2:$A$12,0),INDEX(Key!$D$2:$D$263,MATCH(C265*100+B265,Key!$G$2:$G$263,0))),""))</f>
        <v/>
      </c>
      <c r="I265" s="6" t="n"/>
      <c r="J265" s="6" t="n"/>
    </row>
    <row r="266">
      <c r="A266" s="6" t="n"/>
      <c r="B266" s="6" t="n"/>
      <c r="C266">
        <f>IF(A266="","",IFERROR(INDEX(Attempts!$D$2:$D$200,MATCH(A266,Attempts!$A$2:$A$200,0)),"?"))</f>
        <v/>
      </c>
      <c r="D266">
        <f>IF(OR(A266="",B266=""),"",IFERROR(INDEX(Attempts!$M$2:$AP$200,MATCH(A266,Attempts!$A$2:$A$200,0),B266),""))</f>
        <v/>
      </c>
      <c r="E266">
        <f>IF(OR(C266="",B266=""),"",IFERROR(INDEX(Key!$C$2:$C$263,MATCH(C266*100+B266,Key!$G$2:$G$263,0)),""))</f>
        <v/>
      </c>
      <c r="F266">
        <f>IF(OR(C266="",B266=""),"",IFERROR(INDEX(Key!$E$2:$E$263,MATCH(C266*100+B266,Key!$G$2:$G$263,0)),""))</f>
        <v/>
      </c>
      <c r="G266" s="6" t="n"/>
      <c r="H266">
        <f>IF(OR(C266="",B266=""),"",IFERROR(INDEX(Papers!$K$2:$P$12,MATCH(C266,Papers!$A$2:$A$12,0),INDEX(Key!$D$2:$D$263,MATCH(C266*100+B266,Key!$G$2:$G$263,0))),""))</f>
        <v/>
      </c>
      <c r="I266" s="6" t="n"/>
      <c r="J266" s="6" t="n"/>
    </row>
    <row r="267">
      <c r="A267" s="6" t="n"/>
      <c r="B267" s="6" t="n"/>
      <c r="C267">
        <f>IF(A267="","",IFERROR(INDEX(Attempts!$D$2:$D$200,MATCH(A267,Attempts!$A$2:$A$200,0)),"?"))</f>
        <v/>
      </c>
      <c r="D267">
        <f>IF(OR(A267="",B267=""),"",IFERROR(INDEX(Attempts!$M$2:$AP$200,MATCH(A267,Attempts!$A$2:$A$200,0),B267),""))</f>
        <v/>
      </c>
      <c r="E267">
        <f>IF(OR(C267="",B267=""),"",IFERROR(INDEX(Key!$C$2:$C$263,MATCH(C267*100+B267,Key!$G$2:$G$263,0)),""))</f>
        <v/>
      </c>
      <c r="F267">
        <f>IF(OR(C267="",B267=""),"",IFERROR(INDEX(Key!$E$2:$E$263,MATCH(C267*100+B267,Key!$G$2:$G$263,0)),""))</f>
        <v/>
      </c>
      <c r="G267" s="6" t="n"/>
      <c r="H267">
        <f>IF(OR(C267="",B267=""),"",IFERROR(INDEX(Papers!$K$2:$P$12,MATCH(C267,Papers!$A$2:$A$12,0),INDEX(Key!$D$2:$D$263,MATCH(C267*100+B267,Key!$G$2:$G$263,0))),""))</f>
        <v/>
      </c>
      <c r="I267" s="6" t="n"/>
      <c r="J267" s="6" t="n"/>
    </row>
    <row r="268">
      <c r="A268" s="6" t="n"/>
      <c r="B268" s="6" t="n"/>
      <c r="C268">
        <f>IF(A268="","",IFERROR(INDEX(Attempts!$D$2:$D$200,MATCH(A268,Attempts!$A$2:$A$200,0)),"?"))</f>
        <v/>
      </c>
      <c r="D268">
        <f>IF(OR(A268="",B268=""),"",IFERROR(INDEX(Attempts!$M$2:$AP$200,MATCH(A268,Attempts!$A$2:$A$200,0),B268),""))</f>
        <v/>
      </c>
      <c r="E268">
        <f>IF(OR(C268="",B268=""),"",IFERROR(INDEX(Key!$C$2:$C$263,MATCH(C268*100+B268,Key!$G$2:$G$263,0)),""))</f>
        <v/>
      </c>
      <c r="F268">
        <f>IF(OR(C268="",B268=""),"",IFERROR(INDEX(Key!$E$2:$E$263,MATCH(C268*100+B268,Key!$G$2:$G$263,0)),""))</f>
        <v/>
      </c>
      <c r="G268" s="6" t="n"/>
      <c r="H268">
        <f>IF(OR(C268="",B268=""),"",IFERROR(INDEX(Papers!$K$2:$P$12,MATCH(C268,Papers!$A$2:$A$12,0),INDEX(Key!$D$2:$D$263,MATCH(C268*100+B268,Key!$G$2:$G$263,0))),""))</f>
        <v/>
      </c>
      <c r="I268" s="6" t="n"/>
      <c r="J268" s="6" t="n"/>
    </row>
    <row r="269">
      <c r="A269" s="6" t="n"/>
      <c r="B269" s="6" t="n"/>
      <c r="C269">
        <f>IF(A269="","",IFERROR(INDEX(Attempts!$D$2:$D$200,MATCH(A269,Attempts!$A$2:$A$200,0)),"?"))</f>
        <v/>
      </c>
      <c r="D269">
        <f>IF(OR(A269="",B269=""),"",IFERROR(INDEX(Attempts!$M$2:$AP$200,MATCH(A269,Attempts!$A$2:$A$200,0),B269),""))</f>
        <v/>
      </c>
      <c r="E269">
        <f>IF(OR(C269="",B269=""),"",IFERROR(INDEX(Key!$C$2:$C$263,MATCH(C269*100+B269,Key!$G$2:$G$263,0)),""))</f>
        <v/>
      </c>
      <c r="F269">
        <f>IF(OR(C269="",B269=""),"",IFERROR(INDEX(Key!$E$2:$E$263,MATCH(C269*100+B269,Key!$G$2:$G$263,0)),""))</f>
        <v/>
      </c>
      <c r="G269" s="6" t="n"/>
      <c r="H269">
        <f>IF(OR(C269="",B269=""),"",IFERROR(INDEX(Papers!$K$2:$P$12,MATCH(C269,Papers!$A$2:$A$12,0),INDEX(Key!$D$2:$D$263,MATCH(C269*100+B269,Key!$G$2:$G$263,0))),""))</f>
        <v/>
      </c>
      <c r="I269" s="6" t="n"/>
      <c r="J269" s="6" t="n"/>
    </row>
    <row r="270">
      <c r="A270" s="6" t="n"/>
      <c r="B270" s="6" t="n"/>
      <c r="C270">
        <f>IF(A270="","",IFERROR(INDEX(Attempts!$D$2:$D$200,MATCH(A270,Attempts!$A$2:$A$200,0)),"?"))</f>
        <v/>
      </c>
      <c r="D270">
        <f>IF(OR(A270="",B270=""),"",IFERROR(INDEX(Attempts!$M$2:$AP$200,MATCH(A270,Attempts!$A$2:$A$200,0),B270),""))</f>
        <v/>
      </c>
      <c r="E270">
        <f>IF(OR(C270="",B270=""),"",IFERROR(INDEX(Key!$C$2:$C$263,MATCH(C270*100+B270,Key!$G$2:$G$263,0)),""))</f>
        <v/>
      </c>
      <c r="F270">
        <f>IF(OR(C270="",B270=""),"",IFERROR(INDEX(Key!$E$2:$E$263,MATCH(C270*100+B270,Key!$G$2:$G$263,0)),""))</f>
        <v/>
      </c>
      <c r="G270" s="6" t="n"/>
      <c r="H270">
        <f>IF(OR(C270="",B270=""),"",IFERROR(INDEX(Papers!$K$2:$P$12,MATCH(C270,Papers!$A$2:$A$12,0),INDEX(Key!$D$2:$D$263,MATCH(C270*100+B270,Key!$G$2:$G$263,0))),""))</f>
        <v/>
      </c>
      <c r="I270" s="6" t="n"/>
      <c r="J270" s="6" t="n"/>
    </row>
    <row r="271">
      <c r="A271" s="6" t="n"/>
      <c r="B271" s="6" t="n"/>
      <c r="C271">
        <f>IF(A271="","",IFERROR(INDEX(Attempts!$D$2:$D$200,MATCH(A271,Attempts!$A$2:$A$200,0)),"?"))</f>
        <v/>
      </c>
      <c r="D271">
        <f>IF(OR(A271="",B271=""),"",IFERROR(INDEX(Attempts!$M$2:$AP$200,MATCH(A271,Attempts!$A$2:$A$200,0),B271),""))</f>
        <v/>
      </c>
      <c r="E271">
        <f>IF(OR(C271="",B271=""),"",IFERROR(INDEX(Key!$C$2:$C$263,MATCH(C271*100+B271,Key!$G$2:$G$263,0)),""))</f>
        <v/>
      </c>
      <c r="F271">
        <f>IF(OR(C271="",B271=""),"",IFERROR(INDEX(Key!$E$2:$E$263,MATCH(C271*100+B271,Key!$G$2:$G$263,0)),""))</f>
        <v/>
      </c>
      <c r="G271" s="6" t="n"/>
      <c r="H271">
        <f>IF(OR(C271="",B271=""),"",IFERROR(INDEX(Papers!$K$2:$P$12,MATCH(C271,Papers!$A$2:$A$12,0),INDEX(Key!$D$2:$D$263,MATCH(C271*100+B271,Key!$G$2:$G$263,0))),""))</f>
        <v/>
      </c>
      <c r="I271" s="6" t="n"/>
      <c r="J271" s="6" t="n"/>
    </row>
    <row r="272">
      <c r="A272" s="6" t="n"/>
      <c r="B272" s="6" t="n"/>
      <c r="C272">
        <f>IF(A272="","",IFERROR(INDEX(Attempts!$D$2:$D$200,MATCH(A272,Attempts!$A$2:$A$200,0)),"?"))</f>
        <v/>
      </c>
      <c r="D272">
        <f>IF(OR(A272="",B272=""),"",IFERROR(INDEX(Attempts!$M$2:$AP$200,MATCH(A272,Attempts!$A$2:$A$200,0),B272),""))</f>
        <v/>
      </c>
      <c r="E272">
        <f>IF(OR(C272="",B272=""),"",IFERROR(INDEX(Key!$C$2:$C$263,MATCH(C272*100+B272,Key!$G$2:$G$263,0)),""))</f>
        <v/>
      </c>
      <c r="F272">
        <f>IF(OR(C272="",B272=""),"",IFERROR(INDEX(Key!$E$2:$E$263,MATCH(C272*100+B272,Key!$G$2:$G$263,0)),""))</f>
        <v/>
      </c>
      <c r="G272" s="6" t="n"/>
      <c r="H272">
        <f>IF(OR(C272="",B272=""),"",IFERROR(INDEX(Papers!$K$2:$P$12,MATCH(C272,Papers!$A$2:$A$12,0),INDEX(Key!$D$2:$D$263,MATCH(C272*100+B272,Key!$G$2:$G$263,0))),""))</f>
        <v/>
      </c>
      <c r="I272" s="6" t="n"/>
      <c r="J272" s="6" t="n"/>
    </row>
    <row r="273">
      <c r="A273" s="6" t="n"/>
      <c r="B273" s="6" t="n"/>
      <c r="C273">
        <f>IF(A273="","",IFERROR(INDEX(Attempts!$D$2:$D$200,MATCH(A273,Attempts!$A$2:$A$200,0)),"?"))</f>
        <v/>
      </c>
      <c r="D273">
        <f>IF(OR(A273="",B273=""),"",IFERROR(INDEX(Attempts!$M$2:$AP$200,MATCH(A273,Attempts!$A$2:$A$200,0),B273),""))</f>
        <v/>
      </c>
      <c r="E273">
        <f>IF(OR(C273="",B273=""),"",IFERROR(INDEX(Key!$C$2:$C$263,MATCH(C273*100+B273,Key!$G$2:$G$263,0)),""))</f>
        <v/>
      </c>
      <c r="F273">
        <f>IF(OR(C273="",B273=""),"",IFERROR(INDEX(Key!$E$2:$E$263,MATCH(C273*100+B273,Key!$G$2:$G$263,0)),""))</f>
        <v/>
      </c>
      <c r="G273" s="6" t="n"/>
      <c r="H273">
        <f>IF(OR(C273="",B273=""),"",IFERROR(INDEX(Papers!$K$2:$P$12,MATCH(C273,Papers!$A$2:$A$12,0),INDEX(Key!$D$2:$D$263,MATCH(C273*100+B273,Key!$G$2:$G$263,0))),""))</f>
        <v/>
      </c>
      <c r="I273" s="6" t="n"/>
      <c r="J273" s="6" t="n"/>
    </row>
    <row r="274">
      <c r="A274" s="6" t="n"/>
      <c r="B274" s="6" t="n"/>
      <c r="C274">
        <f>IF(A274="","",IFERROR(INDEX(Attempts!$D$2:$D$200,MATCH(A274,Attempts!$A$2:$A$200,0)),"?"))</f>
        <v/>
      </c>
      <c r="D274">
        <f>IF(OR(A274="",B274=""),"",IFERROR(INDEX(Attempts!$M$2:$AP$200,MATCH(A274,Attempts!$A$2:$A$200,0),B274),""))</f>
        <v/>
      </c>
      <c r="E274">
        <f>IF(OR(C274="",B274=""),"",IFERROR(INDEX(Key!$C$2:$C$263,MATCH(C274*100+B274,Key!$G$2:$G$263,0)),""))</f>
        <v/>
      </c>
      <c r="F274">
        <f>IF(OR(C274="",B274=""),"",IFERROR(INDEX(Key!$E$2:$E$263,MATCH(C274*100+B274,Key!$G$2:$G$263,0)),""))</f>
        <v/>
      </c>
      <c r="G274" s="6" t="n"/>
      <c r="H274">
        <f>IF(OR(C274="",B274=""),"",IFERROR(INDEX(Papers!$K$2:$P$12,MATCH(C274,Papers!$A$2:$A$12,0),INDEX(Key!$D$2:$D$263,MATCH(C274*100+B274,Key!$G$2:$G$263,0))),""))</f>
        <v/>
      </c>
      <c r="I274" s="6" t="n"/>
      <c r="J274" s="6" t="n"/>
    </row>
    <row r="275">
      <c r="A275" s="6" t="n"/>
      <c r="B275" s="6" t="n"/>
      <c r="C275">
        <f>IF(A275="","",IFERROR(INDEX(Attempts!$D$2:$D$200,MATCH(A275,Attempts!$A$2:$A$200,0)),"?"))</f>
        <v/>
      </c>
      <c r="D275">
        <f>IF(OR(A275="",B275=""),"",IFERROR(INDEX(Attempts!$M$2:$AP$200,MATCH(A275,Attempts!$A$2:$A$200,0),B275),""))</f>
        <v/>
      </c>
      <c r="E275">
        <f>IF(OR(C275="",B275=""),"",IFERROR(INDEX(Key!$C$2:$C$263,MATCH(C275*100+B275,Key!$G$2:$G$263,0)),""))</f>
        <v/>
      </c>
      <c r="F275">
        <f>IF(OR(C275="",B275=""),"",IFERROR(INDEX(Key!$E$2:$E$263,MATCH(C275*100+B275,Key!$G$2:$G$263,0)),""))</f>
        <v/>
      </c>
      <c r="G275" s="6" t="n"/>
      <c r="H275">
        <f>IF(OR(C275="",B275=""),"",IFERROR(INDEX(Papers!$K$2:$P$12,MATCH(C275,Papers!$A$2:$A$12,0),INDEX(Key!$D$2:$D$263,MATCH(C275*100+B275,Key!$G$2:$G$263,0))),""))</f>
        <v/>
      </c>
      <c r="I275" s="6" t="n"/>
      <c r="J275" s="6" t="n"/>
    </row>
    <row r="276">
      <c r="A276" s="6" t="n"/>
      <c r="B276" s="6" t="n"/>
      <c r="C276">
        <f>IF(A276="","",IFERROR(INDEX(Attempts!$D$2:$D$200,MATCH(A276,Attempts!$A$2:$A$200,0)),"?"))</f>
        <v/>
      </c>
      <c r="D276">
        <f>IF(OR(A276="",B276=""),"",IFERROR(INDEX(Attempts!$M$2:$AP$200,MATCH(A276,Attempts!$A$2:$A$200,0),B276),""))</f>
        <v/>
      </c>
      <c r="E276">
        <f>IF(OR(C276="",B276=""),"",IFERROR(INDEX(Key!$C$2:$C$263,MATCH(C276*100+B276,Key!$G$2:$G$263,0)),""))</f>
        <v/>
      </c>
      <c r="F276">
        <f>IF(OR(C276="",B276=""),"",IFERROR(INDEX(Key!$E$2:$E$263,MATCH(C276*100+B276,Key!$G$2:$G$263,0)),""))</f>
        <v/>
      </c>
      <c r="G276" s="6" t="n"/>
      <c r="H276">
        <f>IF(OR(C276="",B276=""),"",IFERROR(INDEX(Papers!$K$2:$P$12,MATCH(C276,Papers!$A$2:$A$12,0),INDEX(Key!$D$2:$D$263,MATCH(C276*100+B276,Key!$G$2:$G$263,0))),""))</f>
        <v/>
      </c>
      <c r="I276" s="6" t="n"/>
      <c r="J276" s="6" t="n"/>
    </row>
    <row r="277">
      <c r="A277" s="6" t="n"/>
      <c r="B277" s="6" t="n"/>
      <c r="C277">
        <f>IF(A277="","",IFERROR(INDEX(Attempts!$D$2:$D$200,MATCH(A277,Attempts!$A$2:$A$200,0)),"?"))</f>
        <v/>
      </c>
      <c r="D277">
        <f>IF(OR(A277="",B277=""),"",IFERROR(INDEX(Attempts!$M$2:$AP$200,MATCH(A277,Attempts!$A$2:$A$200,0),B277),""))</f>
        <v/>
      </c>
      <c r="E277">
        <f>IF(OR(C277="",B277=""),"",IFERROR(INDEX(Key!$C$2:$C$263,MATCH(C277*100+B277,Key!$G$2:$G$263,0)),""))</f>
        <v/>
      </c>
      <c r="F277">
        <f>IF(OR(C277="",B277=""),"",IFERROR(INDEX(Key!$E$2:$E$263,MATCH(C277*100+B277,Key!$G$2:$G$263,0)),""))</f>
        <v/>
      </c>
      <c r="G277" s="6" t="n"/>
      <c r="H277">
        <f>IF(OR(C277="",B277=""),"",IFERROR(INDEX(Papers!$K$2:$P$12,MATCH(C277,Papers!$A$2:$A$12,0),INDEX(Key!$D$2:$D$263,MATCH(C277*100+B277,Key!$G$2:$G$263,0))),""))</f>
        <v/>
      </c>
      <c r="I277" s="6" t="n"/>
      <c r="J277" s="6" t="n"/>
    </row>
    <row r="278">
      <c r="A278" s="6" t="n"/>
      <c r="B278" s="6" t="n"/>
      <c r="C278">
        <f>IF(A278="","",IFERROR(INDEX(Attempts!$D$2:$D$200,MATCH(A278,Attempts!$A$2:$A$200,0)),"?"))</f>
        <v/>
      </c>
      <c r="D278">
        <f>IF(OR(A278="",B278=""),"",IFERROR(INDEX(Attempts!$M$2:$AP$200,MATCH(A278,Attempts!$A$2:$A$200,0),B278),""))</f>
        <v/>
      </c>
      <c r="E278">
        <f>IF(OR(C278="",B278=""),"",IFERROR(INDEX(Key!$C$2:$C$263,MATCH(C278*100+B278,Key!$G$2:$G$263,0)),""))</f>
        <v/>
      </c>
      <c r="F278">
        <f>IF(OR(C278="",B278=""),"",IFERROR(INDEX(Key!$E$2:$E$263,MATCH(C278*100+B278,Key!$G$2:$G$263,0)),""))</f>
        <v/>
      </c>
      <c r="G278" s="6" t="n"/>
      <c r="H278">
        <f>IF(OR(C278="",B278=""),"",IFERROR(INDEX(Papers!$K$2:$P$12,MATCH(C278,Papers!$A$2:$A$12,0),INDEX(Key!$D$2:$D$263,MATCH(C278*100+B278,Key!$G$2:$G$263,0))),""))</f>
        <v/>
      </c>
      <c r="I278" s="6" t="n"/>
      <c r="J278" s="6" t="n"/>
    </row>
    <row r="279">
      <c r="A279" s="6" t="n"/>
      <c r="B279" s="6" t="n"/>
      <c r="C279">
        <f>IF(A279="","",IFERROR(INDEX(Attempts!$D$2:$D$200,MATCH(A279,Attempts!$A$2:$A$200,0)),"?"))</f>
        <v/>
      </c>
      <c r="D279">
        <f>IF(OR(A279="",B279=""),"",IFERROR(INDEX(Attempts!$M$2:$AP$200,MATCH(A279,Attempts!$A$2:$A$200,0),B279),""))</f>
        <v/>
      </c>
      <c r="E279">
        <f>IF(OR(C279="",B279=""),"",IFERROR(INDEX(Key!$C$2:$C$263,MATCH(C279*100+B279,Key!$G$2:$G$263,0)),""))</f>
        <v/>
      </c>
      <c r="F279">
        <f>IF(OR(C279="",B279=""),"",IFERROR(INDEX(Key!$E$2:$E$263,MATCH(C279*100+B279,Key!$G$2:$G$263,0)),""))</f>
        <v/>
      </c>
      <c r="G279" s="6" t="n"/>
      <c r="H279">
        <f>IF(OR(C279="",B279=""),"",IFERROR(INDEX(Papers!$K$2:$P$12,MATCH(C279,Papers!$A$2:$A$12,0),INDEX(Key!$D$2:$D$263,MATCH(C279*100+B279,Key!$G$2:$G$263,0))),""))</f>
        <v/>
      </c>
      <c r="I279" s="6" t="n"/>
      <c r="J279" s="6" t="n"/>
    </row>
    <row r="280">
      <c r="A280" s="6" t="n"/>
      <c r="B280" s="6" t="n"/>
      <c r="C280">
        <f>IF(A280="","",IFERROR(INDEX(Attempts!$D$2:$D$200,MATCH(A280,Attempts!$A$2:$A$200,0)),"?"))</f>
        <v/>
      </c>
      <c r="D280">
        <f>IF(OR(A280="",B280=""),"",IFERROR(INDEX(Attempts!$M$2:$AP$200,MATCH(A280,Attempts!$A$2:$A$200,0),B280),""))</f>
        <v/>
      </c>
      <c r="E280">
        <f>IF(OR(C280="",B280=""),"",IFERROR(INDEX(Key!$C$2:$C$263,MATCH(C280*100+B280,Key!$G$2:$G$263,0)),""))</f>
        <v/>
      </c>
      <c r="F280">
        <f>IF(OR(C280="",B280=""),"",IFERROR(INDEX(Key!$E$2:$E$263,MATCH(C280*100+B280,Key!$G$2:$G$263,0)),""))</f>
        <v/>
      </c>
      <c r="G280" s="6" t="n"/>
      <c r="H280">
        <f>IF(OR(C280="",B280=""),"",IFERROR(INDEX(Papers!$K$2:$P$12,MATCH(C280,Papers!$A$2:$A$12,0),INDEX(Key!$D$2:$D$263,MATCH(C280*100+B280,Key!$G$2:$G$263,0))),""))</f>
        <v/>
      </c>
      <c r="I280" s="6" t="n"/>
      <c r="J280" s="6" t="n"/>
    </row>
    <row r="281">
      <c r="A281" s="6" t="n"/>
      <c r="B281" s="6" t="n"/>
      <c r="C281">
        <f>IF(A281="","",IFERROR(INDEX(Attempts!$D$2:$D$200,MATCH(A281,Attempts!$A$2:$A$200,0)),"?"))</f>
        <v/>
      </c>
      <c r="D281">
        <f>IF(OR(A281="",B281=""),"",IFERROR(INDEX(Attempts!$M$2:$AP$200,MATCH(A281,Attempts!$A$2:$A$200,0),B281),""))</f>
        <v/>
      </c>
      <c r="E281">
        <f>IF(OR(C281="",B281=""),"",IFERROR(INDEX(Key!$C$2:$C$263,MATCH(C281*100+B281,Key!$G$2:$G$263,0)),""))</f>
        <v/>
      </c>
      <c r="F281">
        <f>IF(OR(C281="",B281=""),"",IFERROR(INDEX(Key!$E$2:$E$263,MATCH(C281*100+B281,Key!$G$2:$G$263,0)),""))</f>
        <v/>
      </c>
      <c r="G281" s="6" t="n"/>
      <c r="H281">
        <f>IF(OR(C281="",B281=""),"",IFERROR(INDEX(Papers!$K$2:$P$12,MATCH(C281,Papers!$A$2:$A$12,0),INDEX(Key!$D$2:$D$263,MATCH(C281*100+B281,Key!$G$2:$G$263,0))),""))</f>
        <v/>
      </c>
      <c r="I281" s="6" t="n"/>
      <c r="J281" s="6" t="n"/>
    </row>
    <row r="282">
      <c r="A282" s="6" t="n"/>
      <c r="B282" s="6" t="n"/>
      <c r="C282">
        <f>IF(A282="","",IFERROR(INDEX(Attempts!$D$2:$D$200,MATCH(A282,Attempts!$A$2:$A$200,0)),"?"))</f>
        <v/>
      </c>
      <c r="D282">
        <f>IF(OR(A282="",B282=""),"",IFERROR(INDEX(Attempts!$M$2:$AP$200,MATCH(A282,Attempts!$A$2:$A$200,0),B282),""))</f>
        <v/>
      </c>
      <c r="E282">
        <f>IF(OR(C282="",B282=""),"",IFERROR(INDEX(Key!$C$2:$C$263,MATCH(C282*100+B282,Key!$G$2:$G$263,0)),""))</f>
        <v/>
      </c>
      <c r="F282">
        <f>IF(OR(C282="",B282=""),"",IFERROR(INDEX(Key!$E$2:$E$263,MATCH(C282*100+B282,Key!$G$2:$G$263,0)),""))</f>
        <v/>
      </c>
      <c r="G282" s="6" t="n"/>
      <c r="H282">
        <f>IF(OR(C282="",B282=""),"",IFERROR(INDEX(Papers!$K$2:$P$12,MATCH(C282,Papers!$A$2:$A$12,0),INDEX(Key!$D$2:$D$263,MATCH(C282*100+B282,Key!$G$2:$G$263,0))),""))</f>
        <v/>
      </c>
      <c r="I282" s="6" t="n"/>
      <c r="J282" s="6" t="n"/>
    </row>
    <row r="283">
      <c r="A283" s="6" t="n"/>
      <c r="B283" s="6" t="n"/>
      <c r="C283">
        <f>IF(A283="","",IFERROR(INDEX(Attempts!$D$2:$D$200,MATCH(A283,Attempts!$A$2:$A$200,0)),"?"))</f>
        <v/>
      </c>
      <c r="D283">
        <f>IF(OR(A283="",B283=""),"",IFERROR(INDEX(Attempts!$M$2:$AP$200,MATCH(A283,Attempts!$A$2:$A$200,0),B283),""))</f>
        <v/>
      </c>
      <c r="E283">
        <f>IF(OR(C283="",B283=""),"",IFERROR(INDEX(Key!$C$2:$C$263,MATCH(C283*100+B283,Key!$G$2:$G$263,0)),""))</f>
        <v/>
      </c>
      <c r="F283">
        <f>IF(OR(C283="",B283=""),"",IFERROR(INDEX(Key!$E$2:$E$263,MATCH(C283*100+B283,Key!$G$2:$G$263,0)),""))</f>
        <v/>
      </c>
      <c r="G283" s="6" t="n"/>
      <c r="H283">
        <f>IF(OR(C283="",B283=""),"",IFERROR(INDEX(Papers!$K$2:$P$12,MATCH(C283,Papers!$A$2:$A$12,0),INDEX(Key!$D$2:$D$263,MATCH(C283*100+B283,Key!$G$2:$G$263,0))),""))</f>
        <v/>
      </c>
      <c r="I283" s="6" t="n"/>
      <c r="J283" s="6" t="n"/>
    </row>
    <row r="284">
      <c r="A284" s="6" t="n"/>
      <c r="B284" s="6" t="n"/>
      <c r="C284">
        <f>IF(A284="","",IFERROR(INDEX(Attempts!$D$2:$D$200,MATCH(A284,Attempts!$A$2:$A$200,0)),"?"))</f>
        <v/>
      </c>
      <c r="D284">
        <f>IF(OR(A284="",B284=""),"",IFERROR(INDEX(Attempts!$M$2:$AP$200,MATCH(A284,Attempts!$A$2:$A$200,0),B284),""))</f>
        <v/>
      </c>
      <c r="E284">
        <f>IF(OR(C284="",B284=""),"",IFERROR(INDEX(Key!$C$2:$C$263,MATCH(C284*100+B284,Key!$G$2:$G$263,0)),""))</f>
        <v/>
      </c>
      <c r="F284">
        <f>IF(OR(C284="",B284=""),"",IFERROR(INDEX(Key!$E$2:$E$263,MATCH(C284*100+B284,Key!$G$2:$G$263,0)),""))</f>
        <v/>
      </c>
      <c r="G284" s="6" t="n"/>
      <c r="H284">
        <f>IF(OR(C284="",B284=""),"",IFERROR(INDEX(Papers!$K$2:$P$12,MATCH(C284,Papers!$A$2:$A$12,0),INDEX(Key!$D$2:$D$263,MATCH(C284*100+B284,Key!$G$2:$G$263,0))),""))</f>
        <v/>
      </c>
      <c r="I284" s="6" t="n"/>
      <c r="J284" s="6" t="n"/>
    </row>
    <row r="285">
      <c r="A285" s="6" t="n"/>
      <c r="B285" s="6" t="n"/>
      <c r="C285">
        <f>IF(A285="","",IFERROR(INDEX(Attempts!$D$2:$D$200,MATCH(A285,Attempts!$A$2:$A$200,0)),"?"))</f>
        <v/>
      </c>
      <c r="D285">
        <f>IF(OR(A285="",B285=""),"",IFERROR(INDEX(Attempts!$M$2:$AP$200,MATCH(A285,Attempts!$A$2:$A$200,0),B285),""))</f>
        <v/>
      </c>
      <c r="E285">
        <f>IF(OR(C285="",B285=""),"",IFERROR(INDEX(Key!$C$2:$C$263,MATCH(C285*100+B285,Key!$G$2:$G$263,0)),""))</f>
        <v/>
      </c>
      <c r="F285">
        <f>IF(OR(C285="",B285=""),"",IFERROR(INDEX(Key!$E$2:$E$263,MATCH(C285*100+B285,Key!$G$2:$G$263,0)),""))</f>
        <v/>
      </c>
      <c r="G285" s="6" t="n"/>
      <c r="H285">
        <f>IF(OR(C285="",B285=""),"",IFERROR(INDEX(Papers!$K$2:$P$12,MATCH(C285,Papers!$A$2:$A$12,0),INDEX(Key!$D$2:$D$263,MATCH(C285*100+B285,Key!$G$2:$G$263,0))),""))</f>
        <v/>
      </c>
      <c r="I285" s="6" t="n"/>
      <c r="J285" s="6" t="n"/>
    </row>
    <row r="286">
      <c r="A286" s="6" t="n"/>
      <c r="B286" s="6" t="n"/>
      <c r="C286">
        <f>IF(A286="","",IFERROR(INDEX(Attempts!$D$2:$D$200,MATCH(A286,Attempts!$A$2:$A$200,0)),"?"))</f>
        <v/>
      </c>
      <c r="D286">
        <f>IF(OR(A286="",B286=""),"",IFERROR(INDEX(Attempts!$M$2:$AP$200,MATCH(A286,Attempts!$A$2:$A$200,0),B286),""))</f>
        <v/>
      </c>
      <c r="E286">
        <f>IF(OR(C286="",B286=""),"",IFERROR(INDEX(Key!$C$2:$C$263,MATCH(C286*100+B286,Key!$G$2:$G$263,0)),""))</f>
        <v/>
      </c>
      <c r="F286">
        <f>IF(OR(C286="",B286=""),"",IFERROR(INDEX(Key!$E$2:$E$263,MATCH(C286*100+B286,Key!$G$2:$G$263,0)),""))</f>
        <v/>
      </c>
      <c r="G286" s="6" t="n"/>
      <c r="H286">
        <f>IF(OR(C286="",B286=""),"",IFERROR(INDEX(Papers!$K$2:$P$12,MATCH(C286,Papers!$A$2:$A$12,0),INDEX(Key!$D$2:$D$263,MATCH(C286*100+B286,Key!$G$2:$G$263,0))),""))</f>
        <v/>
      </c>
      <c r="I286" s="6" t="n"/>
      <c r="J286" s="6" t="n"/>
    </row>
    <row r="287">
      <c r="A287" s="6" t="n"/>
      <c r="B287" s="6" t="n"/>
      <c r="C287">
        <f>IF(A287="","",IFERROR(INDEX(Attempts!$D$2:$D$200,MATCH(A287,Attempts!$A$2:$A$200,0)),"?"))</f>
        <v/>
      </c>
      <c r="D287">
        <f>IF(OR(A287="",B287=""),"",IFERROR(INDEX(Attempts!$M$2:$AP$200,MATCH(A287,Attempts!$A$2:$A$200,0),B287),""))</f>
        <v/>
      </c>
      <c r="E287">
        <f>IF(OR(C287="",B287=""),"",IFERROR(INDEX(Key!$C$2:$C$263,MATCH(C287*100+B287,Key!$G$2:$G$263,0)),""))</f>
        <v/>
      </c>
      <c r="F287">
        <f>IF(OR(C287="",B287=""),"",IFERROR(INDEX(Key!$E$2:$E$263,MATCH(C287*100+B287,Key!$G$2:$G$263,0)),""))</f>
        <v/>
      </c>
      <c r="G287" s="6" t="n"/>
      <c r="H287">
        <f>IF(OR(C287="",B287=""),"",IFERROR(INDEX(Papers!$K$2:$P$12,MATCH(C287,Papers!$A$2:$A$12,0),INDEX(Key!$D$2:$D$263,MATCH(C287*100+B287,Key!$G$2:$G$263,0))),""))</f>
        <v/>
      </c>
      <c r="I287" s="6" t="n"/>
      <c r="J287" s="6" t="n"/>
    </row>
    <row r="288">
      <c r="A288" s="6" t="n"/>
      <c r="B288" s="6" t="n"/>
      <c r="C288">
        <f>IF(A288="","",IFERROR(INDEX(Attempts!$D$2:$D$200,MATCH(A288,Attempts!$A$2:$A$200,0)),"?"))</f>
        <v/>
      </c>
      <c r="D288">
        <f>IF(OR(A288="",B288=""),"",IFERROR(INDEX(Attempts!$M$2:$AP$200,MATCH(A288,Attempts!$A$2:$A$200,0),B288),""))</f>
        <v/>
      </c>
      <c r="E288">
        <f>IF(OR(C288="",B288=""),"",IFERROR(INDEX(Key!$C$2:$C$263,MATCH(C288*100+B288,Key!$G$2:$G$263,0)),""))</f>
        <v/>
      </c>
      <c r="F288">
        <f>IF(OR(C288="",B288=""),"",IFERROR(INDEX(Key!$E$2:$E$263,MATCH(C288*100+B288,Key!$G$2:$G$263,0)),""))</f>
        <v/>
      </c>
      <c r="G288" s="6" t="n"/>
      <c r="H288">
        <f>IF(OR(C288="",B288=""),"",IFERROR(INDEX(Papers!$K$2:$P$12,MATCH(C288,Papers!$A$2:$A$12,0),INDEX(Key!$D$2:$D$263,MATCH(C288*100+B288,Key!$G$2:$G$263,0))),""))</f>
        <v/>
      </c>
      <c r="I288" s="6" t="n"/>
      <c r="J288" s="6" t="n"/>
    </row>
    <row r="289">
      <c r="A289" s="6" t="n"/>
      <c r="B289" s="6" t="n"/>
      <c r="C289">
        <f>IF(A289="","",IFERROR(INDEX(Attempts!$D$2:$D$200,MATCH(A289,Attempts!$A$2:$A$200,0)),"?"))</f>
        <v/>
      </c>
      <c r="D289">
        <f>IF(OR(A289="",B289=""),"",IFERROR(INDEX(Attempts!$M$2:$AP$200,MATCH(A289,Attempts!$A$2:$A$200,0),B289),""))</f>
        <v/>
      </c>
      <c r="E289">
        <f>IF(OR(C289="",B289=""),"",IFERROR(INDEX(Key!$C$2:$C$263,MATCH(C289*100+B289,Key!$G$2:$G$263,0)),""))</f>
        <v/>
      </c>
      <c r="F289">
        <f>IF(OR(C289="",B289=""),"",IFERROR(INDEX(Key!$E$2:$E$263,MATCH(C289*100+B289,Key!$G$2:$G$263,0)),""))</f>
        <v/>
      </c>
      <c r="G289" s="6" t="n"/>
      <c r="H289">
        <f>IF(OR(C289="",B289=""),"",IFERROR(INDEX(Papers!$K$2:$P$12,MATCH(C289,Papers!$A$2:$A$12,0),INDEX(Key!$D$2:$D$263,MATCH(C289*100+B289,Key!$G$2:$G$263,0))),""))</f>
        <v/>
      </c>
      <c r="I289" s="6" t="n"/>
      <c r="J289" s="6" t="n"/>
    </row>
    <row r="290">
      <c r="A290" s="6" t="n"/>
      <c r="B290" s="6" t="n"/>
      <c r="C290">
        <f>IF(A290="","",IFERROR(INDEX(Attempts!$D$2:$D$200,MATCH(A290,Attempts!$A$2:$A$200,0)),"?"))</f>
        <v/>
      </c>
      <c r="D290">
        <f>IF(OR(A290="",B290=""),"",IFERROR(INDEX(Attempts!$M$2:$AP$200,MATCH(A290,Attempts!$A$2:$A$200,0),B290),""))</f>
        <v/>
      </c>
      <c r="E290">
        <f>IF(OR(C290="",B290=""),"",IFERROR(INDEX(Key!$C$2:$C$263,MATCH(C290*100+B290,Key!$G$2:$G$263,0)),""))</f>
        <v/>
      </c>
      <c r="F290">
        <f>IF(OR(C290="",B290=""),"",IFERROR(INDEX(Key!$E$2:$E$263,MATCH(C290*100+B290,Key!$G$2:$G$263,0)),""))</f>
        <v/>
      </c>
      <c r="G290" s="6" t="n"/>
      <c r="H290">
        <f>IF(OR(C290="",B290=""),"",IFERROR(INDEX(Papers!$K$2:$P$12,MATCH(C290,Papers!$A$2:$A$12,0),INDEX(Key!$D$2:$D$263,MATCH(C290*100+B290,Key!$G$2:$G$263,0))),""))</f>
        <v/>
      </c>
      <c r="I290" s="6" t="n"/>
      <c r="J290" s="6" t="n"/>
    </row>
    <row r="291">
      <c r="A291" s="6" t="n"/>
      <c r="B291" s="6" t="n"/>
      <c r="C291">
        <f>IF(A291="","",IFERROR(INDEX(Attempts!$D$2:$D$200,MATCH(A291,Attempts!$A$2:$A$200,0)),"?"))</f>
        <v/>
      </c>
      <c r="D291">
        <f>IF(OR(A291="",B291=""),"",IFERROR(INDEX(Attempts!$M$2:$AP$200,MATCH(A291,Attempts!$A$2:$A$200,0),B291),""))</f>
        <v/>
      </c>
      <c r="E291">
        <f>IF(OR(C291="",B291=""),"",IFERROR(INDEX(Key!$C$2:$C$263,MATCH(C291*100+B291,Key!$G$2:$G$263,0)),""))</f>
        <v/>
      </c>
      <c r="F291">
        <f>IF(OR(C291="",B291=""),"",IFERROR(INDEX(Key!$E$2:$E$263,MATCH(C291*100+B291,Key!$G$2:$G$263,0)),""))</f>
        <v/>
      </c>
      <c r="G291" s="6" t="n"/>
      <c r="H291">
        <f>IF(OR(C291="",B291=""),"",IFERROR(INDEX(Papers!$K$2:$P$12,MATCH(C291,Papers!$A$2:$A$12,0),INDEX(Key!$D$2:$D$263,MATCH(C291*100+B291,Key!$G$2:$G$263,0))),""))</f>
        <v/>
      </c>
      <c r="I291" s="6" t="n"/>
      <c r="J291" s="6" t="n"/>
    </row>
    <row r="292">
      <c r="A292" s="6" t="n"/>
      <c r="B292" s="6" t="n"/>
      <c r="C292">
        <f>IF(A292="","",IFERROR(INDEX(Attempts!$D$2:$D$200,MATCH(A292,Attempts!$A$2:$A$200,0)),"?"))</f>
        <v/>
      </c>
      <c r="D292">
        <f>IF(OR(A292="",B292=""),"",IFERROR(INDEX(Attempts!$M$2:$AP$200,MATCH(A292,Attempts!$A$2:$A$200,0),B292),""))</f>
        <v/>
      </c>
      <c r="E292">
        <f>IF(OR(C292="",B292=""),"",IFERROR(INDEX(Key!$C$2:$C$263,MATCH(C292*100+B292,Key!$G$2:$G$263,0)),""))</f>
        <v/>
      </c>
      <c r="F292">
        <f>IF(OR(C292="",B292=""),"",IFERROR(INDEX(Key!$E$2:$E$263,MATCH(C292*100+B292,Key!$G$2:$G$263,0)),""))</f>
        <v/>
      </c>
      <c r="G292" s="6" t="n"/>
      <c r="H292">
        <f>IF(OR(C292="",B292=""),"",IFERROR(INDEX(Papers!$K$2:$P$12,MATCH(C292,Papers!$A$2:$A$12,0),INDEX(Key!$D$2:$D$263,MATCH(C292*100+B292,Key!$G$2:$G$263,0))),""))</f>
        <v/>
      </c>
      <c r="I292" s="6" t="n"/>
      <c r="J292" s="6" t="n"/>
    </row>
    <row r="293">
      <c r="A293" s="6" t="n"/>
      <c r="B293" s="6" t="n"/>
      <c r="C293">
        <f>IF(A293="","",IFERROR(INDEX(Attempts!$D$2:$D$200,MATCH(A293,Attempts!$A$2:$A$200,0)),"?"))</f>
        <v/>
      </c>
      <c r="D293">
        <f>IF(OR(A293="",B293=""),"",IFERROR(INDEX(Attempts!$M$2:$AP$200,MATCH(A293,Attempts!$A$2:$A$200,0),B293),""))</f>
        <v/>
      </c>
      <c r="E293">
        <f>IF(OR(C293="",B293=""),"",IFERROR(INDEX(Key!$C$2:$C$263,MATCH(C293*100+B293,Key!$G$2:$G$263,0)),""))</f>
        <v/>
      </c>
      <c r="F293">
        <f>IF(OR(C293="",B293=""),"",IFERROR(INDEX(Key!$E$2:$E$263,MATCH(C293*100+B293,Key!$G$2:$G$263,0)),""))</f>
        <v/>
      </c>
      <c r="G293" s="6" t="n"/>
      <c r="H293">
        <f>IF(OR(C293="",B293=""),"",IFERROR(INDEX(Papers!$K$2:$P$12,MATCH(C293,Papers!$A$2:$A$12,0),INDEX(Key!$D$2:$D$263,MATCH(C293*100+B293,Key!$G$2:$G$263,0))),""))</f>
        <v/>
      </c>
      <c r="I293" s="6" t="n"/>
      <c r="J293" s="6" t="n"/>
    </row>
    <row r="294">
      <c r="A294" s="6" t="n"/>
      <c r="B294" s="6" t="n"/>
      <c r="C294">
        <f>IF(A294="","",IFERROR(INDEX(Attempts!$D$2:$D$200,MATCH(A294,Attempts!$A$2:$A$200,0)),"?"))</f>
        <v/>
      </c>
      <c r="D294">
        <f>IF(OR(A294="",B294=""),"",IFERROR(INDEX(Attempts!$M$2:$AP$200,MATCH(A294,Attempts!$A$2:$A$200,0),B294),""))</f>
        <v/>
      </c>
      <c r="E294">
        <f>IF(OR(C294="",B294=""),"",IFERROR(INDEX(Key!$C$2:$C$263,MATCH(C294*100+B294,Key!$G$2:$G$263,0)),""))</f>
        <v/>
      </c>
      <c r="F294">
        <f>IF(OR(C294="",B294=""),"",IFERROR(INDEX(Key!$E$2:$E$263,MATCH(C294*100+B294,Key!$G$2:$G$263,0)),""))</f>
        <v/>
      </c>
      <c r="G294" s="6" t="n"/>
      <c r="H294">
        <f>IF(OR(C294="",B294=""),"",IFERROR(INDEX(Papers!$K$2:$P$12,MATCH(C294,Papers!$A$2:$A$12,0),INDEX(Key!$D$2:$D$263,MATCH(C294*100+B294,Key!$G$2:$G$263,0))),""))</f>
        <v/>
      </c>
      <c r="I294" s="6" t="n"/>
      <c r="J294" s="6" t="n"/>
    </row>
    <row r="295">
      <c r="A295" s="6" t="n"/>
      <c r="B295" s="6" t="n"/>
      <c r="C295">
        <f>IF(A295="","",IFERROR(INDEX(Attempts!$D$2:$D$200,MATCH(A295,Attempts!$A$2:$A$200,0)),"?"))</f>
        <v/>
      </c>
      <c r="D295">
        <f>IF(OR(A295="",B295=""),"",IFERROR(INDEX(Attempts!$M$2:$AP$200,MATCH(A295,Attempts!$A$2:$A$200,0),B295),""))</f>
        <v/>
      </c>
      <c r="E295">
        <f>IF(OR(C295="",B295=""),"",IFERROR(INDEX(Key!$C$2:$C$263,MATCH(C295*100+B295,Key!$G$2:$G$263,0)),""))</f>
        <v/>
      </c>
      <c r="F295">
        <f>IF(OR(C295="",B295=""),"",IFERROR(INDEX(Key!$E$2:$E$263,MATCH(C295*100+B295,Key!$G$2:$G$263,0)),""))</f>
        <v/>
      </c>
      <c r="G295" s="6" t="n"/>
      <c r="H295">
        <f>IF(OR(C295="",B295=""),"",IFERROR(INDEX(Papers!$K$2:$P$12,MATCH(C295,Papers!$A$2:$A$12,0),INDEX(Key!$D$2:$D$263,MATCH(C295*100+B295,Key!$G$2:$G$263,0))),""))</f>
        <v/>
      </c>
      <c r="I295" s="6" t="n"/>
      <c r="J295" s="6" t="n"/>
    </row>
    <row r="296">
      <c r="A296" s="6" t="n"/>
      <c r="B296" s="6" t="n"/>
      <c r="C296">
        <f>IF(A296="","",IFERROR(INDEX(Attempts!$D$2:$D$200,MATCH(A296,Attempts!$A$2:$A$200,0)),"?"))</f>
        <v/>
      </c>
      <c r="D296">
        <f>IF(OR(A296="",B296=""),"",IFERROR(INDEX(Attempts!$M$2:$AP$200,MATCH(A296,Attempts!$A$2:$A$200,0),B296),""))</f>
        <v/>
      </c>
      <c r="E296">
        <f>IF(OR(C296="",B296=""),"",IFERROR(INDEX(Key!$C$2:$C$263,MATCH(C296*100+B296,Key!$G$2:$G$263,0)),""))</f>
        <v/>
      </c>
      <c r="F296">
        <f>IF(OR(C296="",B296=""),"",IFERROR(INDEX(Key!$E$2:$E$263,MATCH(C296*100+B296,Key!$G$2:$G$263,0)),""))</f>
        <v/>
      </c>
      <c r="G296" s="6" t="n"/>
      <c r="H296">
        <f>IF(OR(C296="",B296=""),"",IFERROR(INDEX(Papers!$K$2:$P$12,MATCH(C296,Papers!$A$2:$A$12,0),INDEX(Key!$D$2:$D$263,MATCH(C296*100+B296,Key!$G$2:$G$263,0))),""))</f>
        <v/>
      </c>
      <c r="I296" s="6" t="n"/>
      <c r="J296" s="6" t="n"/>
    </row>
    <row r="297">
      <c r="A297" s="6" t="n"/>
      <c r="B297" s="6" t="n"/>
      <c r="C297">
        <f>IF(A297="","",IFERROR(INDEX(Attempts!$D$2:$D$200,MATCH(A297,Attempts!$A$2:$A$200,0)),"?"))</f>
        <v/>
      </c>
      <c r="D297">
        <f>IF(OR(A297="",B297=""),"",IFERROR(INDEX(Attempts!$M$2:$AP$200,MATCH(A297,Attempts!$A$2:$A$200,0),B297),""))</f>
        <v/>
      </c>
      <c r="E297">
        <f>IF(OR(C297="",B297=""),"",IFERROR(INDEX(Key!$C$2:$C$263,MATCH(C297*100+B297,Key!$G$2:$G$263,0)),""))</f>
        <v/>
      </c>
      <c r="F297">
        <f>IF(OR(C297="",B297=""),"",IFERROR(INDEX(Key!$E$2:$E$263,MATCH(C297*100+B297,Key!$G$2:$G$263,0)),""))</f>
        <v/>
      </c>
      <c r="G297" s="6" t="n"/>
      <c r="H297">
        <f>IF(OR(C297="",B297=""),"",IFERROR(INDEX(Papers!$K$2:$P$12,MATCH(C297,Papers!$A$2:$A$12,0),INDEX(Key!$D$2:$D$263,MATCH(C297*100+B297,Key!$G$2:$G$263,0))),""))</f>
        <v/>
      </c>
      <c r="I297" s="6" t="n"/>
      <c r="J297" s="6" t="n"/>
    </row>
    <row r="298">
      <c r="A298" s="6" t="n"/>
      <c r="B298" s="6" t="n"/>
      <c r="C298">
        <f>IF(A298="","",IFERROR(INDEX(Attempts!$D$2:$D$200,MATCH(A298,Attempts!$A$2:$A$200,0)),"?"))</f>
        <v/>
      </c>
      <c r="D298">
        <f>IF(OR(A298="",B298=""),"",IFERROR(INDEX(Attempts!$M$2:$AP$200,MATCH(A298,Attempts!$A$2:$A$200,0),B298),""))</f>
        <v/>
      </c>
      <c r="E298">
        <f>IF(OR(C298="",B298=""),"",IFERROR(INDEX(Key!$C$2:$C$263,MATCH(C298*100+B298,Key!$G$2:$G$263,0)),""))</f>
        <v/>
      </c>
      <c r="F298">
        <f>IF(OR(C298="",B298=""),"",IFERROR(INDEX(Key!$E$2:$E$263,MATCH(C298*100+B298,Key!$G$2:$G$263,0)),""))</f>
        <v/>
      </c>
      <c r="G298" s="6" t="n"/>
      <c r="H298">
        <f>IF(OR(C298="",B298=""),"",IFERROR(INDEX(Papers!$K$2:$P$12,MATCH(C298,Papers!$A$2:$A$12,0),INDEX(Key!$D$2:$D$263,MATCH(C298*100+B298,Key!$G$2:$G$263,0))),""))</f>
        <v/>
      </c>
      <c r="I298" s="6" t="n"/>
      <c r="J298" s="6" t="n"/>
    </row>
    <row r="299">
      <c r="A299" s="6" t="n"/>
      <c r="B299" s="6" t="n"/>
      <c r="C299">
        <f>IF(A299="","",IFERROR(INDEX(Attempts!$D$2:$D$200,MATCH(A299,Attempts!$A$2:$A$200,0)),"?"))</f>
        <v/>
      </c>
      <c r="D299">
        <f>IF(OR(A299="",B299=""),"",IFERROR(INDEX(Attempts!$M$2:$AP$200,MATCH(A299,Attempts!$A$2:$A$200,0),B299),""))</f>
        <v/>
      </c>
      <c r="E299">
        <f>IF(OR(C299="",B299=""),"",IFERROR(INDEX(Key!$C$2:$C$263,MATCH(C299*100+B299,Key!$G$2:$G$263,0)),""))</f>
        <v/>
      </c>
      <c r="F299">
        <f>IF(OR(C299="",B299=""),"",IFERROR(INDEX(Key!$E$2:$E$263,MATCH(C299*100+B299,Key!$G$2:$G$263,0)),""))</f>
        <v/>
      </c>
      <c r="G299" s="6" t="n"/>
      <c r="H299">
        <f>IF(OR(C299="",B299=""),"",IFERROR(INDEX(Papers!$K$2:$P$12,MATCH(C299,Papers!$A$2:$A$12,0),INDEX(Key!$D$2:$D$263,MATCH(C299*100+B299,Key!$G$2:$G$263,0))),""))</f>
        <v/>
      </c>
      <c r="I299" s="6" t="n"/>
      <c r="J299" s="6" t="n"/>
    </row>
    <row r="300">
      <c r="A300" s="6" t="n"/>
      <c r="B300" s="6" t="n"/>
      <c r="C300">
        <f>IF(A300="","",IFERROR(INDEX(Attempts!$D$2:$D$200,MATCH(A300,Attempts!$A$2:$A$200,0)),"?"))</f>
        <v/>
      </c>
      <c r="D300">
        <f>IF(OR(A300="",B300=""),"",IFERROR(INDEX(Attempts!$M$2:$AP$200,MATCH(A300,Attempts!$A$2:$A$200,0),B300),""))</f>
        <v/>
      </c>
      <c r="E300">
        <f>IF(OR(C300="",B300=""),"",IFERROR(INDEX(Key!$C$2:$C$263,MATCH(C300*100+B300,Key!$G$2:$G$263,0)),""))</f>
        <v/>
      </c>
      <c r="F300">
        <f>IF(OR(C300="",B300=""),"",IFERROR(INDEX(Key!$E$2:$E$263,MATCH(C300*100+B300,Key!$G$2:$G$263,0)),""))</f>
        <v/>
      </c>
      <c r="G300" s="6" t="n"/>
      <c r="H300">
        <f>IF(OR(C300="",B300=""),"",IFERROR(INDEX(Papers!$K$2:$P$12,MATCH(C300,Papers!$A$2:$A$12,0),INDEX(Key!$D$2:$D$263,MATCH(C300*100+B300,Key!$G$2:$G$263,0))),""))</f>
        <v/>
      </c>
      <c r="I300" s="6" t="n"/>
      <c r="J300" s="6" t="n"/>
    </row>
    <row r="301">
      <c r="A301" s="6" t="n"/>
      <c r="B301" s="6" t="n"/>
      <c r="C301">
        <f>IF(A301="","",IFERROR(INDEX(Attempts!$D$2:$D$200,MATCH(A301,Attempts!$A$2:$A$200,0)),"?"))</f>
        <v/>
      </c>
      <c r="D301">
        <f>IF(OR(A301="",B301=""),"",IFERROR(INDEX(Attempts!$M$2:$AP$200,MATCH(A301,Attempts!$A$2:$A$200,0),B301),""))</f>
        <v/>
      </c>
      <c r="E301">
        <f>IF(OR(C301="",B301=""),"",IFERROR(INDEX(Key!$C$2:$C$263,MATCH(C301*100+B301,Key!$G$2:$G$263,0)),""))</f>
        <v/>
      </c>
      <c r="F301">
        <f>IF(OR(C301="",B301=""),"",IFERROR(INDEX(Key!$E$2:$E$263,MATCH(C301*100+B301,Key!$G$2:$G$263,0)),""))</f>
        <v/>
      </c>
      <c r="G301" s="6" t="n"/>
      <c r="H301">
        <f>IF(OR(C301="",B301=""),"",IFERROR(INDEX(Papers!$K$2:$P$12,MATCH(C301,Papers!$A$2:$A$12,0),INDEX(Key!$D$2:$D$263,MATCH(C301*100+B301,Key!$G$2:$G$263,0))),""))</f>
        <v/>
      </c>
      <c r="I301" s="6" t="n"/>
      <c r="J301" s="6" t="n"/>
    </row>
    <row r="302">
      <c r="A302" s="6" t="n"/>
      <c r="B302" s="6" t="n"/>
      <c r="C302">
        <f>IF(A302="","",IFERROR(INDEX(Attempts!$D$2:$D$200,MATCH(A302,Attempts!$A$2:$A$200,0)),"?"))</f>
        <v/>
      </c>
      <c r="D302">
        <f>IF(OR(A302="",B302=""),"",IFERROR(INDEX(Attempts!$M$2:$AP$200,MATCH(A302,Attempts!$A$2:$A$200,0),B302),""))</f>
        <v/>
      </c>
      <c r="E302">
        <f>IF(OR(C302="",B302=""),"",IFERROR(INDEX(Key!$C$2:$C$263,MATCH(C302*100+B302,Key!$G$2:$G$263,0)),""))</f>
        <v/>
      </c>
      <c r="F302">
        <f>IF(OR(C302="",B302=""),"",IFERROR(INDEX(Key!$E$2:$E$263,MATCH(C302*100+B302,Key!$G$2:$G$263,0)),""))</f>
        <v/>
      </c>
      <c r="G302" s="6" t="n"/>
      <c r="H302">
        <f>IF(OR(C302="",B302=""),"",IFERROR(INDEX(Papers!$K$2:$P$12,MATCH(C302,Papers!$A$2:$A$12,0),INDEX(Key!$D$2:$D$263,MATCH(C302*100+B302,Key!$G$2:$G$263,0))),""))</f>
        <v/>
      </c>
      <c r="I302" s="6" t="n"/>
      <c r="J302" s="6" t="n"/>
    </row>
    <row r="303">
      <c r="A303" s="6" t="n"/>
      <c r="B303" s="6" t="n"/>
      <c r="C303">
        <f>IF(A303="","",IFERROR(INDEX(Attempts!$D$2:$D$200,MATCH(A303,Attempts!$A$2:$A$200,0)),"?"))</f>
        <v/>
      </c>
      <c r="D303">
        <f>IF(OR(A303="",B303=""),"",IFERROR(INDEX(Attempts!$M$2:$AP$200,MATCH(A303,Attempts!$A$2:$A$200,0),B303),""))</f>
        <v/>
      </c>
      <c r="E303">
        <f>IF(OR(C303="",B303=""),"",IFERROR(INDEX(Key!$C$2:$C$263,MATCH(C303*100+B303,Key!$G$2:$G$263,0)),""))</f>
        <v/>
      </c>
      <c r="F303">
        <f>IF(OR(C303="",B303=""),"",IFERROR(INDEX(Key!$E$2:$E$263,MATCH(C303*100+B303,Key!$G$2:$G$263,0)),""))</f>
        <v/>
      </c>
      <c r="G303" s="6" t="n"/>
      <c r="H303">
        <f>IF(OR(C303="",B303=""),"",IFERROR(INDEX(Papers!$K$2:$P$12,MATCH(C303,Papers!$A$2:$A$12,0),INDEX(Key!$D$2:$D$263,MATCH(C303*100+B303,Key!$G$2:$G$263,0))),""))</f>
        <v/>
      </c>
      <c r="I303" s="6" t="n"/>
      <c r="J303" s="6" t="n"/>
    </row>
    <row r="304">
      <c r="A304" s="6" t="n"/>
      <c r="B304" s="6" t="n"/>
      <c r="C304">
        <f>IF(A304="","",IFERROR(INDEX(Attempts!$D$2:$D$200,MATCH(A304,Attempts!$A$2:$A$200,0)),"?"))</f>
        <v/>
      </c>
      <c r="D304">
        <f>IF(OR(A304="",B304=""),"",IFERROR(INDEX(Attempts!$M$2:$AP$200,MATCH(A304,Attempts!$A$2:$A$200,0),B304),""))</f>
        <v/>
      </c>
      <c r="E304">
        <f>IF(OR(C304="",B304=""),"",IFERROR(INDEX(Key!$C$2:$C$263,MATCH(C304*100+B304,Key!$G$2:$G$263,0)),""))</f>
        <v/>
      </c>
      <c r="F304">
        <f>IF(OR(C304="",B304=""),"",IFERROR(INDEX(Key!$E$2:$E$263,MATCH(C304*100+B304,Key!$G$2:$G$263,0)),""))</f>
        <v/>
      </c>
      <c r="G304" s="6" t="n"/>
      <c r="H304">
        <f>IF(OR(C304="",B304=""),"",IFERROR(INDEX(Papers!$K$2:$P$12,MATCH(C304,Papers!$A$2:$A$12,0),INDEX(Key!$D$2:$D$263,MATCH(C304*100+B304,Key!$G$2:$G$263,0))),""))</f>
        <v/>
      </c>
      <c r="I304" s="6" t="n"/>
      <c r="J304" s="6" t="n"/>
    </row>
    <row r="305">
      <c r="A305" s="6" t="n"/>
      <c r="B305" s="6" t="n"/>
      <c r="C305">
        <f>IF(A305="","",IFERROR(INDEX(Attempts!$D$2:$D$200,MATCH(A305,Attempts!$A$2:$A$200,0)),"?"))</f>
        <v/>
      </c>
      <c r="D305">
        <f>IF(OR(A305="",B305=""),"",IFERROR(INDEX(Attempts!$M$2:$AP$200,MATCH(A305,Attempts!$A$2:$A$200,0),B305),""))</f>
        <v/>
      </c>
      <c r="E305">
        <f>IF(OR(C305="",B305=""),"",IFERROR(INDEX(Key!$C$2:$C$263,MATCH(C305*100+B305,Key!$G$2:$G$263,0)),""))</f>
        <v/>
      </c>
      <c r="F305">
        <f>IF(OR(C305="",B305=""),"",IFERROR(INDEX(Key!$E$2:$E$263,MATCH(C305*100+B305,Key!$G$2:$G$263,0)),""))</f>
        <v/>
      </c>
      <c r="G305" s="6" t="n"/>
      <c r="H305">
        <f>IF(OR(C305="",B305=""),"",IFERROR(INDEX(Papers!$K$2:$P$12,MATCH(C305,Papers!$A$2:$A$12,0),INDEX(Key!$D$2:$D$263,MATCH(C305*100+B305,Key!$G$2:$G$263,0))),""))</f>
        <v/>
      </c>
      <c r="I305" s="6" t="n"/>
      <c r="J305" s="6" t="n"/>
    </row>
    <row r="306">
      <c r="A306" s="6" t="n"/>
      <c r="B306" s="6" t="n"/>
      <c r="C306">
        <f>IF(A306="","",IFERROR(INDEX(Attempts!$D$2:$D$200,MATCH(A306,Attempts!$A$2:$A$200,0)),"?"))</f>
        <v/>
      </c>
      <c r="D306">
        <f>IF(OR(A306="",B306=""),"",IFERROR(INDEX(Attempts!$M$2:$AP$200,MATCH(A306,Attempts!$A$2:$A$200,0),B306),""))</f>
        <v/>
      </c>
      <c r="E306">
        <f>IF(OR(C306="",B306=""),"",IFERROR(INDEX(Key!$C$2:$C$263,MATCH(C306*100+B306,Key!$G$2:$G$263,0)),""))</f>
        <v/>
      </c>
      <c r="F306">
        <f>IF(OR(C306="",B306=""),"",IFERROR(INDEX(Key!$E$2:$E$263,MATCH(C306*100+B306,Key!$G$2:$G$263,0)),""))</f>
        <v/>
      </c>
      <c r="G306" s="6" t="n"/>
      <c r="H306">
        <f>IF(OR(C306="",B306=""),"",IFERROR(INDEX(Papers!$K$2:$P$12,MATCH(C306,Papers!$A$2:$A$12,0),INDEX(Key!$D$2:$D$263,MATCH(C306*100+B306,Key!$G$2:$G$263,0))),""))</f>
        <v/>
      </c>
      <c r="I306" s="6" t="n"/>
      <c r="J306" s="6" t="n"/>
    </row>
    <row r="307">
      <c r="A307" s="6" t="n"/>
      <c r="B307" s="6" t="n"/>
      <c r="C307">
        <f>IF(A307="","",IFERROR(INDEX(Attempts!$D$2:$D$200,MATCH(A307,Attempts!$A$2:$A$200,0)),"?"))</f>
        <v/>
      </c>
      <c r="D307">
        <f>IF(OR(A307="",B307=""),"",IFERROR(INDEX(Attempts!$M$2:$AP$200,MATCH(A307,Attempts!$A$2:$A$200,0),B307),""))</f>
        <v/>
      </c>
      <c r="E307">
        <f>IF(OR(C307="",B307=""),"",IFERROR(INDEX(Key!$C$2:$C$263,MATCH(C307*100+B307,Key!$G$2:$G$263,0)),""))</f>
        <v/>
      </c>
      <c r="F307">
        <f>IF(OR(C307="",B307=""),"",IFERROR(INDEX(Key!$E$2:$E$263,MATCH(C307*100+B307,Key!$G$2:$G$263,0)),""))</f>
        <v/>
      </c>
      <c r="G307" s="6" t="n"/>
      <c r="H307">
        <f>IF(OR(C307="",B307=""),"",IFERROR(INDEX(Papers!$K$2:$P$12,MATCH(C307,Papers!$A$2:$A$12,0),INDEX(Key!$D$2:$D$263,MATCH(C307*100+B307,Key!$G$2:$G$263,0))),""))</f>
        <v/>
      </c>
      <c r="I307" s="6" t="n"/>
      <c r="J307" s="6" t="n"/>
    </row>
    <row r="308">
      <c r="A308" s="6" t="n"/>
      <c r="B308" s="6" t="n"/>
      <c r="C308">
        <f>IF(A308="","",IFERROR(INDEX(Attempts!$D$2:$D$200,MATCH(A308,Attempts!$A$2:$A$200,0)),"?"))</f>
        <v/>
      </c>
      <c r="D308">
        <f>IF(OR(A308="",B308=""),"",IFERROR(INDEX(Attempts!$M$2:$AP$200,MATCH(A308,Attempts!$A$2:$A$200,0),B308),""))</f>
        <v/>
      </c>
      <c r="E308">
        <f>IF(OR(C308="",B308=""),"",IFERROR(INDEX(Key!$C$2:$C$263,MATCH(C308*100+B308,Key!$G$2:$G$263,0)),""))</f>
        <v/>
      </c>
      <c r="F308">
        <f>IF(OR(C308="",B308=""),"",IFERROR(INDEX(Key!$E$2:$E$263,MATCH(C308*100+B308,Key!$G$2:$G$263,0)),""))</f>
        <v/>
      </c>
      <c r="G308" s="6" t="n"/>
      <c r="H308">
        <f>IF(OR(C308="",B308=""),"",IFERROR(INDEX(Papers!$K$2:$P$12,MATCH(C308,Papers!$A$2:$A$12,0),INDEX(Key!$D$2:$D$263,MATCH(C308*100+B308,Key!$G$2:$G$263,0))),""))</f>
        <v/>
      </c>
      <c r="I308" s="6" t="n"/>
      <c r="J308" s="6" t="n"/>
    </row>
    <row r="309">
      <c r="A309" s="6" t="n"/>
      <c r="B309" s="6" t="n"/>
      <c r="C309">
        <f>IF(A309="","",IFERROR(INDEX(Attempts!$D$2:$D$200,MATCH(A309,Attempts!$A$2:$A$200,0)),"?"))</f>
        <v/>
      </c>
      <c r="D309">
        <f>IF(OR(A309="",B309=""),"",IFERROR(INDEX(Attempts!$M$2:$AP$200,MATCH(A309,Attempts!$A$2:$A$200,0),B309),""))</f>
        <v/>
      </c>
      <c r="E309">
        <f>IF(OR(C309="",B309=""),"",IFERROR(INDEX(Key!$C$2:$C$263,MATCH(C309*100+B309,Key!$G$2:$G$263,0)),""))</f>
        <v/>
      </c>
      <c r="F309">
        <f>IF(OR(C309="",B309=""),"",IFERROR(INDEX(Key!$E$2:$E$263,MATCH(C309*100+B309,Key!$G$2:$G$263,0)),""))</f>
        <v/>
      </c>
      <c r="G309" s="6" t="n"/>
      <c r="H309">
        <f>IF(OR(C309="",B309=""),"",IFERROR(INDEX(Papers!$K$2:$P$12,MATCH(C309,Papers!$A$2:$A$12,0),INDEX(Key!$D$2:$D$263,MATCH(C309*100+B309,Key!$G$2:$G$263,0))),""))</f>
        <v/>
      </c>
      <c r="I309" s="6" t="n"/>
      <c r="J309" s="6" t="n"/>
    </row>
    <row r="310">
      <c r="A310" s="6" t="n"/>
      <c r="B310" s="6" t="n"/>
      <c r="C310">
        <f>IF(A310="","",IFERROR(INDEX(Attempts!$D$2:$D$200,MATCH(A310,Attempts!$A$2:$A$200,0)),"?"))</f>
        <v/>
      </c>
      <c r="D310">
        <f>IF(OR(A310="",B310=""),"",IFERROR(INDEX(Attempts!$M$2:$AP$200,MATCH(A310,Attempts!$A$2:$A$200,0),B310),""))</f>
        <v/>
      </c>
      <c r="E310">
        <f>IF(OR(C310="",B310=""),"",IFERROR(INDEX(Key!$C$2:$C$263,MATCH(C310*100+B310,Key!$G$2:$G$263,0)),""))</f>
        <v/>
      </c>
      <c r="F310">
        <f>IF(OR(C310="",B310=""),"",IFERROR(INDEX(Key!$E$2:$E$263,MATCH(C310*100+B310,Key!$G$2:$G$263,0)),""))</f>
        <v/>
      </c>
      <c r="G310" s="6" t="n"/>
      <c r="H310">
        <f>IF(OR(C310="",B310=""),"",IFERROR(INDEX(Papers!$K$2:$P$12,MATCH(C310,Papers!$A$2:$A$12,0),INDEX(Key!$D$2:$D$263,MATCH(C310*100+B310,Key!$G$2:$G$263,0))),""))</f>
        <v/>
      </c>
      <c r="I310" s="6" t="n"/>
      <c r="J310" s="6" t="n"/>
    </row>
    <row r="311">
      <c r="A311" s="6" t="n"/>
      <c r="B311" s="6" t="n"/>
      <c r="C311">
        <f>IF(A311="","",IFERROR(INDEX(Attempts!$D$2:$D$200,MATCH(A311,Attempts!$A$2:$A$200,0)),"?"))</f>
        <v/>
      </c>
      <c r="D311">
        <f>IF(OR(A311="",B311=""),"",IFERROR(INDEX(Attempts!$M$2:$AP$200,MATCH(A311,Attempts!$A$2:$A$200,0),B311),""))</f>
        <v/>
      </c>
      <c r="E311">
        <f>IF(OR(C311="",B311=""),"",IFERROR(INDEX(Key!$C$2:$C$263,MATCH(C311*100+B311,Key!$G$2:$G$263,0)),""))</f>
        <v/>
      </c>
      <c r="F311">
        <f>IF(OR(C311="",B311=""),"",IFERROR(INDEX(Key!$E$2:$E$263,MATCH(C311*100+B311,Key!$G$2:$G$263,0)),""))</f>
        <v/>
      </c>
      <c r="G311" s="6" t="n"/>
      <c r="H311">
        <f>IF(OR(C311="",B311=""),"",IFERROR(INDEX(Papers!$K$2:$P$12,MATCH(C311,Papers!$A$2:$A$12,0),INDEX(Key!$D$2:$D$263,MATCH(C311*100+B311,Key!$G$2:$G$263,0))),""))</f>
        <v/>
      </c>
      <c r="I311" s="6" t="n"/>
      <c r="J311" s="6" t="n"/>
    </row>
    <row r="312">
      <c r="A312" s="6" t="n"/>
      <c r="B312" s="6" t="n"/>
      <c r="C312">
        <f>IF(A312="","",IFERROR(INDEX(Attempts!$D$2:$D$200,MATCH(A312,Attempts!$A$2:$A$200,0)),"?"))</f>
        <v/>
      </c>
      <c r="D312">
        <f>IF(OR(A312="",B312=""),"",IFERROR(INDEX(Attempts!$M$2:$AP$200,MATCH(A312,Attempts!$A$2:$A$200,0),B312),""))</f>
        <v/>
      </c>
      <c r="E312">
        <f>IF(OR(C312="",B312=""),"",IFERROR(INDEX(Key!$C$2:$C$263,MATCH(C312*100+B312,Key!$G$2:$G$263,0)),""))</f>
        <v/>
      </c>
      <c r="F312">
        <f>IF(OR(C312="",B312=""),"",IFERROR(INDEX(Key!$E$2:$E$263,MATCH(C312*100+B312,Key!$G$2:$G$263,0)),""))</f>
        <v/>
      </c>
      <c r="G312" s="6" t="n"/>
      <c r="H312">
        <f>IF(OR(C312="",B312=""),"",IFERROR(INDEX(Papers!$K$2:$P$12,MATCH(C312,Papers!$A$2:$A$12,0),INDEX(Key!$D$2:$D$263,MATCH(C312*100+B312,Key!$G$2:$G$263,0))),""))</f>
        <v/>
      </c>
      <c r="I312" s="6" t="n"/>
      <c r="J312" s="6" t="n"/>
    </row>
    <row r="313">
      <c r="A313" s="6" t="n"/>
      <c r="B313" s="6" t="n"/>
      <c r="C313">
        <f>IF(A313="","",IFERROR(INDEX(Attempts!$D$2:$D$200,MATCH(A313,Attempts!$A$2:$A$200,0)),"?"))</f>
        <v/>
      </c>
      <c r="D313">
        <f>IF(OR(A313="",B313=""),"",IFERROR(INDEX(Attempts!$M$2:$AP$200,MATCH(A313,Attempts!$A$2:$A$200,0),B313),""))</f>
        <v/>
      </c>
      <c r="E313">
        <f>IF(OR(C313="",B313=""),"",IFERROR(INDEX(Key!$C$2:$C$263,MATCH(C313*100+B313,Key!$G$2:$G$263,0)),""))</f>
        <v/>
      </c>
      <c r="F313">
        <f>IF(OR(C313="",B313=""),"",IFERROR(INDEX(Key!$E$2:$E$263,MATCH(C313*100+B313,Key!$G$2:$G$263,0)),""))</f>
        <v/>
      </c>
      <c r="G313" s="6" t="n"/>
      <c r="H313">
        <f>IF(OR(C313="",B313=""),"",IFERROR(INDEX(Papers!$K$2:$P$12,MATCH(C313,Papers!$A$2:$A$12,0),INDEX(Key!$D$2:$D$263,MATCH(C313*100+B313,Key!$G$2:$G$263,0))),""))</f>
        <v/>
      </c>
      <c r="I313" s="6" t="n"/>
      <c r="J313" s="6" t="n"/>
    </row>
    <row r="314">
      <c r="A314" s="6" t="n"/>
      <c r="B314" s="6" t="n"/>
      <c r="C314">
        <f>IF(A314="","",IFERROR(INDEX(Attempts!$D$2:$D$200,MATCH(A314,Attempts!$A$2:$A$200,0)),"?"))</f>
        <v/>
      </c>
      <c r="D314">
        <f>IF(OR(A314="",B314=""),"",IFERROR(INDEX(Attempts!$M$2:$AP$200,MATCH(A314,Attempts!$A$2:$A$200,0),B314),""))</f>
        <v/>
      </c>
      <c r="E314">
        <f>IF(OR(C314="",B314=""),"",IFERROR(INDEX(Key!$C$2:$C$263,MATCH(C314*100+B314,Key!$G$2:$G$263,0)),""))</f>
        <v/>
      </c>
      <c r="F314">
        <f>IF(OR(C314="",B314=""),"",IFERROR(INDEX(Key!$E$2:$E$263,MATCH(C314*100+B314,Key!$G$2:$G$263,0)),""))</f>
        <v/>
      </c>
      <c r="G314" s="6" t="n"/>
      <c r="H314">
        <f>IF(OR(C314="",B314=""),"",IFERROR(INDEX(Papers!$K$2:$P$12,MATCH(C314,Papers!$A$2:$A$12,0),INDEX(Key!$D$2:$D$263,MATCH(C314*100+B314,Key!$G$2:$G$263,0))),""))</f>
        <v/>
      </c>
      <c r="I314" s="6" t="n"/>
      <c r="J314" s="6" t="n"/>
    </row>
    <row r="315">
      <c r="A315" s="6" t="n"/>
      <c r="B315" s="6" t="n"/>
      <c r="C315">
        <f>IF(A315="","",IFERROR(INDEX(Attempts!$D$2:$D$200,MATCH(A315,Attempts!$A$2:$A$200,0)),"?"))</f>
        <v/>
      </c>
      <c r="D315">
        <f>IF(OR(A315="",B315=""),"",IFERROR(INDEX(Attempts!$M$2:$AP$200,MATCH(A315,Attempts!$A$2:$A$200,0),B315),""))</f>
        <v/>
      </c>
      <c r="E315">
        <f>IF(OR(C315="",B315=""),"",IFERROR(INDEX(Key!$C$2:$C$263,MATCH(C315*100+B315,Key!$G$2:$G$263,0)),""))</f>
        <v/>
      </c>
      <c r="F315">
        <f>IF(OR(C315="",B315=""),"",IFERROR(INDEX(Key!$E$2:$E$263,MATCH(C315*100+B315,Key!$G$2:$G$263,0)),""))</f>
        <v/>
      </c>
      <c r="G315" s="6" t="n"/>
      <c r="H315">
        <f>IF(OR(C315="",B315=""),"",IFERROR(INDEX(Papers!$K$2:$P$12,MATCH(C315,Papers!$A$2:$A$12,0),INDEX(Key!$D$2:$D$263,MATCH(C315*100+B315,Key!$G$2:$G$263,0))),""))</f>
        <v/>
      </c>
      <c r="I315" s="6" t="n"/>
      <c r="J315" s="6" t="n"/>
    </row>
    <row r="316">
      <c r="A316" s="6" t="n"/>
      <c r="B316" s="6" t="n"/>
      <c r="C316">
        <f>IF(A316="","",IFERROR(INDEX(Attempts!$D$2:$D$200,MATCH(A316,Attempts!$A$2:$A$200,0)),"?"))</f>
        <v/>
      </c>
      <c r="D316">
        <f>IF(OR(A316="",B316=""),"",IFERROR(INDEX(Attempts!$M$2:$AP$200,MATCH(A316,Attempts!$A$2:$A$200,0),B316),""))</f>
        <v/>
      </c>
      <c r="E316">
        <f>IF(OR(C316="",B316=""),"",IFERROR(INDEX(Key!$C$2:$C$263,MATCH(C316*100+B316,Key!$G$2:$G$263,0)),""))</f>
        <v/>
      </c>
      <c r="F316">
        <f>IF(OR(C316="",B316=""),"",IFERROR(INDEX(Key!$E$2:$E$263,MATCH(C316*100+B316,Key!$G$2:$G$263,0)),""))</f>
        <v/>
      </c>
      <c r="G316" s="6" t="n"/>
      <c r="H316">
        <f>IF(OR(C316="",B316=""),"",IFERROR(INDEX(Papers!$K$2:$P$12,MATCH(C316,Papers!$A$2:$A$12,0),INDEX(Key!$D$2:$D$263,MATCH(C316*100+B316,Key!$G$2:$G$263,0))),""))</f>
        <v/>
      </c>
      <c r="I316" s="6" t="n"/>
      <c r="J316" s="6" t="n"/>
    </row>
    <row r="317">
      <c r="A317" s="6" t="n"/>
      <c r="B317" s="6" t="n"/>
      <c r="C317">
        <f>IF(A317="","",IFERROR(INDEX(Attempts!$D$2:$D$200,MATCH(A317,Attempts!$A$2:$A$200,0)),"?"))</f>
        <v/>
      </c>
      <c r="D317">
        <f>IF(OR(A317="",B317=""),"",IFERROR(INDEX(Attempts!$M$2:$AP$200,MATCH(A317,Attempts!$A$2:$A$200,0),B317),""))</f>
        <v/>
      </c>
      <c r="E317">
        <f>IF(OR(C317="",B317=""),"",IFERROR(INDEX(Key!$C$2:$C$263,MATCH(C317*100+B317,Key!$G$2:$G$263,0)),""))</f>
        <v/>
      </c>
      <c r="F317">
        <f>IF(OR(C317="",B317=""),"",IFERROR(INDEX(Key!$E$2:$E$263,MATCH(C317*100+B317,Key!$G$2:$G$263,0)),""))</f>
        <v/>
      </c>
      <c r="G317" s="6" t="n"/>
      <c r="H317">
        <f>IF(OR(C317="",B317=""),"",IFERROR(INDEX(Papers!$K$2:$P$12,MATCH(C317,Papers!$A$2:$A$12,0),INDEX(Key!$D$2:$D$263,MATCH(C317*100+B317,Key!$G$2:$G$263,0))),""))</f>
        <v/>
      </c>
      <c r="I317" s="6" t="n"/>
      <c r="J317" s="6" t="n"/>
    </row>
    <row r="318">
      <c r="A318" s="6" t="n"/>
      <c r="B318" s="6" t="n"/>
      <c r="C318">
        <f>IF(A318="","",IFERROR(INDEX(Attempts!$D$2:$D$200,MATCH(A318,Attempts!$A$2:$A$200,0)),"?"))</f>
        <v/>
      </c>
      <c r="D318">
        <f>IF(OR(A318="",B318=""),"",IFERROR(INDEX(Attempts!$M$2:$AP$200,MATCH(A318,Attempts!$A$2:$A$200,0),B318),""))</f>
        <v/>
      </c>
      <c r="E318">
        <f>IF(OR(C318="",B318=""),"",IFERROR(INDEX(Key!$C$2:$C$263,MATCH(C318*100+B318,Key!$G$2:$G$263,0)),""))</f>
        <v/>
      </c>
      <c r="F318">
        <f>IF(OR(C318="",B318=""),"",IFERROR(INDEX(Key!$E$2:$E$263,MATCH(C318*100+B318,Key!$G$2:$G$263,0)),""))</f>
        <v/>
      </c>
      <c r="G318" s="6" t="n"/>
      <c r="H318">
        <f>IF(OR(C318="",B318=""),"",IFERROR(INDEX(Papers!$K$2:$P$12,MATCH(C318,Papers!$A$2:$A$12,0),INDEX(Key!$D$2:$D$263,MATCH(C318*100+B318,Key!$G$2:$G$263,0))),""))</f>
        <v/>
      </c>
      <c r="I318" s="6" t="n"/>
      <c r="J318" s="6" t="n"/>
    </row>
    <row r="319">
      <c r="A319" s="6" t="n"/>
      <c r="B319" s="6" t="n"/>
      <c r="C319">
        <f>IF(A319="","",IFERROR(INDEX(Attempts!$D$2:$D$200,MATCH(A319,Attempts!$A$2:$A$200,0)),"?"))</f>
        <v/>
      </c>
      <c r="D319">
        <f>IF(OR(A319="",B319=""),"",IFERROR(INDEX(Attempts!$M$2:$AP$200,MATCH(A319,Attempts!$A$2:$A$200,0),B319),""))</f>
        <v/>
      </c>
      <c r="E319">
        <f>IF(OR(C319="",B319=""),"",IFERROR(INDEX(Key!$C$2:$C$263,MATCH(C319*100+B319,Key!$G$2:$G$263,0)),""))</f>
        <v/>
      </c>
      <c r="F319">
        <f>IF(OR(C319="",B319=""),"",IFERROR(INDEX(Key!$E$2:$E$263,MATCH(C319*100+B319,Key!$G$2:$G$263,0)),""))</f>
        <v/>
      </c>
      <c r="G319" s="6" t="n"/>
      <c r="H319">
        <f>IF(OR(C319="",B319=""),"",IFERROR(INDEX(Papers!$K$2:$P$12,MATCH(C319,Papers!$A$2:$A$12,0),INDEX(Key!$D$2:$D$263,MATCH(C319*100+B319,Key!$G$2:$G$263,0))),""))</f>
        <v/>
      </c>
      <c r="I319" s="6" t="n"/>
      <c r="J319" s="6" t="n"/>
    </row>
    <row r="320">
      <c r="A320" s="6" t="n"/>
      <c r="B320" s="6" t="n"/>
      <c r="C320">
        <f>IF(A320="","",IFERROR(INDEX(Attempts!$D$2:$D$200,MATCH(A320,Attempts!$A$2:$A$200,0)),"?"))</f>
        <v/>
      </c>
      <c r="D320">
        <f>IF(OR(A320="",B320=""),"",IFERROR(INDEX(Attempts!$M$2:$AP$200,MATCH(A320,Attempts!$A$2:$A$200,0),B320),""))</f>
        <v/>
      </c>
      <c r="E320">
        <f>IF(OR(C320="",B320=""),"",IFERROR(INDEX(Key!$C$2:$C$263,MATCH(C320*100+B320,Key!$G$2:$G$263,0)),""))</f>
        <v/>
      </c>
      <c r="F320">
        <f>IF(OR(C320="",B320=""),"",IFERROR(INDEX(Key!$E$2:$E$263,MATCH(C320*100+B320,Key!$G$2:$G$263,0)),""))</f>
        <v/>
      </c>
      <c r="G320" s="6" t="n"/>
      <c r="H320">
        <f>IF(OR(C320="",B320=""),"",IFERROR(INDEX(Papers!$K$2:$P$12,MATCH(C320,Papers!$A$2:$A$12,0),INDEX(Key!$D$2:$D$263,MATCH(C320*100+B320,Key!$G$2:$G$263,0))),""))</f>
        <v/>
      </c>
      <c r="I320" s="6" t="n"/>
      <c r="J320" s="6" t="n"/>
    </row>
    <row r="321">
      <c r="A321" s="6" t="n"/>
      <c r="B321" s="6" t="n"/>
      <c r="C321">
        <f>IF(A321="","",IFERROR(INDEX(Attempts!$D$2:$D$200,MATCH(A321,Attempts!$A$2:$A$200,0)),"?"))</f>
        <v/>
      </c>
      <c r="D321">
        <f>IF(OR(A321="",B321=""),"",IFERROR(INDEX(Attempts!$M$2:$AP$200,MATCH(A321,Attempts!$A$2:$A$200,0),B321),""))</f>
        <v/>
      </c>
      <c r="E321">
        <f>IF(OR(C321="",B321=""),"",IFERROR(INDEX(Key!$C$2:$C$263,MATCH(C321*100+B321,Key!$G$2:$G$263,0)),""))</f>
        <v/>
      </c>
      <c r="F321">
        <f>IF(OR(C321="",B321=""),"",IFERROR(INDEX(Key!$E$2:$E$263,MATCH(C321*100+B321,Key!$G$2:$G$263,0)),""))</f>
        <v/>
      </c>
      <c r="G321" s="6" t="n"/>
      <c r="H321">
        <f>IF(OR(C321="",B321=""),"",IFERROR(INDEX(Papers!$K$2:$P$12,MATCH(C321,Papers!$A$2:$A$12,0),INDEX(Key!$D$2:$D$263,MATCH(C321*100+B321,Key!$G$2:$G$263,0))),""))</f>
        <v/>
      </c>
      <c r="I321" s="6" t="n"/>
      <c r="J321" s="6" t="n"/>
    </row>
    <row r="322">
      <c r="A322" s="6" t="n"/>
      <c r="B322" s="6" t="n"/>
      <c r="C322">
        <f>IF(A322="","",IFERROR(INDEX(Attempts!$D$2:$D$200,MATCH(A322,Attempts!$A$2:$A$200,0)),"?"))</f>
        <v/>
      </c>
      <c r="D322">
        <f>IF(OR(A322="",B322=""),"",IFERROR(INDEX(Attempts!$M$2:$AP$200,MATCH(A322,Attempts!$A$2:$A$200,0),B322),""))</f>
        <v/>
      </c>
      <c r="E322">
        <f>IF(OR(C322="",B322=""),"",IFERROR(INDEX(Key!$C$2:$C$263,MATCH(C322*100+B322,Key!$G$2:$G$263,0)),""))</f>
        <v/>
      </c>
      <c r="F322">
        <f>IF(OR(C322="",B322=""),"",IFERROR(INDEX(Key!$E$2:$E$263,MATCH(C322*100+B322,Key!$G$2:$G$263,0)),""))</f>
        <v/>
      </c>
      <c r="G322" s="6" t="n"/>
      <c r="H322">
        <f>IF(OR(C322="",B322=""),"",IFERROR(INDEX(Papers!$K$2:$P$12,MATCH(C322,Papers!$A$2:$A$12,0),INDEX(Key!$D$2:$D$263,MATCH(C322*100+B322,Key!$G$2:$G$263,0))),""))</f>
        <v/>
      </c>
      <c r="I322" s="6" t="n"/>
      <c r="J322" s="6" t="n"/>
    </row>
    <row r="323">
      <c r="A323" s="6" t="n"/>
      <c r="B323" s="6" t="n"/>
      <c r="C323">
        <f>IF(A323="","",IFERROR(INDEX(Attempts!$D$2:$D$200,MATCH(A323,Attempts!$A$2:$A$200,0)),"?"))</f>
        <v/>
      </c>
      <c r="D323">
        <f>IF(OR(A323="",B323=""),"",IFERROR(INDEX(Attempts!$M$2:$AP$200,MATCH(A323,Attempts!$A$2:$A$200,0),B323),""))</f>
        <v/>
      </c>
      <c r="E323">
        <f>IF(OR(C323="",B323=""),"",IFERROR(INDEX(Key!$C$2:$C$263,MATCH(C323*100+B323,Key!$G$2:$G$263,0)),""))</f>
        <v/>
      </c>
      <c r="F323">
        <f>IF(OR(C323="",B323=""),"",IFERROR(INDEX(Key!$E$2:$E$263,MATCH(C323*100+B323,Key!$G$2:$G$263,0)),""))</f>
        <v/>
      </c>
      <c r="G323" s="6" t="n"/>
      <c r="H323">
        <f>IF(OR(C323="",B323=""),"",IFERROR(INDEX(Papers!$K$2:$P$12,MATCH(C323,Papers!$A$2:$A$12,0),INDEX(Key!$D$2:$D$263,MATCH(C323*100+B323,Key!$G$2:$G$263,0))),""))</f>
        <v/>
      </c>
      <c r="I323" s="6" t="n"/>
      <c r="J323" s="6" t="n"/>
    </row>
    <row r="324">
      <c r="A324" s="6" t="n"/>
      <c r="B324" s="6" t="n"/>
      <c r="C324">
        <f>IF(A324="","",IFERROR(INDEX(Attempts!$D$2:$D$200,MATCH(A324,Attempts!$A$2:$A$200,0)),"?"))</f>
        <v/>
      </c>
      <c r="D324">
        <f>IF(OR(A324="",B324=""),"",IFERROR(INDEX(Attempts!$M$2:$AP$200,MATCH(A324,Attempts!$A$2:$A$200,0),B324),""))</f>
        <v/>
      </c>
      <c r="E324">
        <f>IF(OR(C324="",B324=""),"",IFERROR(INDEX(Key!$C$2:$C$263,MATCH(C324*100+B324,Key!$G$2:$G$263,0)),""))</f>
        <v/>
      </c>
      <c r="F324">
        <f>IF(OR(C324="",B324=""),"",IFERROR(INDEX(Key!$E$2:$E$263,MATCH(C324*100+B324,Key!$G$2:$G$263,0)),""))</f>
        <v/>
      </c>
      <c r="G324" s="6" t="n"/>
      <c r="H324">
        <f>IF(OR(C324="",B324=""),"",IFERROR(INDEX(Papers!$K$2:$P$12,MATCH(C324,Papers!$A$2:$A$12,0),INDEX(Key!$D$2:$D$263,MATCH(C324*100+B324,Key!$G$2:$G$263,0))),""))</f>
        <v/>
      </c>
      <c r="I324" s="6" t="n"/>
      <c r="J324" s="6" t="n"/>
    </row>
    <row r="325">
      <c r="A325" s="6" t="n"/>
      <c r="B325" s="6" t="n"/>
      <c r="C325">
        <f>IF(A325="","",IFERROR(INDEX(Attempts!$D$2:$D$200,MATCH(A325,Attempts!$A$2:$A$200,0)),"?"))</f>
        <v/>
      </c>
      <c r="D325">
        <f>IF(OR(A325="",B325=""),"",IFERROR(INDEX(Attempts!$M$2:$AP$200,MATCH(A325,Attempts!$A$2:$A$200,0),B325),""))</f>
        <v/>
      </c>
      <c r="E325">
        <f>IF(OR(C325="",B325=""),"",IFERROR(INDEX(Key!$C$2:$C$263,MATCH(C325*100+B325,Key!$G$2:$G$263,0)),""))</f>
        <v/>
      </c>
      <c r="F325">
        <f>IF(OR(C325="",B325=""),"",IFERROR(INDEX(Key!$E$2:$E$263,MATCH(C325*100+B325,Key!$G$2:$G$263,0)),""))</f>
        <v/>
      </c>
      <c r="G325" s="6" t="n"/>
      <c r="H325">
        <f>IF(OR(C325="",B325=""),"",IFERROR(INDEX(Papers!$K$2:$P$12,MATCH(C325,Papers!$A$2:$A$12,0),INDEX(Key!$D$2:$D$263,MATCH(C325*100+B325,Key!$G$2:$G$263,0))),""))</f>
        <v/>
      </c>
      <c r="I325" s="6" t="n"/>
      <c r="J325" s="6" t="n"/>
    </row>
    <row r="326">
      <c r="A326" s="6" t="n"/>
      <c r="B326" s="6" t="n"/>
      <c r="C326">
        <f>IF(A326="","",IFERROR(INDEX(Attempts!$D$2:$D$200,MATCH(A326,Attempts!$A$2:$A$200,0)),"?"))</f>
        <v/>
      </c>
      <c r="D326">
        <f>IF(OR(A326="",B326=""),"",IFERROR(INDEX(Attempts!$M$2:$AP$200,MATCH(A326,Attempts!$A$2:$A$200,0),B326),""))</f>
        <v/>
      </c>
      <c r="E326">
        <f>IF(OR(C326="",B326=""),"",IFERROR(INDEX(Key!$C$2:$C$263,MATCH(C326*100+B326,Key!$G$2:$G$263,0)),""))</f>
        <v/>
      </c>
      <c r="F326">
        <f>IF(OR(C326="",B326=""),"",IFERROR(INDEX(Key!$E$2:$E$263,MATCH(C326*100+B326,Key!$G$2:$G$263,0)),""))</f>
        <v/>
      </c>
      <c r="G326" s="6" t="n"/>
      <c r="H326">
        <f>IF(OR(C326="",B326=""),"",IFERROR(INDEX(Papers!$K$2:$P$12,MATCH(C326,Papers!$A$2:$A$12,0),INDEX(Key!$D$2:$D$263,MATCH(C326*100+B326,Key!$G$2:$G$263,0))),""))</f>
        <v/>
      </c>
      <c r="I326" s="6" t="n"/>
      <c r="J326" s="6" t="n"/>
    </row>
    <row r="327">
      <c r="A327" s="6" t="n"/>
      <c r="B327" s="6" t="n"/>
      <c r="C327">
        <f>IF(A327="","",IFERROR(INDEX(Attempts!$D$2:$D$200,MATCH(A327,Attempts!$A$2:$A$200,0)),"?"))</f>
        <v/>
      </c>
      <c r="D327">
        <f>IF(OR(A327="",B327=""),"",IFERROR(INDEX(Attempts!$M$2:$AP$200,MATCH(A327,Attempts!$A$2:$A$200,0),B327),""))</f>
        <v/>
      </c>
      <c r="E327">
        <f>IF(OR(C327="",B327=""),"",IFERROR(INDEX(Key!$C$2:$C$263,MATCH(C327*100+B327,Key!$G$2:$G$263,0)),""))</f>
        <v/>
      </c>
      <c r="F327">
        <f>IF(OR(C327="",B327=""),"",IFERROR(INDEX(Key!$E$2:$E$263,MATCH(C327*100+B327,Key!$G$2:$G$263,0)),""))</f>
        <v/>
      </c>
      <c r="G327" s="6" t="n"/>
      <c r="H327">
        <f>IF(OR(C327="",B327=""),"",IFERROR(INDEX(Papers!$K$2:$P$12,MATCH(C327,Papers!$A$2:$A$12,0),INDEX(Key!$D$2:$D$263,MATCH(C327*100+B327,Key!$G$2:$G$263,0))),""))</f>
        <v/>
      </c>
      <c r="I327" s="6" t="n"/>
      <c r="J327" s="6" t="n"/>
    </row>
    <row r="328">
      <c r="A328" s="6" t="n"/>
      <c r="B328" s="6" t="n"/>
      <c r="C328">
        <f>IF(A328="","",IFERROR(INDEX(Attempts!$D$2:$D$200,MATCH(A328,Attempts!$A$2:$A$200,0)),"?"))</f>
        <v/>
      </c>
      <c r="D328">
        <f>IF(OR(A328="",B328=""),"",IFERROR(INDEX(Attempts!$M$2:$AP$200,MATCH(A328,Attempts!$A$2:$A$200,0),B328),""))</f>
        <v/>
      </c>
      <c r="E328">
        <f>IF(OR(C328="",B328=""),"",IFERROR(INDEX(Key!$C$2:$C$263,MATCH(C328*100+B328,Key!$G$2:$G$263,0)),""))</f>
        <v/>
      </c>
      <c r="F328">
        <f>IF(OR(C328="",B328=""),"",IFERROR(INDEX(Key!$E$2:$E$263,MATCH(C328*100+B328,Key!$G$2:$G$263,0)),""))</f>
        <v/>
      </c>
      <c r="G328" s="6" t="n"/>
      <c r="H328">
        <f>IF(OR(C328="",B328=""),"",IFERROR(INDEX(Papers!$K$2:$P$12,MATCH(C328,Papers!$A$2:$A$12,0),INDEX(Key!$D$2:$D$263,MATCH(C328*100+B328,Key!$G$2:$G$263,0))),""))</f>
        <v/>
      </c>
      <c r="I328" s="6" t="n"/>
      <c r="J328" s="6" t="n"/>
    </row>
    <row r="329">
      <c r="A329" s="6" t="n"/>
      <c r="B329" s="6" t="n"/>
      <c r="C329">
        <f>IF(A329="","",IFERROR(INDEX(Attempts!$D$2:$D$200,MATCH(A329,Attempts!$A$2:$A$200,0)),"?"))</f>
        <v/>
      </c>
      <c r="D329">
        <f>IF(OR(A329="",B329=""),"",IFERROR(INDEX(Attempts!$M$2:$AP$200,MATCH(A329,Attempts!$A$2:$A$200,0),B329),""))</f>
        <v/>
      </c>
      <c r="E329">
        <f>IF(OR(C329="",B329=""),"",IFERROR(INDEX(Key!$C$2:$C$263,MATCH(C329*100+B329,Key!$G$2:$G$263,0)),""))</f>
        <v/>
      </c>
      <c r="F329">
        <f>IF(OR(C329="",B329=""),"",IFERROR(INDEX(Key!$E$2:$E$263,MATCH(C329*100+B329,Key!$G$2:$G$263,0)),""))</f>
        <v/>
      </c>
      <c r="G329" s="6" t="n"/>
      <c r="H329">
        <f>IF(OR(C329="",B329=""),"",IFERROR(INDEX(Papers!$K$2:$P$12,MATCH(C329,Papers!$A$2:$A$12,0),INDEX(Key!$D$2:$D$263,MATCH(C329*100+B329,Key!$G$2:$G$263,0))),""))</f>
        <v/>
      </c>
      <c r="I329" s="6" t="n"/>
      <c r="J329" s="6" t="n"/>
    </row>
    <row r="330">
      <c r="A330" s="6" t="n"/>
      <c r="B330" s="6" t="n"/>
      <c r="C330">
        <f>IF(A330="","",IFERROR(INDEX(Attempts!$D$2:$D$200,MATCH(A330,Attempts!$A$2:$A$200,0)),"?"))</f>
        <v/>
      </c>
      <c r="D330">
        <f>IF(OR(A330="",B330=""),"",IFERROR(INDEX(Attempts!$M$2:$AP$200,MATCH(A330,Attempts!$A$2:$A$200,0),B330),""))</f>
        <v/>
      </c>
      <c r="E330">
        <f>IF(OR(C330="",B330=""),"",IFERROR(INDEX(Key!$C$2:$C$263,MATCH(C330*100+B330,Key!$G$2:$G$263,0)),""))</f>
        <v/>
      </c>
      <c r="F330">
        <f>IF(OR(C330="",B330=""),"",IFERROR(INDEX(Key!$E$2:$E$263,MATCH(C330*100+B330,Key!$G$2:$G$263,0)),""))</f>
        <v/>
      </c>
      <c r="G330" s="6" t="n"/>
      <c r="H330">
        <f>IF(OR(C330="",B330=""),"",IFERROR(INDEX(Papers!$K$2:$P$12,MATCH(C330,Papers!$A$2:$A$12,0),INDEX(Key!$D$2:$D$263,MATCH(C330*100+B330,Key!$G$2:$G$263,0))),""))</f>
        <v/>
      </c>
      <c r="I330" s="6" t="n"/>
      <c r="J330" s="6" t="n"/>
    </row>
    <row r="331">
      <c r="A331" s="6" t="n"/>
      <c r="B331" s="6" t="n"/>
      <c r="C331">
        <f>IF(A331="","",IFERROR(INDEX(Attempts!$D$2:$D$200,MATCH(A331,Attempts!$A$2:$A$200,0)),"?"))</f>
        <v/>
      </c>
      <c r="D331">
        <f>IF(OR(A331="",B331=""),"",IFERROR(INDEX(Attempts!$M$2:$AP$200,MATCH(A331,Attempts!$A$2:$A$200,0),B331),""))</f>
        <v/>
      </c>
      <c r="E331">
        <f>IF(OR(C331="",B331=""),"",IFERROR(INDEX(Key!$C$2:$C$263,MATCH(C331*100+B331,Key!$G$2:$G$263,0)),""))</f>
        <v/>
      </c>
      <c r="F331">
        <f>IF(OR(C331="",B331=""),"",IFERROR(INDEX(Key!$E$2:$E$263,MATCH(C331*100+B331,Key!$G$2:$G$263,0)),""))</f>
        <v/>
      </c>
      <c r="G331" s="6" t="n"/>
      <c r="H331">
        <f>IF(OR(C331="",B331=""),"",IFERROR(INDEX(Papers!$K$2:$P$12,MATCH(C331,Papers!$A$2:$A$12,0),INDEX(Key!$D$2:$D$263,MATCH(C331*100+B331,Key!$G$2:$G$263,0))),""))</f>
        <v/>
      </c>
      <c r="I331" s="6" t="n"/>
      <c r="J331" s="6" t="n"/>
    </row>
    <row r="332">
      <c r="A332" s="6" t="n"/>
      <c r="B332" s="6" t="n"/>
      <c r="C332">
        <f>IF(A332="","",IFERROR(INDEX(Attempts!$D$2:$D$200,MATCH(A332,Attempts!$A$2:$A$200,0)),"?"))</f>
        <v/>
      </c>
      <c r="D332">
        <f>IF(OR(A332="",B332=""),"",IFERROR(INDEX(Attempts!$M$2:$AP$200,MATCH(A332,Attempts!$A$2:$A$200,0),B332),""))</f>
        <v/>
      </c>
      <c r="E332">
        <f>IF(OR(C332="",B332=""),"",IFERROR(INDEX(Key!$C$2:$C$263,MATCH(C332*100+B332,Key!$G$2:$G$263,0)),""))</f>
        <v/>
      </c>
      <c r="F332">
        <f>IF(OR(C332="",B332=""),"",IFERROR(INDEX(Key!$E$2:$E$263,MATCH(C332*100+B332,Key!$G$2:$G$263,0)),""))</f>
        <v/>
      </c>
      <c r="G332" s="6" t="n"/>
      <c r="H332">
        <f>IF(OR(C332="",B332=""),"",IFERROR(INDEX(Papers!$K$2:$P$12,MATCH(C332,Papers!$A$2:$A$12,0),INDEX(Key!$D$2:$D$263,MATCH(C332*100+B332,Key!$G$2:$G$263,0))),""))</f>
        <v/>
      </c>
      <c r="I332" s="6" t="n"/>
      <c r="J332" s="6" t="n"/>
    </row>
    <row r="333">
      <c r="A333" s="6" t="n"/>
      <c r="B333" s="6" t="n"/>
      <c r="C333">
        <f>IF(A333="","",IFERROR(INDEX(Attempts!$D$2:$D$200,MATCH(A333,Attempts!$A$2:$A$200,0)),"?"))</f>
        <v/>
      </c>
      <c r="D333">
        <f>IF(OR(A333="",B333=""),"",IFERROR(INDEX(Attempts!$M$2:$AP$200,MATCH(A333,Attempts!$A$2:$A$200,0),B333),""))</f>
        <v/>
      </c>
      <c r="E333">
        <f>IF(OR(C333="",B333=""),"",IFERROR(INDEX(Key!$C$2:$C$263,MATCH(C333*100+B333,Key!$G$2:$G$263,0)),""))</f>
        <v/>
      </c>
      <c r="F333">
        <f>IF(OR(C333="",B333=""),"",IFERROR(INDEX(Key!$E$2:$E$263,MATCH(C333*100+B333,Key!$G$2:$G$263,0)),""))</f>
        <v/>
      </c>
      <c r="G333" s="6" t="n"/>
      <c r="H333">
        <f>IF(OR(C333="",B333=""),"",IFERROR(INDEX(Papers!$K$2:$P$12,MATCH(C333,Papers!$A$2:$A$12,0),INDEX(Key!$D$2:$D$263,MATCH(C333*100+B333,Key!$G$2:$G$263,0))),""))</f>
        <v/>
      </c>
      <c r="I333" s="6" t="n"/>
      <c r="J333" s="6" t="n"/>
    </row>
    <row r="334">
      <c r="A334" s="6" t="n"/>
      <c r="B334" s="6" t="n"/>
      <c r="C334">
        <f>IF(A334="","",IFERROR(INDEX(Attempts!$D$2:$D$200,MATCH(A334,Attempts!$A$2:$A$200,0)),"?"))</f>
        <v/>
      </c>
      <c r="D334">
        <f>IF(OR(A334="",B334=""),"",IFERROR(INDEX(Attempts!$M$2:$AP$200,MATCH(A334,Attempts!$A$2:$A$200,0),B334),""))</f>
        <v/>
      </c>
      <c r="E334">
        <f>IF(OR(C334="",B334=""),"",IFERROR(INDEX(Key!$C$2:$C$263,MATCH(C334*100+B334,Key!$G$2:$G$263,0)),""))</f>
        <v/>
      </c>
      <c r="F334">
        <f>IF(OR(C334="",B334=""),"",IFERROR(INDEX(Key!$E$2:$E$263,MATCH(C334*100+B334,Key!$G$2:$G$263,0)),""))</f>
        <v/>
      </c>
      <c r="G334" s="6" t="n"/>
      <c r="H334">
        <f>IF(OR(C334="",B334=""),"",IFERROR(INDEX(Papers!$K$2:$P$12,MATCH(C334,Papers!$A$2:$A$12,0),INDEX(Key!$D$2:$D$263,MATCH(C334*100+B334,Key!$G$2:$G$263,0))),""))</f>
        <v/>
      </c>
      <c r="I334" s="6" t="n"/>
      <c r="J334" s="6" t="n"/>
    </row>
    <row r="335">
      <c r="A335" s="6" t="n"/>
      <c r="B335" s="6" t="n"/>
      <c r="C335">
        <f>IF(A335="","",IFERROR(INDEX(Attempts!$D$2:$D$200,MATCH(A335,Attempts!$A$2:$A$200,0)),"?"))</f>
        <v/>
      </c>
      <c r="D335">
        <f>IF(OR(A335="",B335=""),"",IFERROR(INDEX(Attempts!$M$2:$AP$200,MATCH(A335,Attempts!$A$2:$A$200,0),B335),""))</f>
        <v/>
      </c>
      <c r="E335">
        <f>IF(OR(C335="",B335=""),"",IFERROR(INDEX(Key!$C$2:$C$263,MATCH(C335*100+B335,Key!$G$2:$G$263,0)),""))</f>
        <v/>
      </c>
      <c r="F335">
        <f>IF(OR(C335="",B335=""),"",IFERROR(INDEX(Key!$E$2:$E$263,MATCH(C335*100+B335,Key!$G$2:$G$263,0)),""))</f>
        <v/>
      </c>
      <c r="G335" s="6" t="n"/>
      <c r="H335">
        <f>IF(OR(C335="",B335=""),"",IFERROR(INDEX(Papers!$K$2:$P$12,MATCH(C335,Papers!$A$2:$A$12,0),INDEX(Key!$D$2:$D$263,MATCH(C335*100+B335,Key!$G$2:$G$263,0))),""))</f>
        <v/>
      </c>
      <c r="I335" s="6" t="n"/>
      <c r="J335" s="6" t="n"/>
    </row>
    <row r="336">
      <c r="A336" s="6" t="n"/>
      <c r="B336" s="6" t="n"/>
      <c r="C336">
        <f>IF(A336="","",IFERROR(INDEX(Attempts!$D$2:$D$200,MATCH(A336,Attempts!$A$2:$A$200,0)),"?"))</f>
        <v/>
      </c>
      <c r="D336">
        <f>IF(OR(A336="",B336=""),"",IFERROR(INDEX(Attempts!$M$2:$AP$200,MATCH(A336,Attempts!$A$2:$A$200,0),B336),""))</f>
        <v/>
      </c>
      <c r="E336">
        <f>IF(OR(C336="",B336=""),"",IFERROR(INDEX(Key!$C$2:$C$263,MATCH(C336*100+B336,Key!$G$2:$G$263,0)),""))</f>
        <v/>
      </c>
      <c r="F336">
        <f>IF(OR(C336="",B336=""),"",IFERROR(INDEX(Key!$E$2:$E$263,MATCH(C336*100+B336,Key!$G$2:$G$263,0)),""))</f>
        <v/>
      </c>
      <c r="G336" s="6" t="n"/>
      <c r="H336">
        <f>IF(OR(C336="",B336=""),"",IFERROR(INDEX(Papers!$K$2:$P$12,MATCH(C336,Papers!$A$2:$A$12,0),INDEX(Key!$D$2:$D$263,MATCH(C336*100+B336,Key!$G$2:$G$263,0))),""))</f>
        <v/>
      </c>
      <c r="I336" s="6" t="n"/>
      <c r="J336" s="6" t="n"/>
    </row>
    <row r="337">
      <c r="A337" s="6" t="n"/>
      <c r="B337" s="6" t="n"/>
      <c r="C337">
        <f>IF(A337="","",IFERROR(INDEX(Attempts!$D$2:$D$200,MATCH(A337,Attempts!$A$2:$A$200,0)),"?"))</f>
        <v/>
      </c>
      <c r="D337">
        <f>IF(OR(A337="",B337=""),"",IFERROR(INDEX(Attempts!$M$2:$AP$200,MATCH(A337,Attempts!$A$2:$A$200,0),B337),""))</f>
        <v/>
      </c>
      <c r="E337">
        <f>IF(OR(C337="",B337=""),"",IFERROR(INDEX(Key!$C$2:$C$263,MATCH(C337*100+B337,Key!$G$2:$G$263,0)),""))</f>
        <v/>
      </c>
      <c r="F337">
        <f>IF(OR(C337="",B337=""),"",IFERROR(INDEX(Key!$E$2:$E$263,MATCH(C337*100+B337,Key!$G$2:$G$263,0)),""))</f>
        <v/>
      </c>
      <c r="G337" s="6" t="n"/>
      <c r="H337">
        <f>IF(OR(C337="",B337=""),"",IFERROR(INDEX(Papers!$K$2:$P$12,MATCH(C337,Papers!$A$2:$A$12,0),INDEX(Key!$D$2:$D$263,MATCH(C337*100+B337,Key!$G$2:$G$263,0))),""))</f>
        <v/>
      </c>
      <c r="I337" s="6" t="n"/>
      <c r="J337" s="6" t="n"/>
    </row>
    <row r="338">
      <c r="A338" s="6" t="n"/>
      <c r="B338" s="6" t="n"/>
      <c r="C338">
        <f>IF(A338="","",IFERROR(INDEX(Attempts!$D$2:$D$200,MATCH(A338,Attempts!$A$2:$A$200,0)),"?"))</f>
        <v/>
      </c>
      <c r="D338">
        <f>IF(OR(A338="",B338=""),"",IFERROR(INDEX(Attempts!$M$2:$AP$200,MATCH(A338,Attempts!$A$2:$A$200,0),B338),""))</f>
        <v/>
      </c>
      <c r="E338">
        <f>IF(OR(C338="",B338=""),"",IFERROR(INDEX(Key!$C$2:$C$263,MATCH(C338*100+B338,Key!$G$2:$G$263,0)),""))</f>
        <v/>
      </c>
      <c r="F338">
        <f>IF(OR(C338="",B338=""),"",IFERROR(INDEX(Key!$E$2:$E$263,MATCH(C338*100+B338,Key!$G$2:$G$263,0)),""))</f>
        <v/>
      </c>
      <c r="G338" s="6" t="n"/>
      <c r="H338">
        <f>IF(OR(C338="",B338=""),"",IFERROR(INDEX(Papers!$K$2:$P$12,MATCH(C338,Papers!$A$2:$A$12,0),INDEX(Key!$D$2:$D$263,MATCH(C338*100+B338,Key!$G$2:$G$263,0))),""))</f>
        <v/>
      </c>
      <c r="I338" s="6" t="n"/>
      <c r="J338" s="6" t="n"/>
    </row>
    <row r="339">
      <c r="A339" s="6" t="n"/>
      <c r="B339" s="6" t="n"/>
      <c r="C339">
        <f>IF(A339="","",IFERROR(INDEX(Attempts!$D$2:$D$200,MATCH(A339,Attempts!$A$2:$A$200,0)),"?"))</f>
        <v/>
      </c>
      <c r="D339">
        <f>IF(OR(A339="",B339=""),"",IFERROR(INDEX(Attempts!$M$2:$AP$200,MATCH(A339,Attempts!$A$2:$A$200,0),B339),""))</f>
        <v/>
      </c>
      <c r="E339">
        <f>IF(OR(C339="",B339=""),"",IFERROR(INDEX(Key!$C$2:$C$263,MATCH(C339*100+B339,Key!$G$2:$G$263,0)),""))</f>
        <v/>
      </c>
      <c r="F339">
        <f>IF(OR(C339="",B339=""),"",IFERROR(INDEX(Key!$E$2:$E$263,MATCH(C339*100+B339,Key!$G$2:$G$263,0)),""))</f>
        <v/>
      </c>
      <c r="G339" s="6" t="n"/>
      <c r="H339">
        <f>IF(OR(C339="",B339=""),"",IFERROR(INDEX(Papers!$K$2:$P$12,MATCH(C339,Papers!$A$2:$A$12,0),INDEX(Key!$D$2:$D$263,MATCH(C339*100+B339,Key!$G$2:$G$263,0))),""))</f>
        <v/>
      </c>
      <c r="I339" s="6" t="n"/>
      <c r="J339" s="6" t="n"/>
    </row>
    <row r="340">
      <c r="A340" s="6" t="n"/>
      <c r="B340" s="6" t="n"/>
      <c r="C340">
        <f>IF(A340="","",IFERROR(INDEX(Attempts!$D$2:$D$200,MATCH(A340,Attempts!$A$2:$A$200,0)),"?"))</f>
        <v/>
      </c>
      <c r="D340">
        <f>IF(OR(A340="",B340=""),"",IFERROR(INDEX(Attempts!$M$2:$AP$200,MATCH(A340,Attempts!$A$2:$A$200,0),B340),""))</f>
        <v/>
      </c>
      <c r="E340">
        <f>IF(OR(C340="",B340=""),"",IFERROR(INDEX(Key!$C$2:$C$263,MATCH(C340*100+B340,Key!$G$2:$G$263,0)),""))</f>
        <v/>
      </c>
      <c r="F340">
        <f>IF(OR(C340="",B340=""),"",IFERROR(INDEX(Key!$E$2:$E$263,MATCH(C340*100+B340,Key!$G$2:$G$263,0)),""))</f>
        <v/>
      </c>
      <c r="G340" s="6" t="n"/>
      <c r="H340">
        <f>IF(OR(C340="",B340=""),"",IFERROR(INDEX(Papers!$K$2:$P$12,MATCH(C340,Papers!$A$2:$A$12,0),INDEX(Key!$D$2:$D$263,MATCH(C340*100+B340,Key!$G$2:$G$263,0))),""))</f>
        <v/>
      </c>
      <c r="I340" s="6" t="n"/>
      <c r="J340" s="6" t="n"/>
    </row>
    <row r="341">
      <c r="A341" s="6" t="n"/>
      <c r="B341" s="6" t="n"/>
      <c r="C341">
        <f>IF(A341="","",IFERROR(INDEX(Attempts!$D$2:$D$200,MATCH(A341,Attempts!$A$2:$A$200,0)),"?"))</f>
        <v/>
      </c>
      <c r="D341">
        <f>IF(OR(A341="",B341=""),"",IFERROR(INDEX(Attempts!$M$2:$AP$200,MATCH(A341,Attempts!$A$2:$A$200,0),B341),""))</f>
        <v/>
      </c>
      <c r="E341">
        <f>IF(OR(C341="",B341=""),"",IFERROR(INDEX(Key!$C$2:$C$263,MATCH(C341*100+B341,Key!$G$2:$G$263,0)),""))</f>
        <v/>
      </c>
      <c r="F341">
        <f>IF(OR(C341="",B341=""),"",IFERROR(INDEX(Key!$E$2:$E$263,MATCH(C341*100+B341,Key!$G$2:$G$263,0)),""))</f>
        <v/>
      </c>
      <c r="G341" s="6" t="n"/>
      <c r="H341">
        <f>IF(OR(C341="",B341=""),"",IFERROR(INDEX(Papers!$K$2:$P$12,MATCH(C341,Papers!$A$2:$A$12,0),INDEX(Key!$D$2:$D$263,MATCH(C341*100+B341,Key!$G$2:$G$263,0))),""))</f>
        <v/>
      </c>
      <c r="I341" s="6" t="n"/>
      <c r="J341" s="6" t="n"/>
    </row>
    <row r="342">
      <c r="A342" s="6" t="n"/>
      <c r="B342" s="6" t="n"/>
      <c r="C342">
        <f>IF(A342="","",IFERROR(INDEX(Attempts!$D$2:$D$200,MATCH(A342,Attempts!$A$2:$A$200,0)),"?"))</f>
        <v/>
      </c>
      <c r="D342">
        <f>IF(OR(A342="",B342=""),"",IFERROR(INDEX(Attempts!$M$2:$AP$200,MATCH(A342,Attempts!$A$2:$A$200,0),B342),""))</f>
        <v/>
      </c>
      <c r="E342">
        <f>IF(OR(C342="",B342=""),"",IFERROR(INDEX(Key!$C$2:$C$263,MATCH(C342*100+B342,Key!$G$2:$G$263,0)),""))</f>
        <v/>
      </c>
      <c r="F342">
        <f>IF(OR(C342="",B342=""),"",IFERROR(INDEX(Key!$E$2:$E$263,MATCH(C342*100+B342,Key!$G$2:$G$263,0)),""))</f>
        <v/>
      </c>
      <c r="G342" s="6" t="n"/>
      <c r="H342">
        <f>IF(OR(C342="",B342=""),"",IFERROR(INDEX(Papers!$K$2:$P$12,MATCH(C342,Papers!$A$2:$A$12,0),INDEX(Key!$D$2:$D$263,MATCH(C342*100+B342,Key!$G$2:$G$263,0))),""))</f>
        <v/>
      </c>
      <c r="I342" s="6" t="n"/>
      <c r="J342" s="6" t="n"/>
    </row>
    <row r="343">
      <c r="A343" s="6" t="n"/>
      <c r="B343" s="6" t="n"/>
      <c r="C343">
        <f>IF(A343="","",IFERROR(INDEX(Attempts!$D$2:$D$200,MATCH(A343,Attempts!$A$2:$A$200,0)),"?"))</f>
        <v/>
      </c>
      <c r="D343">
        <f>IF(OR(A343="",B343=""),"",IFERROR(INDEX(Attempts!$M$2:$AP$200,MATCH(A343,Attempts!$A$2:$A$200,0),B343),""))</f>
        <v/>
      </c>
      <c r="E343">
        <f>IF(OR(C343="",B343=""),"",IFERROR(INDEX(Key!$C$2:$C$263,MATCH(C343*100+B343,Key!$G$2:$G$263,0)),""))</f>
        <v/>
      </c>
      <c r="F343">
        <f>IF(OR(C343="",B343=""),"",IFERROR(INDEX(Key!$E$2:$E$263,MATCH(C343*100+B343,Key!$G$2:$G$263,0)),""))</f>
        <v/>
      </c>
      <c r="G343" s="6" t="n"/>
      <c r="H343">
        <f>IF(OR(C343="",B343=""),"",IFERROR(INDEX(Papers!$K$2:$P$12,MATCH(C343,Papers!$A$2:$A$12,0),INDEX(Key!$D$2:$D$263,MATCH(C343*100+B343,Key!$G$2:$G$263,0))),""))</f>
        <v/>
      </c>
      <c r="I343" s="6" t="n"/>
      <c r="J343" s="6" t="n"/>
    </row>
    <row r="344">
      <c r="A344" s="6" t="n"/>
      <c r="B344" s="6" t="n"/>
      <c r="C344">
        <f>IF(A344="","",IFERROR(INDEX(Attempts!$D$2:$D$200,MATCH(A344,Attempts!$A$2:$A$200,0)),"?"))</f>
        <v/>
      </c>
      <c r="D344">
        <f>IF(OR(A344="",B344=""),"",IFERROR(INDEX(Attempts!$M$2:$AP$200,MATCH(A344,Attempts!$A$2:$A$200,0),B344),""))</f>
        <v/>
      </c>
      <c r="E344">
        <f>IF(OR(C344="",B344=""),"",IFERROR(INDEX(Key!$C$2:$C$263,MATCH(C344*100+B344,Key!$G$2:$G$263,0)),""))</f>
        <v/>
      </c>
      <c r="F344">
        <f>IF(OR(C344="",B344=""),"",IFERROR(INDEX(Key!$E$2:$E$263,MATCH(C344*100+B344,Key!$G$2:$G$263,0)),""))</f>
        <v/>
      </c>
      <c r="G344" s="6" t="n"/>
      <c r="H344">
        <f>IF(OR(C344="",B344=""),"",IFERROR(INDEX(Papers!$K$2:$P$12,MATCH(C344,Papers!$A$2:$A$12,0),INDEX(Key!$D$2:$D$263,MATCH(C344*100+B344,Key!$G$2:$G$263,0))),""))</f>
        <v/>
      </c>
      <c r="I344" s="6" t="n"/>
      <c r="J344" s="6" t="n"/>
    </row>
    <row r="345">
      <c r="A345" s="6" t="n"/>
      <c r="B345" s="6" t="n"/>
      <c r="C345">
        <f>IF(A345="","",IFERROR(INDEX(Attempts!$D$2:$D$200,MATCH(A345,Attempts!$A$2:$A$200,0)),"?"))</f>
        <v/>
      </c>
      <c r="D345">
        <f>IF(OR(A345="",B345=""),"",IFERROR(INDEX(Attempts!$M$2:$AP$200,MATCH(A345,Attempts!$A$2:$A$200,0),B345),""))</f>
        <v/>
      </c>
      <c r="E345">
        <f>IF(OR(C345="",B345=""),"",IFERROR(INDEX(Key!$C$2:$C$263,MATCH(C345*100+B345,Key!$G$2:$G$263,0)),""))</f>
        <v/>
      </c>
      <c r="F345">
        <f>IF(OR(C345="",B345=""),"",IFERROR(INDEX(Key!$E$2:$E$263,MATCH(C345*100+B345,Key!$G$2:$G$263,0)),""))</f>
        <v/>
      </c>
      <c r="G345" s="6" t="n"/>
      <c r="H345">
        <f>IF(OR(C345="",B345=""),"",IFERROR(INDEX(Papers!$K$2:$P$12,MATCH(C345,Papers!$A$2:$A$12,0),INDEX(Key!$D$2:$D$263,MATCH(C345*100+B345,Key!$G$2:$G$263,0))),""))</f>
        <v/>
      </c>
      <c r="I345" s="6" t="n"/>
      <c r="J345" s="6" t="n"/>
    </row>
    <row r="346">
      <c r="A346" s="6" t="n"/>
      <c r="B346" s="6" t="n"/>
      <c r="C346">
        <f>IF(A346="","",IFERROR(INDEX(Attempts!$D$2:$D$200,MATCH(A346,Attempts!$A$2:$A$200,0)),"?"))</f>
        <v/>
      </c>
      <c r="D346">
        <f>IF(OR(A346="",B346=""),"",IFERROR(INDEX(Attempts!$M$2:$AP$200,MATCH(A346,Attempts!$A$2:$A$200,0),B346),""))</f>
        <v/>
      </c>
      <c r="E346">
        <f>IF(OR(C346="",B346=""),"",IFERROR(INDEX(Key!$C$2:$C$263,MATCH(C346*100+B346,Key!$G$2:$G$263,0)),""))</f>
        <v/>
      </c>
      <c r="F346">
        <f>IF(OR(C346="",B346=""),"",IFERROR(INDEX(Key!$E$2:$E$263,MATCH(C346*100+B346,Key!$G$2:$G$263,0)),""))</f>
        <v/>
      </c>
      <c r="G346" s="6" t="n"/>
      <c r="H346">
        <f>IF(OR(C346="",B346=""),"",IFERROR(INDEX(Papers!$K$2:$P$12,MATCH(C346,Papers!$A$2:$A$12,0),INDEX(Key!$D$2:$D$263,MATCH(C346*100+B346,Key!$G$2:$G$263,0))),""))</f>
        <v/>
      </c>
      <c r="I346" s="6" t="n"/>
      <c r="J346" s="6" t="n"/>
    </row>
    <row r="347">
      <c r="A347" s="6" t="n"/>
      <c r="B347" s="6" t="n"/>
      <c r="C347">
        <f>IF(A347="","",IFERROR(INDEX(Attempts!$D$2:$D$200,MATCH(A347,Attempts!$A$2:$A$200,0)),"?"))</f>
        <v/>
      </c>
      <c r="D347">
        <f>IF(OR(A347="",B347=""),"",IFERROR(INDEX(Attempts!$M$2:$AP$200,MATCH(A347,Attempts!$A$2:$A$200,0),B347),""))</f>
        <v/>
      </c>
      <c r="E347">
        <f>IF(OR(C347="",B347=""),"",IFERROR(INDEX(Key!$C$2:$C$263,MATCH(C347*100+B347,Key!$G$2:$G$263,0)),""))</f>
        <v/>
      </c>
      <c r="F347">
        <f>IF(OR(C347="",B347=""),"",IFERROR(INDEX(Key!$E$2:$E$263,MATCH(C347*100+B347,Key!$G$2:$G$263,0)),""))</f>
        <v/>
      </c>
      <c r="G347" s="6" t="n"/>
      <c r="H347">
        <f>IF(OR(C347="",B347=""),"",IFERROR(INDEX(Papers!$K$2:$P$12,MATCH(C347,Papers!$A$2:$A$12,0),INDEX(Key!$D$2:$D$263,MATCH(C347*100+B347,Key!$G$2:$G$263,0))),""))</f>
        <v/>
      </c>
      <c r="I347" s="6" t="n"/>
      <c r="J347" s="6" t="n"/>
    </row>
    <row r="348">
      <c r="A348" s="6" t="n"/>
      <c r="B348" s="6" t="n"/>
      <c r="C348">
        <f>IF(A348="","",IFERROR(INDEX(Attempts!$D$2:$D$200,MATCH(A348,Attempts!$A$2:$A$200,0)),"?"))</f>
        <v/>
      </c>
      <c r="D348">
        <f>IF(OR(A348="",B348=""),"",IFERROR(INDEX(Attempts!$M$2:$AP$200,MATCH(A348,Attempts!$A$2:$A$200,0),B348),""))</f>
        <v/>
      </c>
      <c r="E348">
        <f>IF(OR(C348="",B348=""),"",IFERROR(INDEX(Key!$C$2:$C$263,MATCH(C348*100+B348,Key!$G$2:$G$263,0)),""))</f>
        <v/>
      </c>
      <c r="F348">
        <f>IF(OR(C348="",B348=""),"",IFERROR(INDEX(Key!$E$2:$E$263,MATCH(C348*100+B348,Key!$G$2:$G$263,0)),""))</f>
        <v/>
      </c>
      <c r="G348" s="6" t="n"/>
      <c r="H348">
        <f>IF(OR(C348="",B348=""),"",IFERROR(INDEX(Papers!$K$2:$P$12,MATCH(C348,Papers!$A$2:$A$12,0),INDEX(Key!$D$2:$D$263,MATCH(C348*100+B348,Key!$G$2:$G$263,0))),""))</f>
        <v/>
      </c>
      <c r="I348" s="6" t="n"/>
      <c r="J348" s="6" t="n"/>
    </row>
    <row r="349">
      <c r="A349" s="6" t="n"/>
      <c r="B349" s="6" t="n"/>
      <c r="C349">
        <f>IF(A349="","",IFERROR(INDEX(Attempts!$D$2:$D$200,MATCH(A349,Attempts!$A$2:$A$200,0)),"?"))</f>
        <v/>
      </c>
      <c r="D349">
        <f>IF(OR(A349="",B349=""),"",IFERROR(INDEX(Attempts!$M$2:$AP$200,MATCH(A349,Attempts!$A$2:$A$200,0),B349),""))</f>
        <v/>
      </c>
      <c r="E349">
        <f>IF(OR(C349="",B349=""),"",IFERROR(INDEX(Key!$C$2:$C$263,MATCH(C349*100+B349,Key!$G$2:$G$263,0)),""))</f>
        <v/>
      </c>
      <c r="F349">
        <f>IF(OR(C349="",B349=""),"",IFERROR(INDEX(Key!$E$2:$E$263,MATCH(C349*100+B349,Key!$G$2:$G$263,0)),""))</f>
        <v/>
      </c>
      <c r="G349" s="6" t="n"/>
      <c r="H349">
        <f>IF(OR(C349="",B349=""),"",IFERROR(INDEX(Papers!$K$2:$P$12,MATCH(C349,Papers!$A$2:$A$12,0),INDEX(Key!$D$2:$D$263,MATCH(C349*100+B349,Key!$G$2:$G$263,0))),""))</f>
        <v/>
      </c>
      <c r="I349" s="6" t="n"/>
      <c r="J349" s="6" t="n"/>
    </row>
    <row r="350">
      <c r="A350" s="6" t="n"/>
      <c r="B350" s="6" t="n"/>
      <c r="C350">
        <f>IF(A350="","",IFERROR(INDEX(Attempts!$D$2:$D$200,MATCH(A350,Attempts!$A$2:$A$200,0)),"?"))</f>
        <v/>
      </c>
      <c r="D350">
        <f>IF(OR(A350="",B350=""),"",IFERROR(INDEX(Attempts!$M$2:$AP$200,MATCH(A350,Attempts!$A$2:$A$200,0),B350),""))</f>
        <v/>
      </c>
      <c r="E350">
        <f>IF(OR(C350="",B350=""),"",IFERROR(INDEX(Key!$C$2:$C$263,MATCH(C350*100+B350,Key!$G$2:$G$263,0)),""))</f>
        <v/>
      </c>
      <c r="F350">
        <f>IF(OR(C350="",B350=""),"",IFERROR(INDEX(Key!$E$2:$E$263,MATCH(C350*100+B350,Key!$G$2:$G$263,0)),""))</f>
        <v/>
      </c>
      <c r="G350" s="6" t="n"/>
      <c r="H350">
        <f>IF(OR(C350="",B350=""),"",IFERROR(INDEX(Papers!$K$2:$P$12,MATCH(C350,Papers!$A$2:$A$12,0),INDEX(Key!$D$2:$D$263,MATCH(C350*100+B350,Key!$G$2:$G$263,0))),""))</f>
        <v/>
      </c>
      <c r="I350" s="6" t="n"/>
      <c r="J350" s="6" t="n"/>
    </row>
    <row r="351">
      <c r="A351" s="6" t="n"/>
      <c r="B351" s="6" t="n"/>
      <c r="C351">
        <f>IF(A351="","",IFERROR(INDEX(Attempts!$D$2:$D$200,MATCH(A351,Attempts!$A$2:$A$200,0)),"?"))</f>
        <v/>
      </c>
      <c r="D351">
        <f>IF(OR(A351="",B351=""),"",IFERROR(INDEX(Attempts!$M$2:$AP$200,MATCH(A351,Attempts!$A$2:$A$200,0),B351),""))</f>
        <v/>
      </c>
      <c r="E351">
        <f>IF(OR(C351="",B351=""),"",IFERROR(INDEX(Key!$C$2:$C$263,MATCH(C351*100+B351,Key!$G$2:$G$263,0)),""))</f>
        <v/>
      </c>
      <c r="F351">
        <f>IF(OR(C351="",B351=""),"",IFERROR(INDEX(Key!$E$2:$E$263,MATCH(C351*100+B351,Key!$G$2:$G$263,0)),""))</f>
        <v/>
      </c>
      <c r="G351" s="6" t="n"/>
      <c r="H351">
        <f>IF(OR(C351="",B351=""),"",IFERROR(INDEX(Papers!$K$2:$P$12,MATCH(C351,Papers!$A$2:$A$12,0),INDEX(Key!$D$2:$D$263,MATCH(C351*100+B351,Key!$G$2:$G$263,0))),""))</f>
        <v/>
      </c>
      <c r="I351" s="6" t="n"/>
      <c r="J351" s="6" t="n"/>
    </row>
    <row r="352">
      <c r="A352" s="6" t="n"/>
      <c r="B352" s="6" t="n"/>
      <c r="C352">
        <f>IF(A352="","",IFERROR(INDEX(Attempts!$D$2:$D$200,MATCH(A352,Attempts!$A$2:$A$200,0)),"?"))</f>
        <v/>
      </c>
      <c r="D352">
        <f>IF(OR(A352="",B352=""),"",IFERROR(INDEX(Attempts!$M$2:$AP$200,MATCH(A352,Attempts!$A$2:$A$200,0),B352),""))</f>
        <v/>
      </c>
      <c r="E352">
        <f>IF(OR(C352="",B352=""),"",IFERROR(INDEX(Key!$C$2:$C$263,MATCH(C352*100+B352,Key!$G$2:$G$263,0)),""))</f>
        <v/>
      </c>
      <c r="F352">
        <f>IF(OR(C352="",B352=""),"",IFERROR(INDEX(Key!$E$2:$E$263,MATCH(C352*100+B352,Key!$G$2:$G$263,0)),""))</f>
        <v/>
      </c>
      <c r="G352" s="6" t="n"/>
      <c r="H352">
        <f>IF(OR(C352="",B352=""),"",IFERROR(INDEX(Papers!$K$2:$P$12,MATCH(C352,Papers!$A$2:$A$12,0),INDEX(Key!$D$2:$D$263,MATCH(C352*100+B352,Key!$G$2:$G$263,0))),""))</f>
        <v/>
      </c>
      <c r="I352" s="6" t="n"/>
      <c r="J352" s="6" t="n"/>
    </row>
    <row r="353">
      <c r="A353" s="6" t="n"/>
      <c r="B353" s="6" t="n"/>
      <c r="C353">
        <f>IF(A353="","",IFERROR(INDEX(Attempts!$D$2:$D$200,MATCH(A353,Attempts!$A$2:$A$200,0)),"?"))</f>
        <v/>
      </c>
      <c r="D353">
        <f>IF(OR(A353="",B353=""),"",IFERROR(INDEX(Attempts!$M$2:$AP$200,MATCH(A353,Attempts!$A$2:$A$200,0),B353),""))</f>
        <v/>
      </c>
      <c r="E353">
        <f>IF(OR(C353="",B353=""),"",IFERROR(INDEX(Key!$C$2:$C$263,MATCH(C353*100+B353,Key!$G$2:$G$263,0)),""))</f>
        <v/>
      </c>
      <c r="F353">
        <f>IF(OR(C353="",B353=""),"",IFERROR(INDEX(Key!$E$2:$E$263,MATCH(C353*100+B353,Key!$G$2:$G$263,0)),""))</f>
        <v/>
      </c>
      <c r="G353" s="6" t="n"/>
      <c r="H353">
        <f>IF(OR(C353="",B353=""),"",IFERROR(INDEX(Papers!$K$2:$P$12,MATCH(C353,Papers!$A$2:$A$12,0),INDEX(Key!$D$2:$D$263,MATCH(C353*100+B353,Key!$G$2:$G$263,0))),""))</f>
        <v/>
      </c>
      <c r="I353" s="6" t="n"/>
      <c r="J353" s="6" t="n"/>
    </row>
    <row r="354">
      <c r="A354" s="6" t="n"/>
      <c r="B354" s="6" t="n"/>
      <c r="C354">
        <f>IF(A354="","",IFERROR(INDEX(Attempts!$D$2:$D$200,MATCH(A354,Attempts!$A$2:$A$200,0)),"?"))</f>
        <v/>
      </c>
      <c r="D354">
        <f>IF(OR(A354="",B354=""),"",IFERROR(INDEX(Attempts!$M$2:$AP$200,MATCH(A354,Attempts!$A$2:$A$200,0),B354),""))</f>
        <v/>
      </c>
      <c r="E354">
        <f>IF(OR(C354="",B354=""),"",IFERROR(INDEX(Key!$C$2:$C$263,MATCH(C354*100+B354,Key!$G$2:$G$263,0)),""))</f>
        <v/>
      </c>
      <c r="F354">
        <f>IF(OR(C354="",B354=""),"",IFERROR(INDEX(Key!$E$2:$E$263,MATCH(C354*100+B354,Key!$G$2:$G$263,0)),""))</f>
        <v/>
      </c>
      <c r="G354" s="6" t="n"/>
      <c r="H354">
        <f>IF(OR(C354="",B354=""),"",IFERROR(INDEX(Papers!$K$2:$P$12,MATCH(C354,Papers!$A$2:$A$12,0),INDEX(Key!$D$2:$D$263,MATCH(C354*100+B354,Key!$G$2:$G$263,0))),""))</f>
        <v/>
      </c>
      <c r="I354" s="6" t="n"/>
      <c r="J354" s="6" t="n"/>
    </row>
    <row r="355">
      <c r="A355" s="6" t="n"/>
      <c r="B355" s="6" t="n"/>
      <c r="C355">
        <f>IF(A355="","",IFERROR(INDEX(Attempts!$D$2:$D$200,MATCH(A355,Attempts!$A$2:$A$200,0)),"?"))</f>
        <v/>
      </c>
      <c r="D355">
        <f>IF(OR(A355="",B355=""),"",IFERROR(INDEX(Attempts!$M$2:$AP$200,MATCH(A355,Attempts!$A$2:$A$200,0),B355),""))</f>
        <v/>
      </c>
      <c r="E355">
        <f>IF(OR(C355="",B355=""),"",IFERROR(INDEX(Key!$C$2:$C$263,MATCH(C355*100+B355,Key!$G$2:$G$263,0)),""))</f>
        <v/>
      </c>
      <c r="F355">
        <f>IF(OR(C355="",B355=""),"",IFERROR(INDEX(Key!$E$2:$E$263,MATCH(C355*100+B355,Key!$G$2:$G$263,0)),""))</f>
        <v/>
      </c>
      <c r="G355" s="6" t="n"/>
      <c r="H355">
        <f>IF(OR(C355="",B355=""),"",IFERROR(INDEX(Papers!$K$2:$P$12,MATCH(C355,Papers!$A$2:$A$12,0),INDEX(Key!$D$2:$D$263,MATCH(C355*100+B355,Key!$G$2:$G$263,0))),""))</f>
        <v/>
      </c>
      <c r="I355" s="6" t="n"/>
      <c r="J355" s="6" t="n"/>
    </row>
    <row r="356">
      <c r="A356" s="6" t="n"/>
      <c r="B356" s="6" t="n"/>
      <c r="C356">
        <f>IF(A356="","",IFERROR(INDEX(Attempts!$D$2:$D$200,MATCH(A356,Attempts!$A$2:$A$200,0)),"?"))</f>
        <v/>
      </c>
      <c r="D356">
        <f>IF(OR(A356="",B356=""),"",IFERROR(INDEX(Attempts!$M$2:$AP$200,MATCH(A356,Attempts!$A$2:$A$200,0),B356),""))</f>
        <v/>
      </c>
      <c r="E356">
        <f>IF(OR(C356="",B356=""),"",IFERROR(INDEX(Key!$C$2:$C$263,MATCH(C356*100+B356,Key!$G$2:$G$263,0)),""))</f>
        <v/>
      </c>
      <c r="F356">
        <f>IF(OR(C356="",B356=""),"",IFERROR(INDEX(Key!$E$2:$E$263,MATCH(C356*100+B356,Key!$G$2:$G$263,0)),""))</f>
        <v/>
      </c>
      <c r="G356" s="6" t="n"/>
      <c r="H356">
        <f>IF(OR(C356="",B356=""),"",IFERROR(INDEX(Papers!$K$2:$P$12,MATCH(C356,Papers!$A$2:$A$12,0),INDEX(Key!$D$2:$D$263,MATCH(C356*100+B356,Key!$G$2:$G$263,0))),""))</f>
        <v/>
      </c>
      <c r="I356" s="6" t="n"/>
      <c r="J356" s="6" t="n"/>
    </row>
    <row r="357">
      <c r="A357" s="6" t="n"/>
      <c r="B357" s="6" t="n"/>
      <c r="C357">
        <f>IF(A357="","",IFERROR(INDEX(Attempts!$D$2:$D$200,MATCH(A357,Attempts!$A$2:$A$200,0)),"?"))</f>
        <v/>
      </c>
      <c r="D357">
        <f>IF(OR(A357="",B357=""),"",IFERROR(INDEX(Attempts!$M$2:$AP$200,MATCH(A357,Attempts!$A$2:$A$200,0),B357),""))</f>
        <v/>
      </c>
      <c r="E357">
        <f>IF(OR(C357="",B357=""),"",IFERROR(INDEX(Key!$C$2:$C$263,MATCH(C357*100+B357,Key!$G$2:$G$263,0)),""))</f>
        <v/>
      </c>
      <c r="F357">
        <f>IF(OR(C357="",B357=""),"",IFERROR(INDEX(Key!$E$2:$E$263,MATCH(C357*100+B357,Key!$G$2:$G$263,0)),""))</f>
        <v/>
      </c>
      <c r="G357" s="6" t="n"/>
      <c r="H357">
        <f>IF(OR(C357="",B357=""),"",IFERROR(INDEX(Papers!$K$2:$P$12,MATCH(C357,Papers!$A$2:$A$12,0),INDEX(Key!$D$2:$D$263,MATCH(C357*100+B357,Key!$G$2:$G$263,0))),""))</f>
        <v/>
      </c>
      <c r="I357" s="6" t="n"/>
      <c r="J357" s="6" t="n"/>
    </row>
    <row r="358">
      <c r="A358" s="6" t="n"/>
      <c r="B358" s="6" t="n"/>
      <c r="C358">
        <f>IF(A358="","",IFERROR(INDEX(Attempts!$D$2:$D$200,MATCH(A358,Attempts!$A$2:$A$200,0)),"?"))</f>
        <v/>
      </c>
      <c r="D358">
        <f>IF(OR(A358="",B358=""),"",IFERROR(INDEX(Attempts!$M$2:$AP$200,MATCH(A358,Attempts!$A$2:$A$200,0),B358),""))</f>
        <v/>
      </c>
      <c r="E358">
        <f>IF(OR(C358="",B358=""),"",IFERROR(INDEX(Key!$C$2:$C$263,MATCH(C358*100+B358,Key!$G$2:$G$263,0)),""))</f>
        <v/>
      </c>
      <c r="F358">
        <f>IF(OR(C358="",B358=""),"",IFERROR(INDEX(Key!$E$2:$E$263,MATCH(C358*100+B358,Key!$G$2:$G$263,0)),""))</f>
        <v/>
      </c>
      <c r="G358" s="6" t="n"/>
      <c r="H358">
        <f>IF(OR(C358="",B358=""),"",IFERROR(INDEX(Papers!$K$2:$P$12,MATCH(C358,Papers!$A$2:$A$12,0),INDEX(Key!$D$2:$D$263,MATCH(C358*100+B358,Key!$G$2:$G$263,0))),""))</f>
        <v/>
      </c>
      <c r="I358" s="6" t="n"/>
      <c r="J358" s="6" t="n"/>
    </row>
    <row r="359">
      <c r="A359" s="6" t="n"/>
      <c r="B359" s="6" t="n"/>
      <c r="C359">
        <f>IF(A359="","",IFERROR(INDEX(Attempts!$D$2:$D$200,MATCH(A359,Attempts!$A$2:$A$200,0)),"?"))</f>
        <v/>
      </c>
      <c r="D359">
        <f>IF(OR(A359="",B359=""),"",IFERROR(INDEX(Attempts!$M$2:$AP$200,MATCH(A359,Attempts!$A$2:$A$200,0),B359),""))</f>
        <v/>
      </c>
      <c r="E359">
        <f>IF(OR(C359="",B359=""),"",IFERROR(INDEX(Key!$C$2:$C$263,MATCH(C359*100+B359,Key!$G$2:$G$263,0)),""))</f>
        <v/>
      </c>
      <c r="F359">
        <f>IF(OR(C359="",B359=""),"",IFERROR(INDEX(Key!$E$2:$E$263,MATCH(C359*100+B359,Key!$G$2:$G$263,0)),""))</f>
        <v/>
      </c>
      <c r="G359" s="6" t="n"/>
      <c r="H359">
        <f>IF(OR(C359="",B359=""),"",IFERROR(INDEX(Papers!$K$2:$P$12,MATCH(C359,Papers!$A$2:$A$12,0),INDEX(Key!$D$2:$D$263,MATCH(C359*100+B359,Key!$G$2:$G$263,0))),""))</f>
        <v/>
      </c>
      <c r="I359" s="6" t="n"/>
      <c r="J359" s="6" t="n"/>
    </row>
    <row r="360">
      <c r="A360" s="6" t="n"/>
      <c r="B360" s="6" t="n"/>
      <c r="C360">
        <f>IF(A360="","",IFERROR(INDEX(Attempts!$D$2:$D$200,MATCH(A360,Attempts!$A$2:$A$200,0)),"?"))</f>
        <v/>
      </c>
      <c r="D360">
        <f>IF(OR(A360="",B360=""),"",IFERROR(INDEX(Attempts!$M$2:$AP$200,MATCH(A360,Attempts!$A$2:$A$200,0),B360),""))</f>
        <v/>
      </c>
      <c r="E360">
        <f>IF(OR(C360="",B360=""),"",IFERROR(INDEX(Key!$C$2:$C$263,MATCH(C360*100+B360,Key!$G$2:$G$263,0)),""))</f>
        <v/>
      </c>
      <c r="F360">
        <f>IF(OR(C360="",B360=""),"",IFERROR(INDEX(Key!$E$2:$E$263,MATCH(C360*100+B360,Key!$G$2:$G$263,0)),""))</f>
        <v/>
      </c>
      <c r="G360" s="6" t="n"/>
      <c r="H360">
        <f>IF(OR(C360="",B360=""),"",IFERROR(INDEX(Papers!$K$2:$P$12,MATCH(C360,Papers!$A$2:$A$12,0),INDEX(Key!$D$2:$D$263,MATCH(C360*100+B360,Key!$G$2:$G$263,0))),""))</f>
        <v/>
      </c>
      <c r="I360" s="6" t="n"/>
      <c r="J360" s="6" t="n"/>
    </row>
    <row r="361">
      <c r="A361" s="6" t="n"/>
      <c r="B361" s="6" t="n"/>
      <c r="C361">
        <f>IF(A361="","",IFERROR(INDEX(Attempts!$D$2:$D$200,MATCH(A361,Attempts!$A$2:$A$200,0)),"?"))</f>
        <v/>
      </c>
      <c r="D361">
        <f>IF(OR(A361="",B361=""),"",IFERROR(INDEX(Attempts!$M$2:$AP$200,MATCH(A361,Attempts!$A$2:$A$200,0),B361),""))</f>
        <v/>
      </c>
      <c r="E361">
        <f>IF(OR(C361="",B361=""),"",IFERROR(INDEX(Key!$C$2:$C$263,MATCH(C361*100+B361,Key!$G$2:$G$263,0)),""))</f>
        <v/>
      </c>
      <c r="F361">
        <f>IF(OR(C361="",B361=""),"",IFERROR(INDEX(Key!$E$2:$E$263,MATCH(C361*100+B361,Key!$G$2:$G$263,0)),""))</f>
        <v/>
      </c>
      <c r="G361" s="6" t="n"/>
      <c r="H361">
        <f>IF(OR(C361="",B361=""),"",IFERROR(INDEX(Papers!$K$2:$P$12,MATCH(C361,Papers!$A$2:$A$12,0),INDEX(Key!$D$2:$D$263,MATCH(C361*100+B361,Key!$G$2:$G$263,0))),""))</f>
        <v/>
      </c>
      <c r="I361" s="6" t="n"/>
      <c r="J361" s="6" t="n"/>
    </row>
    <row r="362">
      <c r="A362" s="6" t="n"/>
      <c r="B362" s="6" t="n"/>
      <c r="C362">
        <f>IF(A362="","",IFERROR(INDEX(Attempts!$D$2:$D$200,MATCH(A362,Attempts!$A$2:$A$200,0)),"?"))</f>
        <v/>
      </c>
      <c r="D362">
        <f>IF(OR(A362="",B362=""),"",IFERROR(INDEX(Attempts!$M$2:$AP$200,MATCH(A362,Attempts!$A$2:$A$200,0),B362),""))</f>
        <v/>
      </c>
      <c r="E362">
        <f>IF(OR(C362="",B362=""),"",IFERROR(INDEX(Key!$C$2:$C$263,MATCH(C362*100+B362,Key!$G$2:$G$263,0)),""))</f>
        <v/>
      </c>
      <c r="F362">
        <f>IF(OR(C362="",B362=""),"",IFERROR(INDEX(Key!$E$2:$E$263,MATCH(C362*100+B362,Key!$G$2:$G$263,0)),""))</f>
        <v/>
      </c>
      <c r="G362" s="6" t="n"/>
      <c r="H362">
        <f>IF(OR(C362="",B362=""),"",IFERROR(INDEX(Papers!$K$2:$P$12,MATCH(C362,Papers!$A$2:$A$12,0),INDEX(Key!$D$2:$D$263,MATCH(C362*100+B362,Key!$G$2:$G$263,0))),""))</f>
        <v/>
      </c>
      <c r="I362" s="6" t="n"/>
      <c r="J362" s="6" t="n"/>
    </row>
    <row r="363">
      <c r="A363" s="6" t="n"/>
      <c r="B363" s="6" t="n"/>
      <c r="C363">
        <f>IF(A363="","",IFERROR(INDEX(Attempts!$D$2:$D$200,MATCH(A363,Attempts!$A$2:$A$200,0)),"?"))</f>
        <v/>
      </c>
      <c r="D363">
        <f>IF(OR(A363="",B363=""),"",IFERROR(INDEX(Attempts!$M$2:$AP$200,MATCH(A363,Attempts!$A$2:$A$200,0),B363),""))</f>
        <v/>
      </c>
      <c r="E363">
        <f>IF(OR(C363="",B363=""),"",IFERROR(INDEX(Key!$C$2:$C$263,MATCH(C363*100+B363,Key!$G$2:$G$263,0)),""))</f>
        <v/>
      </c>
      <c r="F363">
        <f>IF(OR(C363="",B363=""),"",IFERROR(INDEX(Key!$E$2:$E$263,MATCH(C363*100+B363,Key!$G$2:$G$263,0)),""))</f>
        <v/>
      </c>
      <c r="G363" s="6" t="n"/>
      <c r="H363">
        <f>IF(OR(C363="",B363=""),"",IFERROR(INDEX(Papers!$K$2:$P$12,MATCH(C363,Papers!$A$2:$A$12,0),INDEX(Key!$D$2:$D$263,MATCH(C363*100+B363,Key!$G$2:$G$263,0))),""))</f>
        <v/>
      </c>
      <c r="I363" s="6" t="n"/>
      <c r="J363" s="6" t="n"/>
    </row>
    <row r="364">
      <c r="A364" s="6" t="n"/>
      <c r="B364" s="6" t="n"/>
      <c r="C364">
        <f>IF(A364="","",IFERROR(INDEX(Attempts!$D$2:$D$200,MATCH(A364,Attempts!$A$2:$A$200,0)),"?"))</f>
        <v/>
      </c>
      <c r="D364">
        <f>IF(OR(A364="",B364=""),"",IFERROR(INDEX(Attempts!$M$2:$AP$200,MATCH(A364,Attempts!$A$2:$A$200,0),B364),""))</f>
        <v/>
      </c>
      <c r="E364">
        <f>IF(OR(C364="",B364=""),"",IFERROR(INDEX(Key!$C$2:$C$263,MATCH(C364*100+B364,Key!$G$2:$G$263,0)),""))</f>
        <v/>
      </c>
      <c r="F364">
        <f>IF(OR(C364="",B364=""),"",IFERROR(INDEX(Key!$E$2:$E$263,MATCH(C364*100+B364,Key!$G$2:$G$263,0)),""))</f>
        <v/>
      </c>
      <c r="G364" s="6" t="n"/>
      <c r="H364">
        <f>IF(OR(C364="",B364=""),"",IFERROR(INDEX(Papers!$K$2:$P$12,MATCH(C364,Papers!$A$2:$A$12,0),INDEX(Key!$D$2:$D$263,MATCH(C364*100+B364,Key!$G$2:$G$263,0))),""))</f>
        <v/>
      </c>
      <c r="I364" s="6" t="n"/>
      <c r="J364" s="6" t="n"/>
    </row>
    <row r="365">
      <c r="A365" s="6" t="n"/>
      <c r="B365" s="6" t="n"/>
      <c r="C365">
        <f>IF(A365="","",IFERROR(INDEX(Attempts!$D$2:$D$200,MATCH(A365,Attempts!$A$2:$A$200,0)),"?"))</f>
        <v/>
      </c>
      <c r="D365">
        <f>IF(OR(A365="",B365=""),"",IFERROR(INDEX(Attempts!$M$2:$AP$200,MATCH(A365,Attempts!$A$2:$A$200,0),B365),""))</f>
        <v/>
      </c>
      <c r="E365">
        <f>IF(OR(C365="",B365=""),"",IFERROR(INDEX(Key!$C$2:$C$263,MATCH(C365*100+B365,Key!$G$2:$G$263,0)),""))</f>
        <v/>
      </c>
      <c r="F365">
        <f>IF(OR(C365="",B365=""),"",IFERROR(INDEX(Key!$E$2:$E$263,MATCH(C365*100+B365,Key!$G$2:$G$263,0)),""))</f>
        <v/>
      </c>
      <c r="G365" s="6" t="n"/>
      <c r="H365">
        <f>IF(OR(C365="",B365=""),"",IFERROR(INDEX(Papers!$K$2:$P$12,MATCH(C365,Papers!$A$2:$A$12,0),INDEX(Key!$D$2:$D$263,MATCH(C365*100+B365,Key!$G$2:$G$263,0))),""))</f>
        <v/>
      </c>
      <c r="I365" s="6" t="n"/>
      <c r="J365" s="6" t="n"/>
    </row>
    <row r="366">
      <c r="A366" s="6" t="n"/>
      <c r="B366" s="6" t="n"/>
      <c r="C366">
        <f>IF(A366="","",IFERROR(INDEX(Attempts!$D$2:$D$200,MATCH(A366,Attempts!$A$2:$A$200,0)),"?"))</f>
        <v/>
      </c>
      <c r="D366">
        <f>IF(OR(A366="",B366=""),"",IFERROR(INDEX(Attempts!$M$2:$AP$200,MATCH(A366,Attempts!$A$2:$A$200,0),B366),""))</f>
        <v/>
      </c>
      <c r="E366">
        <f>IF(OR(C366="",B366=""),"",IFERROR(INDEX(Key!$C$2:$C$263,MATCH(C366*100+B366,Key!$G$2:$G$263,0)),""))</f>
        <v/>
      </c>
      <c r="F366">
        <f>IF(OR(C366="",B366=""),"",IFERROR(INDEX(Key!$E$2:$E$263,MATCH(C366*100+B366,Key!$G$2:$G$263,0)),""))</f>
        <v/>
      </c>
      <c r="G366" s="6" t="n"/>
      <c r="H366">
        <f>IF(OR(C366="",B366=""),"",IFERROR(INDEX(Papers!$K$2:$P$12,MATCH(C366,Papers!$A$2:$A$12,0),INDEX(Key!$D$2:$D$263,MATCH(C366*100+B366,Key!$G$2:$G$263,0))),""))</f>
        <v/>
      </c>
      <c r="I366" s="6" t="n"/>
      <c r="J366" s="6" t="n"/>
    </row>
    <row r="367">
      <c r="A367" s="6" t="n"/>
      <c r="B367" s="6" t="n"/>
      <c r="C367">
        <f>IF(A367="","",IFERROR(INDEX(Attempts!$D$2:$D$200,MATCH(A367,Attempts!$A$2:$A$200,0)),"?"))</f>
        <v/>
      </c>
      <c r="D367">
        <f>IF(OR(A367="",B367=""),"",IFERROR(INDEX(Attempts!$M$2:$AP$200,MATCH(A367,Attempts!$A$2:$A$200,0),B367),""))</f>
        <v/>
      </c>
      <c r="E367">
        <f>IF(OR(C367="",B367=""),"",IFERROR(INDEX(Key!$C$2:$C$263,MATCH(C367*100+B367,Key!$G$2:$G$263,0)),""))</f>
        <v/>
      </c>
      <c r="F367">
        <f>IF(OR(C367="",B367=""),"",IFERROR(INDEX(Key!$E$2:$E$263,MATCH(C367*100+B367,Key!$G$2:$G$263,0)),""))</f>
        <v/>
      </c>
      <c r="G367" s="6" t="n"/>
      <c r="H367">
        <f>IF(OR(C367="",B367=""),"",IFERROR(INDEX(Papers!$K$2:$P$12,MATCH(C367,Papers!$A$2:$A$12,0),INDEX(Key!$D$2:$D$263,MATCH(C367*100+B367,Key!$G$2:$G$263,0))),""))</f>
        <v/>
      </c>
      <c r="I367" s="6" t="n"/>
      <c r="J367" s="6" t="n"/>
    </row>
    <row r="368">
      <c r="A368" s="6" t="n"/>
      <c r="B368" s="6" t="n"/>
      <c r="C368">
        <f>IF(A368="","",IFERROR(INDEX(Attempts!$D$2:$D$200,MATCH(A368,Attempts!$A$2:$A$200,0)),"?"))</f>
        <v/>
      </c>
      <c r="D368">
        <f>IF(OR(A368="",B368=""),"",IFERROR(INDEX(Attempts!$M$2:$AP$200,MATCH(A368,Attempts!$A$2:$A$200,0),B368),""))</f>
        <v/>
      </c>
      <c r="E368">
        <f>IF(OR(C368="",B368=""),"",IFERROR(INDEX(Key!$C$2:$C$263,MATCH(C368*100+B368,Key!$G$2:$G$263,0)),""))</f>
        <v/>
      </c>
      <c r="F368">
        <f>IF(OR(C368="",B368=""),"",IFERROR(INDEX(Key!$E$2:$E$263,MATCH(C368*100+B368,Key!$G$2:$G$263,0)),""))</f>
        <v/>
      </c>
      <c r="G368" s="6" t="n"/>
      <c r="H368">
        <f>IF(OR(C368="",B368=""),"",IFERROR(INDEX(Papers!$K$2:$P$12,MATCH(C368,Papers!$A$2:$A$12,0),INDEX(Key!$D$2:$D$263,MATCH(C368*100+B368,Key!$G$2:$G$263,0))),""))</f>
        <v/>
      </c>
      <c r="I368" s="6" t="n"/>
      <c r="J368" s="6" t="n"/>
    </row>
    <row r="369">
      <c r="A369" s="6" t="n"/>
      <c r="B369" s="6" t="n"/>
      <c r="C369">
        <f>IF(A369="","",IFERROR(INDEX(Attempts!$D$2:$D$200,MATCH(A369,Attempts!$A$2:$A$200,0)),"?"))</f>
        <v/>
      </c>
      <c r="D369">
        <f>IF(OR(A369="",B369=""),"",IFERROR(INDEX(Attempts!$M$2:$AP$200,MATCH(A369,Attempts!$A$2:$A$200,0),B369),""))</f>
        <v/>
      </c>
      <c r="E369">
        <f>IF(OR(C369="",B369=""),"",IFERROR(INDEX(Key!$C$2:$C$263,MATCH(C369*100+B369,Key!$G$2:$G$263,0)),""))</f>
        <v/>
      </c>
      <c r="F369">
        <f>IF(OR(C369="",B369=""),"",IFERROR(INDEX(Key!$E$2:$E$263,MATCH(C369*100+B369,Key!$G$2:$G$263,0)),""))</f>
        <v/>
      </c>
      <c r="G369" s="6" t="n"/>
      <c r="H369">
        <f>IF(OR(C369="",B369=""),"",IFERROR(INDEX(Papers!$K$2:$P$12,MATCH(C369,Papers!$A$2:$A$12,0),INDEX(Key!$D$2:$D$263,MATCH(C369*100+B369,Key!$G$2:$G$263,0))),""))</f>
        <v/>
      </c>
      <c r="I369" s="6" t="n"/>
      <c r="J369" s="6" t="n"/>
    </row>
    <row r="370">
      <c r="A370" s="6" t="n"/>
      <c r="B370" s="6" t="n"/>
      <c r="C370">
        <f>IF(A370="","",IFERROR(INDEX(Attempts!$D$2:$D$200,MATCH(A370,Attempts!$A$2:$A$200,0)),"?"))</f>
        <v/>
      </c>
      <c r="D370">
        <f>IF(OR(A370="",B370=""),"",IFERROR(INDEX(Attempts!$M$2:$AP$200,MATCH(A370,Attempts!$A$2:$A$200,0),B370),""))</f>
        <v/>
      </c>
      <c r="E370">
        <f>IF(OR(C370="",B370=""),"",IFERROR(INDEX(Key!$C$2:$C$263,MATCH(C370*100+B370,Key!$G$2:$G$263,0)),""))</f>
        <v/>
      </c>
      <c r="F370">
        <f>IF(OR(C370="",B370=""),"",IFERROR(INDEX(Key!$E$2:$E$263,MATCH(C370*100+B370,Key!$G$2:$G$263,0)),""))</f>
        <v/>
      </c>
      <c r="G370" s="6" t="n"/>
      <c r="H370">
        <f>IF(OR(C370="",B370=""),"",IFERROR(INDEX(Papers!$K$2:$P$12,MATCH(C370,Papers!$A$2:$A$12,0),INDEX(Key!$D$2:$D$263,MATCH(C370*100+B370,Key!$G$2:$G$263,0))),""))</f>
        <v/>
      </c>
      <c r="I370" s="6" t="n"/>
      <c r="J370" s="6" t="n"/>
    </row>
    <row r="371">
      <c r="A371" s="6" t="n"/>
      <c r="B371" s="6" t="n"/>
      <c r="C371">
        <f>IF(A371="","",IFERROR(INDEX(Attempts!$D$2:$D$200,MATCH(A371,Attempts!$A$2:$A$200,0)),"?"))</f>
        <v/>
      </c>
      <c r="D371">
        <f>IF(OR(A371="",B371=""),"",IFERROR(INDEX(Attempts!$M$2:$AP$200,MATCH(A371,Attempts!$A$2:$A$200,0),B371),""))</f>
        <v/>
      </c>
      <c r="E371">
        <f>IF(OR(C371="",B371=""),"",IFERROR(INDEX(Key!$C$2:$C$263,MATCH(C371*100+B371,Key!$G$2:$G$263,0)),""))</f>
        <v/>
      </c>
      <c r="F371">
        <f>IF(OR(C371="",B371=""),"",IFERROR(INDEX(Key!$E$2:$E$263,MATCH(C371*100+B371,Key!$G$2:$G$263,0)),""))</f>
        <v/>
      </c>
      <c r="G371" s="6" t="n"/>
      <c r="H371">
        <f>IF(OR(C371="",B371=""),"",IFERROR(INDEX(Papers!$K$2:$P$12,MATCH(C371,Papers!$A$2:$A$12,0),INDEX(Key!$D$2:$D$263,MATCH(C371*100+B371,Key!$G$2:$G$263,0))),""))</f>
        <v/>
      </c>
      <c r="I371" s="6" t="n"/>
      <c r="J371" s="6" t="n"/>
    </row>
    <row r="372">
      <c r="A372" s="6" t="n"/>
      <c r="B372" s="6" t="n"/>
      <c r="C372">
        <f>IF(A372="","",IFERROR(INDEX(Attempts!$D$2:$D$200,MATCH(A372,Attempts!$A$2:$A$200,0)),"?"))</f>
        <v/>
      </c>
      <c r="D372">
        <f>IF(OR(A372="",B372=""),"",IFERROR(INDEX(Attempts!$M$2:$AP$200,MATCH(A372,Attempts!$A$2:$A$200,0),B372),""))</f>
        <v/>
      </c>
      <c r="E372">
        <f>IF(OR(C372="",B372=""),"",IFERROR(INDEX(Key!$C$2:$C$263,MATCH(C372*100+B372,Key!$G$2:$G$263,0)),""))</f>
        <v/>
      </c>
      <c r="F372">
        <f>IF(OR(C372="",B372=""),"",IFERROR(INDEX(Key!$E$2:$E$263,MATCH(C372*100+B372,Key!$G$2:$G$263,0)),""))</f>
        <v/>
      </c>
      <c r="G372" s="6" t="n"/>
      <c r="H372">
        <f>IF(OR(C372="",B372=""),"",IFERROR(INDEX(Papers!$K$2:$P$12,MATCH(C372,Papers!$A$2:$A$12,0),INDEX(Key!$D$2:$D$263,MATCH(C372*100+B372,Key!$G$2:$G$263,0))),""))</f>
        <v/>
      </c>
      <c r="I372" s="6" t="n"/>
      <c r="J372" s="6" t="n"/>
    </row>
    <row r="373">
      <c r="A373" s="6" t="n"/>
      <c r="B373" s="6" t="n"/>
      <c r="C373">
        <f>IF(A373="","",IFERROR(INDEX(Attempts!$D$2:$D$200,MATCH(A373,Attempts!$A$2:$A$200,0)),"?"))</f>
        <v/>
      </c>
      <c r="D373">
        <f>IF(OR(A373="",B373=""),"",IFERROR(INDEX(Attempts!$M$2:$AP$200,MATCH(A373,Attempts!$A$2:$A$200,0),B373),""))</f>
        <v/>
      </c>
      <c r="E373">
        <f>IF(OR(C373="",B373=""),"",IFERROR(INDEX(Key!$C$2:$C$263,MATCH(C373*100+B373,Key!$G$2:$G$263,0)),""))</f>
        <v/>
      </c>
      <c r="F373">
        <f>IF(OR(C373="",B373=""),"",IFERROR(INDEX(Key!$E$2:$E$263,MATCH(C373*100+B373,Key!$G$2:$G$263,0)),""))</f>
        <v/>
      </c>
      <c r="G373" s="6" t="n"/>
      <c r="H373">
        <f>IF(OR(C373="",B373=""),"",IFERROR(INDEX(Papers!$K$2:$P$12,MATCH(C373,Papers!$A$2:$A$12,0),INDEX(Key!$D$2:$D$263,MATCH(C373*100+B373,Key!$G$2:$G$263,0))),""))</f>
        <v/>
      </c>
      <c r="I373" s="6" t="n"/>
      <c r="J373" s="6" t="n"/>
    </row>
    <row r="374">
      <c r="A374" s="6" t="n"/>
      <c r="B374" s="6" t="n"/>
      <c r="C374">
        <f>IF(A374="","",IFERROR(INDEX(Attempts!$D$2:$D$200,MATCH(A374,Attempts!$A$2:$A$200,0)),"?"))</f>
        <v/>
      </c>
      <c r="D374">
        <f>IF(OR(A374="",B374=""),"",IFERROR(INDEX(Attempts!$M$2:$AP$200,MATCH(A374,Attempts!$A$2:$A$200,0),B374),""))</f>
        <v/>
      </c>
      <c r="E374">
        <f>IF(OR(C374="",B374=""),"",IFERROR(INDEX(Key!$C$2:$C$263,MATCH(C374*100+B374,Key!$G$2:$G$263,0)),""))</f>
        <v/>
      </c>
      <c r="F374">
        <f>IF(OR(C374="",B374=""),"",IFERROR(INDEX(Key!$E$2:$E$263,MATCH(C374*100+B374,Key!$G$2:$G$263,0)),""))</f>
        <v/>
      </c>
      <c r="G374" s="6" t="n"/>
      <c r="H374">
        <f>IF(OR(C374="",B374=""),"",IFERROR(INDEX(Papers!$K$2:$P$12,MATCH(C374,Papers!$A$2:$A$12,0),INDEX(Key!$D$2:$D$263,MATCH(C374*100+B374,Key!$G$2:$G$263,0))),""))</f>
        <v/>
      </c>
      <c r="I374" s="6" t="n"/>
      <c r="J374" s="6" t="n"/>
    </row>
    <row r="375">
      <c r="A375" s="6" t="n"/>
      <c r="B375" s="6" t="n"/>
      <c r="C375">
        <f>IF(A375="","",IFERROR(INDEX(Attempts!$D$2:$D$200,MATCH(A375,Attempts!$A$2:$A$200,0)),"?"))</f>
        <v/>
      </c>
      <c r="D375">
        <f>IF(OR(A375="",B375=""),"",IFERROR(INDEX(Attempts!$M$2:$AP$200,MATCH(A375,Attempts!$A$2:$A$200,0),B375),""))</f>
        <v/>
      </c>
      <c r="E375">
        <f>IF(OR(C375="",B375=""),"",IFERROR(INDEX(Key!$C$2:$C$263,MATCH(C375*100+B375,Key!$G$2:$G$263,0)),""))</f>
        <v/>
      </c>
      <c r="F375">
        <f>IF(OR(C375="",B375=""),"",IFERROR(INDEX(Key!$E$2:$E$263,MATCH(C375*100+B375,Key!$G$2:$G$263,0)),""))</f>
        <v/>
      </c>
      <c r="G375" s="6" t="n"/>
      <c r="H375">
        <f>IF(OR(C375="",B375=""),"",IFERROR(INDEX(Papers!$K$2:$P$12,MATCH(C375,Papers!$A$2:$A$12,0),INDEX(Key!$D$2:$D$263,MATCH(C375*100+B375,Key!$G$2:$G$263,0))),""))</f>
        <v/>
      </c>
      <c r="I375" s="6" t="n"/>
      <c r="J375" s="6" t="n"/>
    </row>
    <row r="376">
      <c r="A376" s="6" t="n"/>
      <c r="B376" s="6" t="n"/>
      <c r="C376">
        <f>IF(A376="","",IFERROR(INDEX(Attempts!$D$2:$D$200,MATCH(A376,Attempts!$A$2:$A$200,0)),"?"))</f>
        <v/>
      </c>
      <c r="D376">
        <f>IF(OR(A376="",B376=""),"",IFERROR(INDEX(Attempts!$M$2:$AP$200,MATCH(A376,Attempts!$A$2:$A$200,0),B376),""))</f>
        <v/>
      </c>
      <c r="E376">
        <f>IF(OR(C376="",B376=""),"",IFERROR(INDEX(Key!$C$2:$C$263,MATCH(C376*100+B376,Key!$G$2:$G$263,0)),""))</f>
        <v/>
      </c>
      <c r="F376">
        <f>IF(OR(C376="",B376=""),"",IFERROR(INDEX(Key!$E$2:$E$263,MATCH(C376*100+B376,Key!$G$2:$G$263,0)),""))</f>
        <v/>
      </c>
      <c r="G376" s="6" t="n"/>
      <c r="H376">
        <f>IF(OR(C376="",B376=""),"",IFERROR(INDEX(Papers!$K$2:$P$12,MATCH(C376,Papers!$A$2:$A$12,0),INDEX(Key!$D$2:$D$263,MATCH(C376*100+B376,Key!$G$2:$G$263,0))),""))</f>
        <v/>
      </c>
      <c r="I376" s="6" t="n"/>
      <c r="J376" s="6" t="n"/>
    </row>
    <row r="377">
      <c r="A377" s="6" t="n"/>
      <c r="B377" s="6" t="n"/>
      <c r="C377">
        <f>IF(A377="","",IFERROR(INDEX(Attempts!$D$2:$D$200,MATCH(A377,Attempts!$A$2:$A$200,0)),"?"))</f>
        <v/>
      </c>
      <c r="D377">
        <f>IF(OR(A377="",B377=""),"",IFERROR(INDEX(Attempts!$M$2:$AP$200,MATCH(A377,Attempts!$A$2:$A$200,0),B377),""))</f>
        <v/>
      </c>
      <c r="E377">
        <f>IF(OR(C377="",B377=""),"",IFERROR(INDEX(Key!$C$2:$C$263,MATCH(C377*100+B377,Key!$G$2:$G$263,0)),""))</f>
        <v/>
      </c>
      <c r="F377">
        <f>IF(OR(C377="",B377=""),"",IFERROR(INDEX(Key!$E$2:$E$263,MATCH(C377*100+B377,Key!$G$2:$G$263,0)),""))</f>
        <v/>
      </c>
      <c r="G377" s="6" t="n"/>
      <c r="H377">
        <f>IF(OR(C377="",B377=""),"",IFERROR(INDEX(Papers!$K$2:$P$12,MATCH(C377,Papers!$A$2:$A$12,0),INDEX(Key!$D$2:$D$263,MATCH(C377*100+B377,Key!$G$2:$G$263,0))),""))</f>
        <v/>
      </c>
      <c r="I377" s="6" t="n"/>
      <c r="J377" s="6" t="n"/>
    </row>
    <row r="378">
      <c r="A378" s="6" t="n"/>
      <c r="B378" s="6" t="n"/>
      <c r="C378">
        <f>IF(A378="","",IFERROR(INDEX(Attempts!$D$2:$D$200,MATCH(A378,Attempts!$A$2:$A$200,0)),"?"))</f>
        <v/>
      </c>
      <c r="D378">
        <f>IF(OR(A378="",B378=""),"",IFERROR(INDEX(Attempts!$M$2:$AP$200,MATCH(A378,Attempts!$A$2:$A$200,0),B378),""))</f>
        <v/>
      </c>
      <c r="E378">
        <f>IF(OR(C378="",B378=""),"",IFERROR(INDEX(Key!$C$2:$C$263,MATCH(C378*100+B378,Key!$G$2:$G$263,0)),""))</f>
        <v/>
      </c>
      <c r="F378">
        <f>IF(OR(C378="",B378=""),"",IFERROR(INDEX(Key!$E$2:$E$263,MATCH(C378*100+B378,Key!$G$2:$G$263,0)),""))</f>
        <v/>
      </c>
      <c r="G378" s="6" t="n"/>
      <c r="H378">
        <f>IF(OR(C378="",B378=""),"",IFERROR(INDEX(Papers!$K$2:$P$12,MATCH(C378,Papers!$A$2:$A$12,0),INDEX(Key!$D$2:$D$263,MATCH(C378*100+B378,Key!$G$2:$G$263,0))),""))</f>
        <v/>
      </c>
      <c r="I378" s="6" t="n"/>
      <c r="J378" s="6" t="n"/>
    </row>
    <row r="379">
      <c r="A379" s="6" t="n"/>
      <c r="B379" s="6" t="n"/>
      <c r="C379">
        <f>IF(A379="","",IFERROR(INDEX(Attempts!$D$2:$D$200,MATCH(A379,Attempts!$A$2:$A$200,0)),"?"))</f>
        <v/>
      </c>
      <c r="D379">
        <f>IF(OR(A379="",B379=""),"",IFERROR(INDEX(Attempts!$M$2:$AP$200,MATCH(A379,Attempts!$A$2:$A$200,0),B379),""))</f>
        <v/>
      </c>
      <c r="E379">
        <f>IF(OR(C379="",B379=""),"",IFERROR(INDEX(Key!$C$2:$C$263,MATCH(C379*100+B379,Key!$G$2:$G$263,0)),""))</f>
        <v/>
      </c>
      <c r="F379">
        <f>IF(OR(C379="",B379=""),"",IFERROR(INDEX(Key!$E$2:$E$263,MATCH(C379*100+B379,Key!$G$2:$G$263,0)),""))</f>
        <v/>
      </c>
      <c r="G379" s="6" t="n"/>
      <c r="H379">
        <f>IF(OR(C379="",B379=""),"",IFERROR(INDEX(Papers!$K$2:$P$12,MATCH(C379,Papers!$A$2:$A$12,0),INDEX(Key!$D$2:$D$263,MATCH(C379*100+B379,Key!$G$2:$G$263,0))),""))</f>
        <v/>
      </c>
      <c r="I379" s="6" t="n"/>
      <c r="J379" s="6" t="n"/>
    </row>
    <row r="380">
      <c r="A380" s="6" t="n"/>
      <c r="B380" s="6" t="n"/>
      <c r="C380">
        <f>IF(A380="","",IFERROR(INDEX(Attempts!$D$2:$D$200,MATCH(A380,Attempts!$A$2:$A$200,0)),"?"))</f>
        <v/>
      </c>
      <c r="D380">
        <f>IF(OR(A380="",B380=""),"",IFERROR(INDEX(Attempts!$M$2:$AP$200,MATCH(A380,Attempts!$A$2:$A$200,0),B380),""))</f>
        <v/>
      </c>
      <c r="E380">
        <f>IF(OR(C380="",B380=""),"",IFERROR(INDEX(Key!$C$2:$C$263,MATCH(C380*100+B380,Key!$G$2:$G$263,0)),""))</f>
        <v/>
      </c>
      <c r="F380">
        <f>IF(OR(C380="",B380=""),"",IFERROR(INDEX(Key!$E$2:$E$263,MATCH(C380*100+B380,Key!$G$2:$G$263,0)),""))</f>
        <v/>
      </c>
      <c r="G380" s="6" t="n"/>
      <c r="H380">
        <f>IF(OR(C380="",B380=""),"",IFERROR(INDEX(Papers!$K$2:$P$12,MATCH(C380,Papers!$A$2:$A$12,0),INDEX(Key!$D$2:$D$263,MATCH(C380*100+B380,Key!$G$2:$G$263,0))),""))</f>
        <v/>
      </c>
      <c r="I380" s="6" t="n"/>
      <c r="J380" s="6" t="n"/>
    </row>
    <row r="381">
      <c r="A381" s="6" t="n"/>
      <c r="B381" s="6" t="n"/>
      <c r="C381">
        <f>IF(A381="","",IFERROR(INDEX(Attempts!$D$2:$D$200,MATCH(A381,Attempts!$A$2:$A$200,0)),"?"))</f>
        <v/>
      </c>
      <c r="D381">
        <f>IF(OR(A381="",B381=""),"",IFERROR(INDEX(Attempts!$M$2:$AP$200,MATCH(A381,Attempts!$A$2:$A$200,0),B381),""))</f>
        <v/>
      </c>
      <c r="E381">
        <f>IF(OR(C381="",B381=""),"",IFERROR(INDEX(Key!$C$2:$C$263,MATCH(C381*100+B381,Key!$G$2:$G$263,0)),""))</f>
        <v/>
      </c>
      <c r="F381">
        <f>IF(OR(C381="",B381=""),"",IFERROR(INDEX(Key!$E$2:$E$263,MATCH(C381*100+B381,Key!$G$2:$G$263,0)),""))</f>
        <v/>
      </c>
      <c r="G381" s="6" t="n"/>
      <c r="H381">
        <f>IF(OR(C381="",B381=""),"",IFERROR(INDEX(Papers!$K$2:$P$12,MATCH(C381,Papers!$A$2:$A$12,0),INDEX(Key!$D$2:$D$263,MATCH(C381*100+B381,Key!$G$2:$G$263,0))),""))</f>
        <v/>
      </c>
      <c r="I381" s="6" t="n"/>
      <c r="J381" s="6" t="n"/>
    </row>
    <row r="382">
      <c r="A382" s="6" t="n"/>
      <c r="B382" s="6" t="n"/>
      <c r="C382">
        <f>IF(A382="","",IFERROR(INDEX(Attempts!$D$2:$D$200,MATCH(A382,Attempts!$A$2:$A$200,0)),"?"))</f>
        <v/>
      </c>
      <c r="D382">
        <f>IF(OR(A382="",B382=""),"",IFERROR(INDEX(Attempts!$M$2:$AP$200,MATCH(A382,Attempts!$A$2:$A$200,0),B382),""))</f>
        <v/>
      </c>
      <c r="E382">
        <f>IF(OR(C382="",B382=""),"",IFERROR(INDEX(Key!$C$2:$C$263,MATCH(C382*100+B382,Key!$G$2:$G$263,0)),""))</f>
        <v/>
      </c>
      <c r="F382">
        <f>IF(OR(C382="",B382=""),"",IFERROR(INDEX(Key!$E$2:$E$263,MATCH(C382*100+B382,Key!$G$2:$G$263,0)),""))</f>
        <v/>
      </c>
      <c r="G382" s="6" t="n"/>
      <c r="H382">
        <f>IF(OR(C382="",B382=""),"",IFERROR(INDEX(Papers!$K$2:$P$12,MATCH(C382,Papers!$A$2:$A$12,0),INDEX(Key!$D$2:$D$263,MATCH(C382*100+B382,Key!$G$2:$G$263,0))),""))</f>
        <v/>
      </c>
      <c r="I382" s="6" t="n"/>
      <c r="J382" s="6" t="n"/>
    </row>
    <row r="383">
      <c r="A383" s="6" t="n"/>
      <c r="B383" s="6" t="n"/>
      <c r="C383">
        <f>IF(A383="","",IFERROR(INDEX(Attempts!$D$2:$D$200,MATCH(A383,Attempts!$A$2:$A$200,0)),"?"))</f>
        <v/>
      </c>
      <c r="D383">
        <f>IF(OR(A383="",B383=""),"",IFERROR(INDEX(Attempts!$M$2:$AP$200,MATCH(A383,Attempts!$A$2:$A$200,0),B383),""))</f>
        <v/>
      </c>
      <c r="E383">
        <f>IF(OR(C383="",B383=""),"",IFERROR(INDEX(Key!$C$2:$C$263,MATCH(C383*100+B383,Key!$G$2:$G$263,0)),""))</f>
        <v/>
      </c>
      <c r="F383">
        <f>IF(OR(C383="",B383=""),"",IFERROR(INDEX(Key!$E$2:$E$263,MATCH(C383*100+B383,Key!$G$2:$G$263,0)),""))</f>
        <v/>
      </c>
      <c r="G383" s="6" t="n"/>
      <c r="H383">
        <f>IF(OR(C383="",B383=""),"",IFERROR(INDEX(Papers!$K$2:$P$12,MATCH(C383,Papers!$A$2:$A$12,0),INDEX(Key!$D$2:$D$263,MATCH(C383*100+B383,Key!$G$2:$G$263,0))),""))</f>
        <v/>
      </c>
      <c r="I383" s="6" t="n"/>
      <c r="J383" s="6" t="n"/>
    </row>
    <row r="384">
      <c r="A384" s="6" t="n"/>
      <c r="B384" s="6" t="n"/>
      <c r="C384">
        <f>IF(A384="","",IFERROR(INDEX(Attempts!$D$2:$D$200,MATCH(A384,Attempts!$A$2:$A$200,0)),"?"))</f>
        <v/>
      </c>
      <c r="D384">
        <f>IF(OR(A384="",B384=""),"",IFERROR(INDEX(Attempts!$M$2:$AP$200,MATCH(A384,Attempts!$A$2:$A$200,0),B384),""))</f>
        <v/>
      </c>
      <c r="E384">
        <f>IF(OR(C384="",B384=""),"",IFERROR(INDEX(Key!$C$2:$C$263,MATCH(C384*100+B384,Key!$G$2:$G$263,0)),""))</f>
        <v/>
      </c>
      <c r="F384">
        <f>IF(OR(C384="",B384=""),"",IFERROR(INDEX(Key!$E$2:$E$263,MATCH(C384*100+B384,Key!$G$2:$G$263,0)),""))</f>
        <v/>
      </c>
      <c r="G384" s="6" t="n"/>
      <c r="H384">
        <f>IF(OR(C384="",B384=""),"",IFERROR(INDEX(Papers!$K$2:$P$12,MATCH(C384,Papers!$A$2:$A$12,0),INDEX(Key!$D$2:$D$263,MATCH(C384*100+B384,Key!$G$2:$G$263,0))),""))</f>
        <v/>
      </c>
      <c r="I384" s="6" t="n"/>
      <c r="J384" s="6" t="n"/>
    </row>
    <row r="385">
      <c r="A385" s="6" t="n"/>
      <c r="B385" s="6" t="n"/>
      <c r="C385">
        <f>IF(A385="","",IFERROR(INDEX(Attempts!$D$2:$D$200,MATCH(A385,Attempts!$A$2:$A$200,0)),"?"))</f>
        <v/>
      </c>
      <c r="D385">
        <f>IF(OR(A385="",B385=""),"",IFERROR(INDEX(Attempts!$M$2:$AP$200,MATCH(A385,Attempts!$A$2:$A$200,0),B385),""))</f>
        <v/>
      </c>
      <c r="E385">
        <f>IF(OR(C385="",B385=""),"",IFERROR(INDEX(Key!$C$2:$C$263,MATCH(C385*100+B385,Key!$G$2:$G$263,0)),""))</f>
        <v/>
      </c>
      <c r="F385">
        <f>IF(OR(C385="",B385=""),"",IFERROR(INDEX(Key!$E$2:$E$263,MATCH(C385*100+B385,Key!$G$2:$G$263,0)),""))</f>
        <v/>
      </c>
      <c r="G385" s="6" t="n"/>
      <c r="H385">
        <f>IF(OR(C385="",B385=""),"",IFERROR(INDEX(Papers!$K$2:$P$12,MATCH(C385,Papers!$A$2:$A$12,0),INDEX(Key!$D$2:$D$263,MATCH(C385*100+B385,Key!$G$2:$G$263,0))),""))</f>
        <v/>
      </c>
      <c r="I385" s="6" t="n"/>
      <c r="J385" s="6" t="n"/>
    </row>
    <row r="386">
      <c r="A386" s="6" t="n"/>
      <c r="B386" s="6" t="n"/>
      <c r="C386">
        <f>IF(A386="","",IFERROR(INDEX(Attempts!$D$2:$D$200,MATCH(A386,Attempts!$A$2:$A$200,0)),"?"))</f>
        <v/>
      </c>
      <c r="D386">
        <f>IF(OR(A386="",B386=""),"",IFERROR(INDEX(Attempts!$M$2:$AP$200,MATCH(A386,Attempts!$A$2:$A$200,0),B386),""))</f>
        <v/>
      </c>
      <c r="E386">
        <f>IF(OR(C386="",B386=""),"",IFERROR(INDEX(Key!$C$2:$C$263,MATCH(C386*100+B386,Key!$G$2:$G$263,0)),""))</f>
        <v/>
      </c>
      <c r="F386">
        <f>IF(OR(C386="",B386=""),"",IFERROR(INDEX(Key!$E$2:$E$263,MATCH(C386*100+B386,Key!$G$2:$G$263,0)),""))</f>
        <v/>
      </c>
      <c r="G386" s="6" t="n"/>
      <c r="H386">
        <f>IF(OR(C386="",B386=""),"",IFERROR(INDEX(Papers!$K$2:$P$12,MATCH(C386,Papers!$A$2:$A$12,0),INDEX(Key!$D$2:$D$263,MATCH(C386*100+B386,Key!$G$2:$G$263,0))),""))</f>
        <v/>
      </c>
      <c r="I386" s="6" t="n"/>
      <c r="J386" s="6" t="n"/>
    </row>
    <row r="387">
      <c r="A387" s="6" t="n"/>
      <c r="B387" s="6" t="n"/>
      <c r="C387">
        <f>IF(A387="","",IFERROR(INDEX(Attempts!$D$2:$D$200,MATCH(A387,Attempts!$A$2:$A$200,0)),"?"))</f>
        <v/>
      </c>
      <c r="D387">
        <f>IF(OR(A387="",B387=""),"",IFERROR(INDEX(Attempts!$M$2:$AP$200,MATCH(A387,Attempts!$A$2:$A$200,0),B387),""))</f>
        <v/>
      </c>
      <c r="E387">
        <f>IF(OR(C387="",B387=""),"",IFERROR(INDEX(Key!$C$2:$C$263,MATCH(C387*100+B387,Key!$G$2:$G$263,0)),""))</f>
        <v/>
      </c>
      <c r="F387">
        <f>IF(OR(C387="",B387=""),"",IFERROR(INDEX(Key!$E$2:$E$263,MATCH(C387*100+B387,Key!$G$2:$G$263,0)),""))</f>
        <v/>
      </c>
      <c r="G387" s="6" t="n"/>
      <c r="H387">
        <f>IF(OR(C387="",B387=""),"",IFERROR(INDEX(Papers!$K$2:$P$12,MATCH(C387,Papers!$A$2:$A$12,0),INDEX(Key!$D$2:$D$263,MATCH(C387*100+B387,Key!$G$2:$G$263,0))),""))</f>
        <v/>
      </c>
      <c r="I387" s="6" t="n"/>
      <c r="J387" s="6" t="n"/>
    </row>
    <row r="388">
      <c r="A388" s="6" t="n"/>
      <c r="B388" s="6" t="n"/>
      <c r="C388">
        <f>IF(A388="","",IFERROR(INDEX(Attempts!$D$2:$D$200,MATCH(A388,Attempts!$A$2:$A$200,0)),"?"))</f>
        <v/>
      </c>
      <c r="D388">
        <f>IF(OR(A388="",B388=""),"",IFERROR(INDEX(Attempts!$M$2:$AP$200,MATCH(A388,Attempts!$A$2:$A$200,0),B388),""))</f>
        <v/>
      </c>
      <c r="E388">
        <f>IF(OR(C388="",B388=""),"",IFERROR(INDEX(Key!$C$2:$C$263,MATCH(C388*100+B388,Key!$G$2:$G$263,0)),""))</f>
        <v/>
      </c>
      <c r="F388">
        <f>IF(OR(C388="",B388=""),"",IFERROR(INDEX(Key!$E$2:$E$263,MATCH(C388*100+B388,Key!$G$2:$G$263,0)),""))</f>
        <v/>
      </c>
      <c r="G388" s="6" t="n"/>
      <c r="H388">
        <f>IF(OR(C388="",B388=""),"",IFERROR(INDEX(Papers!$K$2:$P$12,MATCH(C388,Papers!$A$2:$A$12,0),INDEX(Key!$D$2:$D$263,MATCH(C388*100+B388,Key!$G$2:$G$263,0))),""))</f>
        <v/>
      </c>
      <c r="I388" s="6" t="n"/>
      <c r="J388" s="6" t="n"/>
    </row>
    <row r="389">
      <c r="A389" s="6" t="n"/>
      <c r="B389" s="6" t="n"/>
      <c r="C389">
        <f>IF(A389="","",IFERROR(INDEX(Attempts!$D$2:$D$200,MATCH(A389,Attempts!$A$2:$A$200,0)),"?"))</f>
        <v/>
      </c>
      <c r="D389">
        <f>IF(OR(A389="",B389=""),"",IFERROR(INDEX(Attempts!$M$2:$AP$200,MATCH(A389,Attempts!$A$2:$A$200,0),B389),""))</f>
        <v/>
      </c>
      <c r="E389">
        <f>IF(OR(C389="",B389=""),"",IFERROR(INDEX(Key!$C$2:$C$263,MATCH(C389*100+B389,Key!$G$2:$G$263,0)),""))</f>
        <v/>
      </c>
      <c r="F389">
        <f>IF(OR(C389="",B389=""),"",IFERROR(INDEX(Key!$E$2:$E$263,MATCH(C389*100+B389,Key!$G$2:$G$263,0)),""))</f>
        <v/>
      </c>
      <c r="G389" s="6" t="n"/>
      <c r="H389">
        <f>IF(OR(C389="",B389=""),"",IFERROR(INDEX(Papers!$K$2:$P$12,MATCH(C389,Papers!$A$2:$A$12,0),INDEX(Key!$D$2:$D$263,MATCH(C389*100+B389,Key!$G$2:$G$263,0))),""))</f>
        <v/>
      </c>
      <c r="I389" s="6" t="n"/>
      <c r="J389" s="6" t="n"/>
    </row>
    <row r="390">
      <c r="A390" s="6" t="n"/>
      <c r="B390" s="6" t="n"/>
      <c r="C390">
        <f>IF(A390="","",IFERROR(INDEX(Attempts!$D$2:$D$200,MATCH(A390,Attempts!$A$2:$A$200,0)),"?"))</f>
        <v/>
      </c>
      <c r="D390">
        <f>IF(OR(A390="",B390=""),"",IFERROR(INDEX(Attempts!$M$2:$AP$200,MATCH(A390,Attempts!$A$2:$A$200,0),B390),""))</f>
        <v/>
      </c>
      <c r="E390">
        <f>IF(OR(C390="",B390=""),"",IFERROR(INDEX(Key!$C$2:$C$263,MATCH(C390*100+B390,Key!$G$2:$G$263,0)),""))</f>
        <v/>
      </c>
      <c r="F390">
        <f>IF(OR(C390="",B390=""),"",IFERROR(INDEX(Key!$E$2:$E$263,MATCH(C390*100+B390,Key!$G$2:$G$263,0)),""))</f>
        <v/>
      </c>
      <c r="G390" s="6" t="n"/>
      <c r="H390">
        <f>IF(OR(C390="",B390=""),"",IFERROR(INDEX(Papers!$K$2:$P$12,MATCH(C390,Papers!$A$2:$A$12,0),INDEX(Key!$D$2:$D$263,MATCH(C390*100+B390,Key!$G$2:$G$263,0))),""))</f>
        <v/>
      </c>
      <c r="I390" s="6" t="n"/>
      <c r="J390" s="6" t="n"/>
    </row>
    <row r="391">
      <c r="A391" s="6" t="n"/>
      <c r="B391" s="6" t="n"/>
      <c r="C391">
        <f>IF(A391="","",IFERROR(INDEX(Attempts!$D$2:$D$200,MATCH(A391,Attempts!$A$2:$A$200,0)),"?"))</f>
        <v/>
      </c>
      <c r="D391">
        <f>IF(OR(A391="",B391=""),"",IFERROR(INDEX(Attempts!$M$2:$AP$200,MATCH(A391,Attempts!$A$2:$A$200,0),B391),""))</f>
        <v/>
      </c>
      <c r="E391">
        <f>IF(OR(C391="",B391=""),"",IFERROR(INDEX(Key!$C$2:$C$263,MATCH(C391*100+B391,Key!$G$2:$G$263,0)),""))</f>
        <v/>
      </c>
      <c r="F391">
        <f>IF(OR(C391="",B391=""),"",IFERROR(INDEX(Key!$E$2:$E$263,MATCH(C391*100+B391,Key!$G$2:$G$263,0)),""))</f>
        <v/>
      </c>
      <c r="G391" s="6" t="n"/>
      <c r="H391">
        <f>IF(OR(C391="",B391=""),"",IFERROR(INDEX(Papers!$K$2:$P$12,MATCH(C391,Papers!$A$2:$A$12,0),INDEX(Key!$D$2:$D$263,MATCH(C391*100+B391,Key!$G$2:$G$263,0))),""))</f>
        <v/>
      </c>
      <c r="I391" s="6" t="n"/>
      <c r="J391" s="6" t="n"/>
    </row>
    <row r="392">
      <c r="A392" s="6" t="n"/>
      <c r="B392" s="6" t="n"/>
      <c r="C392">
        <f>IF(A392="","",IFERROR(INDEX(Attempts!$D$2:$D$200,MATCH(A392,Attempts!$A$2:$A$200,0)),"?"))</f>
        <v/>
      </c>
      <c r="D392">
        <f>IF(OR(A392="",B392=""),"",IFERROR(INDEX(Attempts!$M$2:$AP$200,MATCH(A392,Attempts!$A$2:$A$200,0),B392),""))</f>
        <v/>
      </c>
      <c r="E392">
        <f>IF(OR(C392="",B392=""),"",IFERROR(INDEX(Key!$C$2:$C$263,MATCH(C392*100+B392,Key!$G$2:$G$263,0)),""))</f>
        <v/>
      </c>
      <c r="F392">
        <f>IF(OR(C392="",B392=""),"",IFERROR(INDEX(Key!$E$2:$E$263,MATCH(C392*100+B392,Key!$G$2:$G$263,0)),""))</f>
        <v/>
      </c>
      <c r="G392" s="6" t="n"/>
      <c r="H392">
        <f>IF(OR(C392="",B392=""),"",IFERROR(INDEX(Papers!$K$2:$P$12,MATCH(C392,Papers!$A$2:$A$12,0),INDEX(Key!$D$2:$D$263,MATCH(C392*100+B392,Key!$G$2:$G$263,0))),""))</f>
        <v/>
      </c>
      <c r="I392" s="6" t="n"/>
      <c r="J392" s="6" t="n"/>
    </row>
    <row r="393">
      <c r="A393" s="6" t="n"/>
      <c r="B393" s="6" t="n"/>
      <c r="C393">
        <f>IF(A393="","",IFERROR(INDEX(Attempts!$D$2:$D$200,MATCH(A393,Attempts!$A$2:$A$200,0)),"?"))</f>
        <v/>
      </c>
      <c r="D393">
        <f>IF(OR(A393="",B393=""),"",IFERROR(INDEX(Attempts!$M$2:$AP$200,MATCH(A393,Attempts!$A$2:$A$200,0),B393),""))</f>
        <v/>
      </c>
      <c r="E393">
        <f>IF(OR(C393="",B393=""),"",IFERROR(INDEX(Key!$C$2:$C$263,MATCH(C393*100+B393,Key!$G$2:$G$263,0)),""))</f>
        <v/>
      </c>
      <c r="F393">
        <f>IF(OR(C393="",B393=""),"",IFERROR(INDEX(Key!$E$2:$E$263,MATCH(C393*100+B393,Key!$G$2:$G$263,0)),""))</f>
        <v/>
      </c>
      <c r="G393" s="6" t="n"/>
      <c r="H393">
        <f>IF(OR(C393="",B393=""),"",IFERROR(INDEX(Papers!$K$2:$P$12,MATCH(C393,Papers!$A$2:$A$12,0),INDEX(Key!$D$2:$D$263,MATCH(C393*100+B393,Key!$G$2:$G$263,0))),""))</f>
        <v/>
      </c>
      <c r="I393" s="6" t="n"/>
      <c r="J393" s="6" t="n"/>
    </row>
    <row r="394">
      <c r="A394" s="6" t="n"/>
      <c r="B394" s="6" t="n"/>
      <c r="C394">
        <f>IF(A394="","",IFERROR(INDEX(Attempts!$D$2:$D$200,MATCH(A394,Attempts!$A$2:$A$200,0)),"?"))</f>
        <v/>
      </c>
      <c r="D394">
        <f>IF(OR(A394="",B394=""),"",IFERROR(INDEX(Attempts!$M$2:$AP$200,MATCH(A394,Attempts!$A$2:$A$200,0),B394),""))</f>
        <v/>
      </c>
      <c r="E394">
        <f>IF(OR(C394="",B394=""),"",IFERROR(INDEX(Key!$C$2:$C$263,MATCH(C394*100+B394,Key!$G$2:$G$263,0)),""))</f>
        <v/>
      </c>
      <c r="F394">
        <f>IF(OR(C394="",B394=""),"",IFERROR(INDEX(Key!$E$2:$E$263,MATCH(C394*100+B394,Key!$G$2:$G$263,0)),""))</f>
        <v/>
      </c>
      <c r="G394" s="6" t="n"/>
      <c r="H394">
        <f>IF(OR(C394="",B394=""),"",IFERROR(INDEX(Papers!$K$2:$P$12,MATCH(C394,Papers!$A$2:$A$12,0),INDEX(Key!$D$2:$D$263,MATCH(C394*100+B394,Key!$G$2:$G$263,0))),""))</f>
        <v/>
      </c>
      <c r="I394" s="6" t="n"/>
      <c r="J394" s="6" t="n"/>
    </row>
    <row r="395">
      <c r="A395" s="6" t="n"/>
      <c r="B395" s="6" t="n"/>
      <c r="C395">
        <f>IF(A395="","",IFERROR(INDEX(Attempts!$D$2:$D$200,MATCH(A395,Attempts!$A$2:$A$200,0)),"?"))</f>
        <v/>
      </c>
      <c r="D395">
        <f>IF(OR(A395="",B395=""),"",IFERROR(INDEX(Attempts!$M$2:$AP$200,MATCH(A395,Attempts!$A$2:$A$200,0),B395),""))</f>
        <v/>
      </c>
      <c r="E395">
        <f>IF(OR(C395="",B395=""),"",IFERROR(INDEX(Key!$C$2:$C$263,MATCH(C395*100+B395,Key!$G$2:$G$263,0)),""))</f>
        <v/>
      </c>
      <c r="F395">
        <f>IF(OR(C395="",B395=""),"",IFERROR(INDEX(Key!$E$2:$E$263,MATCH(C395*100+B395,Key!$G$2:$G$263,0)),""))</f>
        <v/>
      </c>
      <c r="G395" s="6" t="n"/>
      <c r="H395">
        <f>IF(OR(C395="",B395=""),"",IFERROR(INDEX(Papers!$K$2:$P$12,MATCH(C395,Papers!$A$2:$A$12,0),INDEX(Key!$D$2:$D$263,MATCH(C395*100+B395,Key!$G$2:$G$263,0))),""))</f>
        <v/>
      </c>
      <c r="I395" s="6" t="n"/>
      <c r="J395" s="6" t="n"/>
    </row>
    <row r="396">
      <c r="A396" s="6" t="n"/>
      <c r="B396" s="6" t="n"/>
      <c r="C396">
        <f>IF(A396="","",IFERROR(INDEX(Attempts!$D$2:$D$200,MATCH(A396,Attempts!$A$2:$A$200,0)),"?"))</f>
        <v/>
      </c>
      <c r="D396">
        <f>IF(OR(A396="",B396=""),"",IFERROR(INDEX(Attempts!$M$2:$AP$200,MATCH(A396,Attempts!$A$2:$A$200,0),B396),""))</f>
        <v/>
      </c>
      <c r="E396">
        <f>IF(OR(C396="",B396=""),"",IFERROR(INDEX(Key!$C$2:$C$263,MATCH(C396*100+B396,Key!$G$2:$G$263,0)),""))</f>
        <v/>
      </c>
      <c r="F396">
        <f>IF(OR(C396="",B396=""),"",IFERROR(INDEX(Key!$E$2:$E$263,MATCH(C396*100+B396,Key!$G$2:$G$263,0)),""))</f>
        <v/>
      </c>
      <c r="G396" s="6" t="n"/>
      <c r="H396">
        <f>IF(OR(C396="",B396=""),"",IFERROR(INDEX(Papers!$K$2:$P$12,MATCH(C396,Papers!$A$2:$A$12,0),INDEX(Key!$D$2:$D$263,MATCH(C396*100+B396,Key!$G$2:$G$263,0))),""))</f>
        <v/>
      </c>
      <c r="I396" s="6" t="n"/>
      <c r="J396" s="6" t="n"/>
    </row>
    <row r="397">
      <c r="A397" s="6" t="n"/>
      <c r="B397" s="6" t="n"/>
      <c r="C397">
        <f>IF(A397="","",IFERROR(INDEX(Attempts!$D$2:$D$200,MATCH(A397,Attempts!$A$2:$A$200,0)),"?"))</f>
        <v/>
      </c>
      <c r="D397">
        <f>IF(OR(A397="",B397=""),"",IFERROR(INDEX(Attempts!$M$2:$AP$200,MATCH(A397,Attempts!$A$2:$A$200,0),B397),""))</f>
        <v/>
      </c>
      <c r="E397">
        <f>IF(OR(C397="",B397=""),"",IFERROR(INDEX(Key!$C$2:$C$263,MATCH(C397*100+B397,Key!$G$2:$G$263,0)),""))</f>
        <v/>
      </c>
      <c r="F397">
        <f>IF(OR(C397="",B397=""),"",IFERROR(INDEX(Key!$E$2:$E$263,MATCH(C397*100+B397,Key!$G$2:$G$263,0)),""))</f>
        <v/>
      </c>
      <c r="G397" s="6" t="n"/>
      <c r="H397">
        <f>IF(OR(C397="",B397=""),"",IFERROR(INDEX(Papers!$K$2:$P$12,MATCH(C397,Papers!$A$2:$A$12,0),INDEX(Key!$D$2:$D$263,MATCH(C397*100+B397,Key!$G$2:$G$263,0))),""))</f>
        <v/>
      </c>
      <c r="I397" s="6" t="n"/>
      <c r="J397" s="6" t="n"/>
    </row>
    <row r="398">
      <c r="A398" s="6" t="n"/>
      <c r="B398" s="6" t="n"/>
      <c r="C398">
        <f>IF(A398="","",IFERROR(INDEX(Attempts!$D$2:$D$200,MATCH(A398,Attempts!$A$2:$A$200,0)),"?"))</f>
        <v/>
      </c>
      <c r="D398">
        <f>IF(OR(A398="",B398=""),"",IFERROR(INDEX(Attempts!$M$2:$AP$200,MATCH(A398,Attempts!$A$2:$A$200,0),B398),""))</f>
        <v/>
      </c>
      <c r="E398">
        <f>IF(OR(C398="",B398=""),"",IFERROR(INDEX(Key!$C$2:$C$263,MATCH(C398*100+B398,Key!$G$2:$G$263,0)),""))</f>
        <v/>
      </c>
      <c r="F398">
        <f>IF(OR(C398="",B398=""),"",IFERROR(INDEX(Key!$E$2:$E$263,MATCH(C398*100+B398,Key!$G$2:$G$263,0)),""))</f>
        <v/>
      </c>
      <c r="G398" s="6" t="n"/>
      <c r="H398">
        <f>IF(OR(C398="",B398=""),"",IFERROR(INDEX(Papers!$K$2:$P$12,MATCH(C398,Papers!$A$2:$A$12,0),INDEX(Key!$D$2:$D$263,MATCH(C398*100+B398,Key!$G$2:$G$263,0))),""))</f>
        <v/>
      </c>
      <c r="I398" s="6" t="n"/>
      <c r="J398" s="6" t="n"/>
    </row>
    <row r="399">
      <c r="A399" s="6" t="n"/>
      <c r="B399" s="6" t="n"/>
      <c r="C399">
        <f>IF(A399="","",IFERROR(INDEX(Attempts!$D$2:$D$200,MATCH(A399,Attempts!$A$2:$A$200,0)),"?"))</f>
        <v/>
      </c>
      <c r="D399">
        <f>IF(OR(A399="",B399=""),"",IFERROR(INDEX(Attempts!$M$2:$AP$200,MATCH(A399,Attempts!$A$2:$A$200,0),B399),""))</f>
        <v/>
      </c>
      <c r="E399">
        <f>IF(OR(C399="",B399=""),"",IFERROR(INDEX(Key!$C$2:$C$263,MATCH(C399*100+B399,Key!$G$2:$G$263,0)),""))</f>
        <v/>
      </c>
      <c r="F399">
        <f>IF(OR(C399="",B399=""),"",IFERROR(INDEX(Key!$E$2:$E$263,MATCH(C399*100+B399,Key!$G$2:$G$263,0)),""))</f>
        <v/>
      </c>
      <c r="G399" s="6" t="n"/>
      <c r="H399">
        <f>IF(OR(C399="",B399=""),"",IFERROR(INDEX(Papers!$K$2:$P$12,MATCH(C399,Papers!$A$2:$A$12,0),INDEX(Key!$D$2:$D$263,MATCH(C399*100+B399,Key!$G$2:$G$263,0))),""))</f>
        <v/>
      </c>
      <c r="I399" s="6" t="n"/>
      <c r="J399" s="6" t="n"/>
    </row>
    <row r="400">
      <c r="A400" s="6" t="n"/>
      <c r="B400" s="6" t="n"/>
      <c r="C400">
        <f>IF(A400="","",IFERROR(INDEX(Attempts!$D$2:$D$200,MATCH(A400,Attempts!$A$2:$A$200,0)),"?"))</f>
        <v/>
      </c>
      <c r="D400">
        <f>IF(OR(A400="",B400=""),"",IFERROR(INDEX(Attempts!$M$2:$AP$200,MATCH(A400,Attempts!$A$2:$A$200,0),B400),""))</f>
        <v/>
      </c>
      <c r="E400">
        <f>IF(OR(C400="",B400=""),"",IFERROR(INDEX(Key!$C$2:$C$263,MATCH(C400*100+B400,Key!$G$2:$G$263,0)),""))</f>
        <v/>
      </c>
      <c r="F400">
        <f>IF(OR(C400="",B400=""),"",IFERROR(INDEX(Key!$E$2:$E$263,MATCH(C400*100+B400,Key!$G$2:$G$263,0)),""))</f>
        <v/>
      </c>
      <c r="G400" s="6" t="n"/>
      <c r="H400">
        <f>IF(OR(C400="",B400=""),"",IFERROR(INDEX(Papers!$K$2:$P$12,MATCH(C400,Papers!$A$2:$A$12,0),INDEX(Key!$D$2:$D$263,MATCH(C400*100+B400,Key!$G$2:$G$263,0))),""))</f>
        <v/>
      </c>
      <c r="I400" s="6" t="n"/>
      <c r="J400" s="6" t="n"/>
    </row>
    <row r="401">
      <c r="A401" s="6" t="n"/>
      <c r="B401" s="6" t="n"/>
      <c r="C401">
        <f>IF(A401="","",IFERROR(INDEX(Attempts!$D$2:$D$200,MATCH(A401,Attempts!$A$2:$A$200,0)),"?"))</f>
        <v/>
      </c>
      <c r="D401">
        <f>IF(OR(A401="",B401=""),"",IFERROR(INDEX(Attempts!$M$2:$AP$200,MATCH(A401,Attempts!$A$2:$A$200,0),B401),""))</f>
        <v/>
      </c>
      <c r="E401">
        <f>IF(OR(C401="",B401=""),"",IFERROR(INDEX(Key!$C$2:$C$263,MATCH(C401*100+B401,Key!$G$2:$G$263,0)),""))</f>
        <v/>
      </c>
      <c r="F401">
        <f>IF(OR(C401="",B401=""),"",IFERROR(INDEX(Key!$E$2:$E$263,MATCH(C401*100+B401,Key!$G$2:$G$263,0)),""))</f>
        <v/>
      </c>
      <c r="G401" s="6" t="n"/>
      <c r="H401">
        <f>IF(OR(C401="",B401=""),"",IFERROR(INDEX(Papers!$K$2:$P$12,MATCH(C401,Papers!$A$2:$A$12,0),INDEX(Key!$D$2:$D$263,MATCH(C401*100+B401,Key!$G$2:$G$263,0))),""))</f>
        <v/>
      </c>
      <c r="I401" s="6" t="n"/>
      <c r="J401" s="6" t="n"/>
    </row>
    <row r="402">
      <c r="A402" s="6" t="n"/>
      <c r="B402" s="6" t="n"/>
      <c r="C402">
        <f>IF(A402="","",IFERROR(INDEX(Attempts!$D$2:$D$200,MATCH(A402,Attempts!$A$2:$A$200,0)),"?"))</f>
        <v/>
      </c>
      <c r="D402">
        <f>IF(OR(A402="",B402=""),"",IFERROR(INDEX(Attempts!$M$2:$AP$200,MATCH(A402,Attempts!$A$2:$A$200,0),B402),""))</f>
        <v/>
      </c>
      <c r="E402">
        <f>IF(OR(C402="",B402=""),"",IFERROR(INDEX(Key!$C$2:$C$263,MATCH(C402*100+B402,Key!$G$2:$G$263,0)),""))</f>
        <v/>
      </c>
      <c r="F402">
        <f>IF(OR(C402="",B402=""),"",IFERROR(INDEX(Key!$E$2:$E$263,MATCH(C402*100+B402,Key!$G$2:$G$263,0)),""))</f>
        <v/>
      </c>
      <c r="G402" s="6" t="n"/>
      <c r="H402">
        <f>IF(OR(C402="",B402=""),"",IFERROR(INDEX(Papers!$K$2:$P$12,MATCH(C402,Papers!$A$2:$A$12,0),INDEX(Key!$D$2:$D$263,MATCH(C402*100+B402,Key!$G$2:$G$263,0))),""))</f>
        <v/>
      </c>
      <c r="I402" s="6" t="n"/>
      <c r="J402" s="6" t="n"/>
    </row>
    <row r="403">
      <c r="A403" s="6" t="n"/>
      <c r="B403" s="6" t="n"/>
      <c r="C403">
        <f>IF(A403="","",IFERROR(INDEX(Attempts!$D$2:$D$200,MATCH(A403,Attempts!$A$2:$A$200,0)),"?"))</f>
        <v/>
      </c>
      <c r="D403">
        <f>IF(OR(A403="",B403=""),"",IFERROR(INDEX(Attempts!$M$2:$AP$200,MATCH(A403,Attempts!$A$2:$A$200,0),B403),""))</f>
        <v/>
      </c>
      <c r="E403">
        <f>IF(OR(C403="",B403=""),"",IFERROR(INDEX(Key!$C$2:$C$263,MATCH(C403*100+B403,Key!$G$2:$G$263,0)),""))</f>
        <v/>
      </c>
      <c r="F403">
        <f>IF(OR(C403="",B403=""),"",IFERROR(INDEX(Key!$E$2:$E$263,MATCH(C403*100+B403,Key!$G$2:$G$263,0)),""))</f>
        <v/>
      </c>
      <c r="G403" s="6" t="n"/>
      <c r="H403">
        <f>IF(OR(C403="",B403=""),"",IFERROR(INDEX(Papers!$K$2:$P$12,MATCH(C403,Papers!$A$2:$A$12,0),INDEX(Key!$D$2:$D$263,MATCH(C403*100+B403,Key!$G$2:$G$263,0))),""))</f>
        <v/>
      </c>
      <c r="I403" s="6" t="n"/>
      <c r="J403" s="6" t="n"/>
    </row>
    <row r="404">
      <c r="A404" s="6" t="n"/>
      <c r="B404" s="6" t="n"/>
      <c r="C404">
        <f>IF(A404="","",IFERROR(INDEX(Attempts!$D$2:$D$200,MATCH(A404,Attempts!$A$2:$A$200,0)),"?"))</f>
        <v/>
      </c>
      <c r="D404">
        <f>IF(OR(A404="",B404=""),"",IFERROR(INDEX(Attempts!$M$2:$AP$200,MATCH(A404,Attempts!$A$2:$A$200,0),B404),""))</f>
        <v/>
      </c>
      <c r="E404">
        <f>IF(OR(C404="",B404=""),"",IFERROR(INDEX(Key!$C$2:$C$263,MATCH(C404*100+B404,Key!$G$2:$G$263,0)),""))</f>
        <v/>
      </c>
      <c r="F404">
        <f>IF(OR(C404="",B404=""),"",IFERROR(INDEX(Key!$E$2:$E$263,MATCH(C404*100+B404,Key!$G$2:$G$263,0)),""))</f>
        <v/>
      </c>
      <c r="G404" s="6" t="n"/>
      <c r="H404">
        <f>IF(OR(C404="",B404=""),"",IFERROR(INDEX(Papers!$K$2:$P$12,MATCH(C404,Papers!$A$2:$A$12,0),INDEX(Key!$D$2:$D$263,MATCH(C404*100+B404,Key!$G$2:$G$263,0))),""))</f>
        <v/>
      </c>
      <c r="I404" s="6" t="n"/>
      <c r="J404" s="6" t="n"/>
    </row>
    <row r="405">
      <c r="A405" s="6" t="n"/>
      <c r="B405" s="6" t="n"/>
      <c r="C405">
        <f>IF(A405="","",IFERROR(INDEX(Attempts!$D$2:$D$200,MATCH(A405,Attempts!$A$2:$A$200,0)),"?"))</f>
        <v/>
      </c>
      <c r="D405">
        <f>IF(OR(A405="",B405=""),"",IFERROR(INDEX(Attempts!$M$2:$AP$200,MATCH(A405,Attempts!$A$2:$A$200,0),B405),""))</f>
        <v/>
      </c>
      <c r="E405">
        <f>IF(OR(C405="",B405=""),"",IFERROR(INDEX(Key!$C$2:$C$263,MATCH(C405*100+B405,Key!$G$2:$G$263,0)),""))</f>
        <v/>
      </c>
      <c r="F405">
        <f>IF(OR(C405="",B405=""),"",IFERROR(INDEX(Key!$E$2:$E$263,MATCH(C405*100+B405,Key!$G$2:$G$263,0)),""))</f>
        <v/>
      </c>
      <c r="G405" s="6" t="n"/>
      <c r="H405">
        <f>IF(OR(C405="",B405=""),"",IFERROR(INDEX(Papers!$K$2:$P$12,MATCH(C405,Papers!$A$2:$A$12,0),INDEX(Key!$D$2:$D$263,MATCH(C405*100+B405,Key!$G$2:$G$263,0))),""))</f>
        <v/>
      </c>
      <c r="I405" s="6" t="n"/>
      <c r="J405" s="6" t="n"/>
    </row>
    <row r="406">
      <c r="A406" s="6" t="n"/>
      <c r="B406" s="6" t="n"/>
      <c r="C406">
        <f>IF(A406="","",IFERROR(INDEX(Attempts!$D$2:$D$200,MATCH(A406,Attempts!$A$2:$A$200,0)),"?"))</f>
        <v/>
      </c>
      <c r="D406">
        <f>IF(OR(A406="",B406=""),"",IFERROR(INDEX(Attempts!$M$2:$AP$200,MATCH(A406,Attempts!$A$2:$A$200,0),B406),""))</f>
        <v/>
      </c>
      <c r="E406">
        <f>IF(OR(C406="",B406=""),"",IFERROR(INDEX(Key!$C$2:$C$263,MATCH(C406*100+B406,Key!$G$2:$G$263,0)),""))</f>
        <v/>
      </c>
      <c r="F406">
        <f>IF(OR(C406="",B406=""),"",IFERROR(INDEX(Key!$E$2:$E$263,MATCH(C406*100+B406,Key!$G$2:$G$263,0)),""))</f>
        <v/>
      </c>
      <c r="G406" s="6" t="n"/>
      <c r="H406">
        <f>IF(OR(C406="",B406=""),"",IFERROR(INDEX(Papers!$K$2:$P$12,MATCH(C406,Papers!$A$2:$A$12,0),INDEX(Key!$D$2:$D$263,MATCH(C406*100+B406,Key!$G$2:$G$263,0))),""))</f>
        <v/>
      </c>
      <c r="I406" s="6" t="n"/>
      <c r="J406" s="6" t="n"/>
    </row>
    <row r="407">
      <c r="A407" s="6" t="n"/>
      <c r="B407" s="6" t="n"/>
      <c r="C407">
        <f>IF(A407="","",IFERROR(INDEX(Attempts!$D$2:$D$200,MATCH(A407,Attempts!$A$2:$A$200,0)),"?"))</f>
        <v/>
      </c>
      <c r="D407">
        <f>IF(OR(A407="",B407=""),"",IFERROR(INDEX(Attempts!$M$2:$AP$200,MATCH(A407,Attempts!$A$2:$A$200,0),B407),""))</f>
        <v/>
      </c>
      <c r="E407">
        <f>IF(OR(C407="",B407=""),"",IFERROR(INDEX(Key!$C$2:$C$263,MATCH(C407*100+B407,Key!$G$2:$G$263,0)),""))</f>
        <v/>
      </c>
      <c r="F407">
        <f>IF(OR(C407="",B407=""),"",IFERROR(INDEX(Key!$E$2:$E$263,MATCH(C407*100+B407,Key!$G$2:$G$263,0)),""))</f>
        <v/>
      </c>
      <c r="G407" s="6" t="n"/>
      <c r="H407">
        <f>IF(OR(C407="",B407=""),"",IFERROR(INDEX(Papers!$K$2:$P$12,MATCH(C407,Papers!$A$2:$A$12,0),INDEX(Key!$D$2:$D$263,MATCH(C407*100+B407,Key!$G$2:$G$263,0))),""))</f>
        <v/>
      </c>
      <c r="I407" s="6" t="n"/>
      <c r="J407" s="6" t="n"/>
    </row>
    <row r="408">
      <c r="A408" s="6" t="n"/>
      <c r="B408" s="6" t="n"/>
      <c r="C408">
        <f>IF(A408="","",IFERROR(INDEX(Attempts!$D$2:$D$200,MATCH(A408,Attempts!$A$2:$A$200,0)),"?"))</f>
        <v/>
      </c>
      <c r="D408">
        <f>IF(OR(A408="",B408=""),"",IFERROR(INDEX(Attempts!$M$2:$AP$200,MATCH(A408,Attempts!$A$2:$A$200,0),B408),""))</f>
        <v/>
      </c>
      <c r="E408">
        <f>IF(OR(C408="",B408=""),"",IFERROR(INDEX(Key!$C$2:$C$263,MATCH(C408*100+B408,Key!$G$2:$G$263,0)),""))</f>
        <v/>
      </c>
      <c r="F408">
        <f>IF(OR(C408="",B408=""),"",IFERROR(INDEX(Key!$E$2:$E$263,MATCH(C408*100+B408,Key!$G$2:$G$263,0)),""))</f>
        <v/>
      </c>
      <c r="G408" s="6" t="n"/>
      <c r="H408">
        <f>IF(OR(C408="",B408=""),"",IFERROR(INDEX(Papers!$K$2:$P$12,MATCH(C408,Papers!$A$2:$A$12,0),INDEX(Key!$D$2:$D$263,MATCH(C408*100+B408,Key!$G$2:$G$263,0))),""))</f>
        <v/>
      </c>
      <c r="I408" s="6" t="n"/>
      <c r="J408" s="6" t="n"/>
    </row>
    <row r="409">
      <c r="A409" s="6" t="n"/>
      <c r="B409" s="6" t="n"/>
      <c r="C409">
        <f>IF(A409="","",IFERROR(INDEX(Attempts!$D$2:$D$200,MATCH(A409,Attempts!$A$2:$A$200,0)),"?"))</f>
        <v/>
      </c>
      <c r="D409">
        <f>IF(OR(A409="",B409=""),"",IFERROR(INDEX(Attempts!$M$2:$AP$200,MATCH(A409,Attempts!$A$2:$A$200,0),B409),""))</f>
        <v/>
      </c>
      <c r="E409">
        <f>IF(OR(C409="",B409=""),"",IFERROR(INDEX(Key!$C$2:$C$263,MATCH(C409*100+B409,Key!$G$2:$G$263,0)),""))</f>
        <v/>
      </c>
      <c r="F409">
        <f>IF(OR(C409="",B409=""),"",IFERROR(INDEX(Key!$E$2:$E$263,MATCH(C409*100+B409,Key!$G$2:$G$263,0)),""))</f>
        <v/>
      </c>
      <c r="G409" s="6" t="n"/>
      <c r="H409">
        <f>IF(OR(C409="",B409=""),"",IFERROR(INDEX(Papers!$K$2:$P$12,MATCH(C409,Papers!$A$2:$A$12,0),INDEX(Key!$D$2:$D$263,MATCH(C409*100+B409,Key!$G$2:$G$263,0))),""))</f>
        <v/>
      </c>
      <c r="I409" s="6" t="n"/>
      <c r="J409" s="6" t="n"/>
    </row>
    <row r="410">
      <c r="A410" s="6" t="n"/>
      <c r="B410" s="6" t="n"/>
      <c r="C410">
        <f>IF(A410="","",IFERROR(INDEX(Attempts!$D$2:$D$200,MATCH(A410,Attempts!$A$2:$A$200,0)),"?"))</f>
        <v/>
      </c>
      <c r="D410">
        <f>IF(OR(A410="",B410=""),"",IFERROR(INDEX(Attempts!$M$2:$AP$200,MATCH(A410,Attempts!$A$2:$A$200,0),B410),""))</f>
        <v/>
      </c>
      <c r="E410">
        <f>IF(OR(C410="",B410=""),"",IFERROR(INDEX(Key!$C$2:$C$263,MATCH(C410*100+B410,Key!$G$2:$G$263,0)),""))</f>
        <v/>
      </c>
      <c r="F410">
        <f>IF(OR(C410="",B410=""),"",IFERROR(INDEX(Key!$E$2:$E$263,MATCH(C410*100+B410,Key!$G$2:$G$263,0)),""))</f>
        <v/>
      </c>
      <c r="G410" s="6" t="n"/>
      <c r="H410">
        <f>IF(OR(C410="",B410=""),"",IFERROR(INDEX(Papers!$K$2:$P$12,MATCH(C410,Papers!$A$2:$A$12,0),INDEX(Key!$D$2:$D$263,MATCH(C410*100+B410,Key!$G$2:$G$263,0))),""))</f>
        <v/>
      </c>
      <c r="I410" s="6" t="n"/>
      <c r="J410" s="6" t="n"/>
    </row>
    <row r="411">
      <c r="A411" s="6" t="n"/>
      <c r="B411" s="6" t="n"/>
      <c r="C411">
        <f>IF(A411="","",IFERROR(INDEX(Attempts!$D$2:$D$200,MATCH(A411,Attempts!$A$2:$A$200,0)),"?"))</f>
        <v/>
      </c>
      <c r="D411">
        <f>IF(OR(A411="",B411=""),"",IFERROR(INDEX(Attempts!$M$2:$AP$200,MATCH(A411,Attempts!$A$2:$A$200,0),B411),""))</f>
        <v/>
      </c>
      <c r="E411">
        <f>IF(OR(C411="",B411=""),"",IFERROR(INDEX(Key!$C$2:$C$263,MATCH(C411*100+B411,Key!$G$2:$G$263,0)),""))</f>
        <v/>
      </c>
      <c r="F411">
        <f>IF(OR(C411="",B411=""),"",IFERROR(INDEX(Key!$E$2:$E$263,MATCH(C411*100+B411,Key!$G$2:$G$263,0)),""))</f>
        <v/>
      </c>
      <c r="G411" s="6" t="n"/>
      <c r="H411">
        <f>IF(OR(C411="",B411=""),"",IFERROR(INDEX(Papers!$K$2:$P$12,MATCH(C411,Papers!$A$2:$A$12,0),INDEX(Key!$D$2:$D$263,MATCH(C411*100+B411,Key!$G$2:$G$263,0))),""))</f>
        <v/>
      </c>
      <c r="I411" s="6" t="n"/>
      <c r="J411" s="6" t="n"/>
    </row>
    <row r="412">
      <c r="A412" s="6" t="n"/>
      <c r="B412" s="6" t="n"/>
      <c r="C412">
        <f>IF(A412="","",IFERROR(INDEX(Attempts!$D$2:$D$200,MATCH(A412,Attempts!$A$2:$A$200,0)),"?"))</f>
        <v/>
      </c>
      <c r="D412">
        <f>IF(OR(A412="",B412=""),"",IFERROR(INDEX(Attempts!$M$2:$AP$200,MATCH(A412,Attempts!$A$2:$A$200,0),B412),""))</f>
        <v/>
      </c>
      <c r="E412">
        <f>IF(OR(C412="",B412=""),"",IFERROR(INDEX(Key!$C$2:$C$263,MATCH(C412*100+B412,Key!$G$2:$G$263,0)),""))</f>
        <v/>
      </c>
      <c r="F412">
        <f>IF(OR(C412="",B412=""),"",IFERROR(INDEX(Key!$E$2:$E$263,MATCH(C412*100+B412,Key!$G$2:$G$263,0)),""))</f>
        <v/>
      </c>
      <c r="G412" s="6" t="n"/>
      <c r="H412">
        <f>IF(OR(C412="",B412=""),"",IFERROR(INDEX(Papers!$K$2:$P$12,MATCH(C412,Papers!$A$2:$A$12,0),INDEX(Key!$D$2:$D$263,MATCH(C412*100+B412,Key!$G$2:$G$263,0))),""))</f>
        <v/>
      </c>
      <c r="I412" s="6" t="n"/>
      <c r="J412" s="6" t="n"/>
    </row>
    <row r="413">
      <c r="A413" s="6" t="n"/>
      <c r="B413" s="6" t="n"/>
      <c r="C413">
        <f>IF(A413="","",IFERROR(INDEX(Attempts!$D$2:$D$200,MATCH(A413,Attempts!$A$2:$A$200,0)),"?"))</f>
        <v/>
      </c>
      <c r="D413">
        <f>IF(OR(A413="",B413=""),"",IFERROR(INDEX(Attempts!$M$2:$AP$200,MATCH(A413,Attempts!$A$2:$A$200,0),B413),""))</f>
        <v/>
      </c>
      <c r="E413">
        <f>IF(OR(C413="",B413=""),"",IFERROR(INDEX(Key!$C$2:$C$263,MATCH(C413*100+B413,Key!$G$2:$G$263,0)),""))</f>
        <v/>
      </c>
      <c r="F413">
        <f>IF(OR(C413="",B413=""),"",IFERROR(INDEX(Key!$E$2:$E$263,MATCH(C413*100+B413,Key!$G$2:$G$263,0)),""))</f>
        <v/>
      </c>
      <c r="G413" s="6" t="n"/>
      <c r="H413">
        <f>IF(OR(C413="",B413=""),"",IFERROR(INDEX(Papers!$K$2:$P$12,MATCH(C413,Papers!$A$2:$A$12,0),INDEX(Key!$D$2:$D$263,MATCH(C413*100+B413,Key!$G$2:$G$263,0))),""))</f>
        <v/>
      </c>
      <c r="I413" s="6" t="n"/>
      <c r="J413" s="6" t="n"/>
    </row>
    <row r="414">
      <c r="A414" s="6" t="n"/>
      <c r="B414" s="6" t="n"/>
      <c r="C414">
        <f>IF(A414="","",IFERROR(INDEX(Attempts!$D$2:$D$200,MATCH(A414,Attempts!$A$2:$A$200,0)),"?"))</f>
        <v/>
      </c>
      <c r="D414">
        <f>IF(OR(A414="",B414=""),"",IFERROR(INDEX(Attempts!$M$2:$AP$200,MATCH(A414,Attempts!$A$2:$A$200,0),B414),""))</f>
        <v/>
      </c>
      <c r="E414">
        <f>IF(OR(C414="",B414=""),"",IFERROR(INDEX(Key!$C$2:$C$263,MATCH(C414*100+B414,Key!$G$2:$G$263,0)),""))</f>
        <v/>
      </c>
      <c r="F414">
        <f>IF(OR(C414="",B414=""),"",IFERROR(INDEX(Key!$E$2:$E$263,MATCH(C414*100+B414,Key!$G$2:$G$263,0)),""))</f>
        <v/>
      </c>
      <c r="G414" s="6" t="n"/>
      <c r="H414">
        <f>IF(OR(C414="",B414=""),"",IFERROR(INDEX(Papers!$K$2:$P$12,MATCH(C414,Papers!$A$2:$A$12,0),INDEX(Key!$D$2:$D$263,MATCH(C414*100+B414,Key!$G$2:$G$263,0))),""))</f>
        <v/>
      </c>
      <c r="I414" s="6" t="n"/>
      <c r="J414" s="6" t="n"/>
    </row>
    <row r="415">
      <c r="A415" s="6" t="n"/>
      <c r="B415" s="6" t="n"/>
      <c r="C415">
        <f>IF(A415="","",IFERROR(INDEX(Attempts!$D$2:$D$200,MATCH(A415,Attempts!$A$2:$A$200,0)),"?"))</f>
        <v/>
      </c>
      <c r="D415">
        <f>IF(OR(A415="",B415=""),"",IFERROR(INDEX(Attempts!$M$2:$AP$200,MATCH(A415,Attempts!$A$2:$A$200,0),B415),""))</f>
        <v/>
      </c>
      <c r="E415">
        <f>IF(OR(C415="",B415=""),"",IFERROR(INDEX(Key!$C$2:$C$263,MATCH(C415*100+B415,Key!$G$2:$G$263,0)),""))</f>
        <v/>
      </c>
      <c r="F415">
        <f>IF(OR(C415="",B415=""),"",IFERROR(INDEX(Key!$E$2:$E$263,MATCH(C415*100+B415,Key!$G$2:$G$263,0)),""))</f>
        <v/>
      </c>
      <c r="G415" s="6" t="n"/>
      <c r="H415">
        <f>IF(OR(C415="",B415=""),"",IFERROR(INDEX(Papers!$K$2:$P$12,MATCH(C415,Papers!$A$2:$A$12,0),INDEX(Key!$D$2:$D$263,MATCH(C415*100+B415,Key!$G$2:$G$263,0))),""))</f>
        <v/>
      </c>
      <c r="I415" s="6" t="n"/>
      <c r="J415" s="6" t="n"/>
    </row>
    <row r="416">
      <c r="A416" s="6" t="n"/>
      <c r="B416" s="6" t="n"/>
      <c r="C416">
        <f>IF(A416="","",IFERROR(INDEX(Attempts!$D$2:$D$200,MATCH(A416,Attempts!$A$2:$A$200,0)),"?"))</f>
        <v/>
      </c>
      <c r="D416">
        <f>IF(OR(A416="",B416=""),"",IFERROR(INDEX(Attempts!$M$2:$AP$200,MATCH(A416,Attempts!$A$2:$A$200,0),B416),""))</f>
        <v/>
      </c>
      <c r="E416">
        <f>IF(OR(C416="",B416=""),"",IFERROR(INDEX(Key!$C$2:$C$263,MATCH(C416*100+B416,Key!$G$2:$G$263,0)),""))</f>
        <v/>
      </c>
      <c r="F416">
        <f>IF(OR(C416="",B416=""),"",IFERROR(INDEX(Key!$E$2:$E$263,MATCH(C416*100+B416,Key!$G$2:$G$263,0)),""))</f>
        <v/>
      </c>
      <c r="G416" s="6" t="n"/>
      <c r="H416">
        <f>IF(OR(C416="",B416=""),"",IFERROR(INDEX(Papers!$K$2:$P$12,MATCH(C416,Papers!$A$2:$A$12,0),INDEX(Key!$D$2:$D$263,MATCH(C416*100+B416,Key!$G$2:$G$263,0))),""))</f>
        <v/>
      </c>
      <c r="I416" s="6" t="n"/>
      <c r="J416" s="6" t="n"/>
    </row>
    <row r="417">
      <c r="A417" s="6" t="n"/>
      <c r="B417" s="6" t="n"/>
      <c r="C417">
        <f>IF(A417="","",IFERROR(INDEX(Attempts!$D$2:$D$200,MATCH(A417,Attempts!$A$2:$A$200,0)),"?"))</f>
        <v/>
      </c>
      <c r="D417">
        <f>IF(OR(A417="",B417=""),"",IFERROR(INDEX(Attempts!$M$2:$AP$200,MATCH(A417,Attempts!$A$2:$A$200,0),B417),""))</f>
        <v/>
      </c>
      <c r="E417">
        <f>IF(OR(C417="",B417=""),"",IFERROR(INDEX(Key!$C$2:$C$263,MATCH(C417*100+B417,Key!$G$2:$G$263,0)),""))</f>
        <v/>
      </c>
      <c r="F417">
        <f>IF(OR(C417="",B417=""),"",IFERROR(INDEX(Key!$E$2:$E$263,MATCH(C417*100+B417,Key!$G$2:$G$263,0)),""))</f>
        <v/>
      </c>
      <c r="G417" s="6" t="n"/>
      <c r="H417">
        <f>IF(OR(C417="",B417=""),"",IFERROR(INDEX(Papers!$K$2:$P$12,MATCH(C417,Papers!$A$2:$A$12,0),INDEX(Key!$D$2:$D$263,MATCH(C417*100+B417,Key!$G$2:$G$263,0))),""))</f>
        <v/>
      </c>
      <c r="I417" s="6" t="n"/>
      <c r="J417" s="6" t="n"/>
    </row>
    <row r="418">
      <c r="A418" s="6" t="n"/>
      <c r="B418" s="6" t="n"/>
      <c r="C418">
        <f>IF(A418="","",IFERROR(INDEX(Attempts!$D$2:$D$200,MATCH(A418,Attempts!$A$2:$A$200,0)),"?"))</f>
        <v/>
      </c>
      <c r="D418">
        <f>IF(OR(A418="",B418=""),"",IFERROR(INDEX(Attempts!$M$2:$AP$200,MATCH(A418,Attempts!$A$2:$A$200,0),B418),""))</f>
        <v/>
      </c>
      <c r="E418">
        <f>IF(OR(C418="",B418=""),"",IFERROR(INDEX(Key!$C$2:$C$263,MATCH(C418*100+B418,Key!$G$2:$G$263,0)),""))</f>
        <v/>
      </c>
      <c r="F418">
        <f>IF(OR(C418="",B418=""),"",IFERROR(INDEX(Key!$E$2:$E$263,MATCH(C418*100+B418,Key!$G$2:$G$263,0)),""))</f>
        <v/>
      </c>
      <c r="G418" s="6" t="n"/>
      <c r="H418">
        <f>IF(OR(C418="",B418=""),"",IFERROR(INDEX(Papers!$K$2:$P$12,MATCH(C418,Papers!$A$2:$A$12,0),INDEX(Key!$D$2:$D$263,MATCH(C418*100+B418,Key!$G$2:$G$263,0))),""))</f>
        <v/>
      </c>
      <c r="I418" s="6" t="n"/>
      <c r="J418" s="6" t="n"/>
    </row>
    <row r="419">
      <c r="A419" s="6" t="n"/>
      <c r="B419" s="6" t="n"/>
      <c r="C419">
        <f>IF(A419="","",IFERROR(INDEX(Attempts!$D$2:$D$200,MATCH(A419,Attempts!$A$2:$A$200,0)),"?"))</f>
        <v/>
      </c>
      <c r="D419">
        <f>IF(OR(A419="",B419=""),"",IFERROR(INDEX(Attempts!$M$2:$AP$200,MATCH(A419,Attempts!$A$2:$A$200,0),B419),""))</f>
        <v/>
      </c>
      <c r="E419">
        <f>IF(OR(C419="",B419=""),"",IFERROR(INDEX(Key!$C$2:$C$263,MATCH(C419*100+B419,Key!$G$2:$G$263,0)),""))</f>
        <v/>
      </c>
      <c r="F419">
        <f>IF(OR(C419="",B419=""),"",IFERROR(INDEX(Key!$E$2:$E$263,MATCH(C419*100+B419,Key!$G$2:$G$263,0)),""))</f>
        <v/>
      </c>
      <c r="G419" s="6" t="n"/>
      <c r="H419">
        <f>IF(OR(C419="",B419=""),"",IFERROR(INDEX(Papers!$K$2:$P$12,MATCH(C419,Papers!$A$2:$A$12,0),INDEX(Key!$D$2:$D$263,MATCH(C419*100+B419,Key!$G$2:$G$263,0))),""))</f>
        <v/>
      </c>
      <c r="I419" s="6" t="n"/>
      <c r="J419" s="6" t="n"/>
    </row>
    <row r="420">
      <c r="A420" s="6" t="n"/>
      <c r="B420" s="6" t="n"/>
      <c r="C420">
        <f>IF(A420="","",IFERROR(INDEX(Attempts!$D$2:$D$200,MATCH(A420,Attempts!$A$2:$A$200,0)),"?"))</f>
        <v/>
      </c>
      <c r="D420">
        <f>IF(OR(A420="",B420=""),"",IFERROR(INDEX(Attempts!$M$2:$AP$200,MATCH(A420,Attempts!$A$2:$A$200,0),B420),""))</f>
        <v/>
      </c>
      <c r="E420">
        <f>IF(OR(C420="",B420=""),"",IFERROR(INDEX(Key!$C$2:$C$263,MATCH(C420*100+B420,Key!$G$2:$G$263,0)),""))</f>
        <v/>
      </c>
      <c r="F420">
        <f>IF(OR(C420="",B420=""),"",IFERROR(INDEX(Key!$E$2:$E$263,MATCH(C420*100+B420,Key!$G$2:$G$263,0)),""))</f>
        <v/>
      </c>
      <c r="G420" s="6" t="n"/>
      <c r="H420">
        <f>IF(OR(C420="",B420=""),"",IFERROR(INDEX(Papers!$K$2:$P$12,MATCH(C420,Papers!$A$2:$A$12,0),INDEX(Key!$D$2:$D$263,MATCH(C420*100+B420,Key!$G$2:$G$263,0))),""))</f>
        <v/>
      </c>
      <c r="I420" s="6" t="n"/>
      <c r="J420" s="6" t="n"/>
    </row>
    <row r="421">
      <c r="A421" s="6" t="n"/>
      <c r="B421" s="6" t="n"/>
      <c r="C421">
        <f>IF(A421="","",IFERROR(INDEX(Attempts!$D$2:$D$200,MATCH(A421,Attempts!$A$2:$A$200,0)),"?"))</f>
        <v/>
      </c>
      <c r="D421">
        <f>IF(OR(A421="",B421=""),"",IFERROR(INDEX(Attempts!$M$2:$AP$200,MATCH(A421,Attempts!$A$2:$A$200,0),B421),""))</f>
        <v/>
      </c>
      <c r="E421">
        <f>IF(OR(C421="",B421=""),"",IFERROR(INDEX(Key!$C$2:$C$263,MATCH(C421*100+B421,Key!$G$2:$G$263,0)),""))</f>
        <v/>
      </c>
      <c r="F421">
        <f>IF(OR(C421="",B421=""),"",IFERROR(INDEX(Key!$E$2:$E$263,MATCH(C421*100+B421,Key!$G$2:$G$263,0)),""))</f>
        <v/>
      </c>
      <c r="G421" s="6" t="n"/>
      <c r="H421">
        <f>IF(OR(C421="",B421=""),"",IFERROR(INDEX(Papers!$K$2:$P$12,MATCH(C421,Papers!$A$2:$A$12,0),INDEX(Key!$D$2:$D$263,MATCH(C421*100+B421,Key!$G$2:$G$263,0))),""))</f>
        <v/>
      </c>
      <c r="I421" s="6" t="n"/>
      <c r="J421" s="6" t="n"/>
    </row>
    <row r="422">
      <c r="A422" s="6" t="n"/>
      <c r="B422" s="6" t="n"/>
      <c r="C422">
        <f>IF(A422="","",IFERROR(INDEX(Attempts!$D$2:$D$200,MATCH(A422,Attempts!$A$2:$A$200,0)),"?"))</f>
        <v/>
      </c>
      <c r="D422">
        <f>IF(OR(A422="",B422=""),"",IFERROR(INDEX(Attempts!$M$2:$AP$200,MATCH(A422,Attempts!$A$2:$A$200,0),B422),""))</f>
        <v/>
      </c>
      <c r="E422">
        <f>IF(OR(C422="",B422=""),"",IFERROR(INDEX(Key!$C$2:$C$263,MATCH(C422*100+B422,Key!$G$2:$G$263,0)),""))</f>
        <v/>
      </c>
      <c r="F422">
        <f>IF(OR(C422="",B422=""),"",IFERROR(INDEX(Key!$E$2:$E$263,MATCH(C422*100+B422,Key!$G$2:$G$263,0)),""))</f>
        <v/>
      </c>
      <c r="G422" s="6" t="n"/>
      <c r="H422">
        <f>IF(OR(C422="",B422=""),"",IFERROR(INDEX(Papers!$K$2:$P$12,MATCH(C422,Papers!$A$2:$A$12,0),INDEX(Key!$D$2:$D$263,MATCH(C422*100+B422,Key!$G$2:$G$263,0))),""))</f>
        <v/>
      </c>
      <c r="I422" s="6" t="n"/>
      <c r="J422" s="6" t="n"/>
    </row>
    <row r="423">
      <c r="A423" s="6" t="n"/>
      <c r="B423" s="6" t="n"/>
      <c r="C423">
        <f>IF(A423="","",IFERROR(INDEX(Attempts!$D$2:$D$200,MATCH(A423,Attempts!$A$2:$A$200,0)),"?"))</f>
        <v/>
      </c>
      <c r="D423">
        <f>IF(OR(A423="",B423=""),"",IFERROR(INDEX(Attempts!$M$2:$AP$200,MATCH(A423,Attempts!$A$2:$A$200,0),B423),""))</f>
        <v/>
      </c>
      <c r="E423">
        <f>IF(OR(C423="",B423=""),"",IFERROR(INDEX(Key!$C$2:$C$263,MATCH(C423*100+B423,Key!$G$2:$G$263,0)),""))</f>
        <v/>
      </c>
      <c r="F423">
        <f>IF(OR(C423="",B423=""),"",IFERROR(INDEX(Key!$E$2:$E$263,MATCH(C423*100+B423,Key!$G$2:$G$263,0)),""))</f>
        <v/>
      </c>
      <c r="G423" s="6" t="n"/>
      <c r="H423">
        <f>IF(OR(C423="",B423=""),"",IFERROR(INDEX(Papers!$K$2:$P$12,MATCH(C423,Papers!$A$2:$A$12,0),INDEX(Key!$D$2:$D$263,MATCH(C423*100+B423,Key!$G$2:$G$263,0))),""))</f>
        <v/>
      </c>
      <c r="I423" s="6" t="n"/>
      <c r="J423" s="6" t="n"/>
    </row>
    <row r="424">
      <c r="A424" s="6" t="n"/>
      <c r="B424" s="6" t="n"/>
      <c r="C424">
        <f>IF(A424="","",IFERROR(INDEX(Attempts!$D$2:$D$200,MATCH(A424,Attempts!$A$2:$A$200,0)),"?"))</f>
        <v/>
      </c>
      <c r="D424">
        <f>IF(OR(A424="",B424=""),"",IFERROR(INDEX(Attempts!$M$2:$AP$200,MATCH(A424,Attempts!$A$2:$A$200,0),B424),""))</f>
        <v/>
      </c>
      <c r="E424">
        <f>IF(OR(C424="",B424=""),"",IFERROR(INDEX(Key!$C$2:$C$263,MATCH(C424*100+B424,Key!$G$2:$G$263,0)),""))</f>
        <v/>
      </c>
      <c r="F424">
        <f>IF(OR(C424="",B424=""),"",IFERROR(INDEX(Key!$E$2:$E$263,MATCH(C424*100+B424,Key!$G$2:$G$263,0)),""))</f>
        <v/>
      </c>
      <c r="G424" s="6" t="n"/>
      <c r="H424">
        <f>IF(OR(C424="",B424=""),"",IFERROR(INDEX(Papers!$K$2:$P$12,MATCH(C424,Papers!$A$2:$A$12,0),INDEX(Key!$D$2:$D$263,MATCH(C424*100+B424,Key!$G$2:$G$263,0))),""))</f>
        <v/>
      </c>
      <c r="I424" s="6" t="n"/>
      <c r="J424" s="6" t="n"/>
    </row>
    <row r="425">
      <c r="A425" s="6" t="n"/>
      <c r="B425" s="6" t="n"/>
      <c r="C425">
        <f>IF(A425="","",IFERROR(INDEX(Attempts!$D$2:$D$200,MATCH(A425,Attempts!$A$2:$A$200,0)),"?"))</f>
        <v/>
      </c>
      <c r="D425">
        <f>IF(OR(A425="",B425=""),"",IFERROR(INDEX(Attempts!$M$2:$AP$200,MATCH(A425,Attempts!$A$2:$A$200,0),B425),""))</f>
        <v/>
      </c>
      <c r="E425">
        <f>IF(OR(C425="",B425=""),"",IFERROR(INDEX(Key!$C$2:$C$263,MATCH(C425*100+B425,Key!$G$2:$G$263,0)),""))</f>
        <v/>
      </c>
      <c r="F425">
        <f>IF(OR(C425="",B425=""),"",IFERROR(INDEX(Key!$E$2:$E$263,MATCH(C425*100+B425,Key!$G$2:$G$263,0)),""))</f>
        <v/>
      </c>
      <c r="G425" s="6" t="n"/>
      <c r="H425">
        <f>IF(OR(C425="",B425=""),"",IFERROR(INDEX(Papers!$K$2:$P$12,MATCH(C425,Papers!$A$2:$A$12,0),INDEX(Key!$D$2:$D$263,MATCH(C425*100+B425,Key!$G$2:$G$263,0))),""))</f>
        <v/>
      </c>
      <c r="I425" s="6" t="n"/>
      <c r="J425" s="6" t="n"/>
    </row>
    <row r="426">
      <c r="A426" s="6" t="n"/>
      <c r="B426" s="6" t="n"/>
      <c r="C426">
        <f>IF(A426="","",IFERROR(INDEX(Attempts!$D$2:$D$200,MATCH(A426,Attempts!$A$2:$A$200,0)),"?"))</f>
        <v/>
      </c>
      <c r="D426">
        <f>IF(OR(A426="",B426=""),"",IFERROR(INDEX(Attempts!$M$2:$AP$200,MATCH(A426,Attempts!$A$2:$A$200,0),B426),""))</f>
        <v/>
      </c>
      <c r="E426">
        <f>IF(OR(C426="",B426=""),"",IFERROR(INDEX(Key!$C$2:$C$263,MATCH(C426*100+B426,Key!$G$2:$G$263,0)),""))</f>
        <v/>
      </c>
      <c r="F426">
        <f>IF(OR(C426="",B426=""),"",IFERROR(INDEX(Key!$E$2:$E$263,MATCH(C426*100+B426,Key!$G$2:$G$263,0)),""))</f>
        <v/>
      </c>
      <c r="G426" s="6" t="n"/>
      <c r="H426">
        <f>IF(OR(C426="",B426=""),"",IFERROR(INDEX(Papers!$K$2:$P$12,MATCH(C426,Papers!$A$2:$A$12,0),INDEX(Key!$D$2:$D$263,MATCH(C426*100+B426,Key!$G$2:$G$263,0))),""))</f>
        <v/>
      </c>
      <c r="I426" s="6" t="n"/>
      <c r="J426" s="6" t="n"/>
    </row>
    <row r="427">
      <c r="A427" s="6" t="n"/>
      <c r="B427" s="6" t="n"/>
      <c r="C427">
        <f>IF(A427="","",IFERROR(INDEX(Attempts!$D$2:$D$200,MATCH(A427,Attempts!$A$2:$A$200,0)),"?"))</f>
        <v/>
      </c>
      <c r="D427">
        <f>IF(OR(A427="",B427=""),"",IFERROR(INDEX(Attempts!$M$2:$AP$200,MATCH(A427,Attempts!$A$2:$A$200,0),B427),""))</f>
        <v/>
      </c>
      <c r="E427">
        <f>IF(OR(C427="",B427=""),"",IFERROR(INDEX(Key!$C$2:$C$263,MATCH(C427*100+B427,Key!$G$2:$G$263,0)),""))</f>
        <v/>
      </c>
      <c r="F427">
        <f>IF(OR(C427="",B427=""),"",IFERROR(INDEX(Key!$E$2:$E$263,MATCH(C427*100+B427,Key!$G$2:$G$263,0)),""))</f>
        <v/>
      </c>
      <c r="G427" s="6" t="n"/>
      <c r="H427">
        <f>IF(OR(C427="",B427=""),"",IFERROR(INDEX(Papers!$K$2:$P$12,MATCH(C427,Papers!$A$2:$A$12,0),INDEX(Key!$D$2:$D$263,MATCH(C427*100+B427,Key!$G$2:$G$263,0))),""))</f>
        <v/>
      </c>
      <c r="I427" s="6" t="n"/>
      <c r="J427" s="6" t="n"/>
    </row>
    <row r="428">
      <c r="A428" s="6" t="n"/>
      <c r="B428" s="6" t="n"/>
      <c r="C428">
        <f>IF(A428="","",IFERROR(INDEX(Attempts!$D$2:$D$200,MATCH(A428,Attempts!$A$2:$A$200,0)),"?"))</f>
        <v/>
      </c>
      <c r="D428">
        <f>IF(OR(A428="",B428=""),"",IFERROR(INDEX(Attempts!$M$2:$AP$200,MATCH(A428,Attempts!$A$2:$A$200,0),B428),""))</f>
        <v/>
      </c>
      <c r="E428">
        <f>IF(OR(C428="",B428=""),"",IFERROR(INDEX(Key!$C$2:$C$263,MATCH(C428*100+B428,Key!$G$2:$G$263,0)),""))</f>
        <v/>
      </c>
      <c r="F428">
        <f>IF(OR(C428="",B428=""),"",IFERROR(INDEX(Key!$E$2:$E$263,MATCH(C428*100+B428,Key!$G$2:$G$263,0)),""))</f>
        <v/>
      </c>
      <c r="G428" s="6" t="n"/>
      <c r="H428">
        <f>IF(OR(C428="",B428=""),"",IFERROR(INDEX(Papers!$K$2:$P$12,MATCH(C428,Papers!$A$2:$A$12,0),INDEX(Key!$D$2:$D$263,MATCH(C428*100+B428,Key!$G$2:$G$263,0))),""))</f>
        <v/>
      </c>
      <c r="I428" s="6" t="n"/>
      <c r="J428" s="6" t="n"/>
    </row>
    <row r="429">
      <c r="A429" s="6" t="n"/>
      <c r="B429" s="6" t="n"/>
      <c r="C429">
        <f>IF(A429="","",IFERROR(INDEX(Attempts!$D$2:$D$200,MATCH(A429,Attempts!$A$2:$A$200,0)),"?"))</f>
        <v/>
      </c>
      <c r="D429">
        <f>IF(OR(A429="",B429=""),"",IFERROR(INDEX(Attempts!$M$2:$AP$200,MATCH(A429,Attempts!$A$2:$A$200,0),B429),""))</f>
        <v/>
      </c>
      <c r="E429">
        <f>IF(OR(C429="",B429=""),"",IFERROR(INDEX(Key!$C$2:$C$263,MATCH(C429*100+B429,Key!$G$2:$G$263,0)),""))</f>
        <v/>
      </c>
      <c r="F429">
        <f>IF(OR(C429="",B429=""),"",IFERROR(INDEX(Key!$E$2:$E$263,MATCH(C429*100+B429,Key!$G$2:$G$263,0)),""))</f>
        <v/>
      </c>
      <c r="G429" s="6" t="n"/>
      <c r="H429">
        <f>IF(OR(C429="",B429=""),"",IFERROR(INDEX(Papers!$K$2:$P$12,MATCH(C429,Papers!$A$2:$A$12,0),INDEX(Key!$D$2:$D$263,MATCH(C429*100+B429,Key!$G$2:$G$263,0))),""))</f>
        <v/>
      </c>
      <c r="I429" s="6" t="n"/>
      <c r="J429" s="6" t="n"/>
    </row>
    <row r="430">
      <c r="A430" s="6" t="n"/>
      <c r="B430" s="6" t="n"/>
      <c r="C430">
        <f>IF(A430="","",IFERROR(INDEX(Attempts!$D$2:$D$200,MATCH(A430,Attempts!$A$2:$A$200,0)),"?"))</f>
        <v/>
      </c>
      <c r="D430">
        <f>IF(OR(A430="",B430=""),"",IFERROR(INDEX(Attempts!$M$2:$AP$200,MATCH(A430,Attempts!$A$2:$A$200,0),B430),""))</f>
        <v/>
      </c>
      <c r="E430">
        <f>IF(OR(C430="",B430=""),"",IFERROR(INDEX(Key!$C$2:$C$263,MATCH(C430*100+B430,Key!$G$2:$G$263,0)),""))</f>
        <v/>
      </c>
      <c r="F430">
        <f>IF(OR(C430="",B430=""),"",IFERROR(INDEX(Key!$E$2:$E$263,MATCH(C430*100+B430,Key!$G$2:$G$263,0)),""))</f>
        <v/>
      </c>
      <c r="G430" s="6" t="n"/>
      <c r="H430">
        <f>IF(OR(C430="",B430=""),"",IFERROR(INDEX(Papers!$K$2:$P$12,MATCH(C430,Papers!$A$2:$A$12,0),INDEX(Key!$D$2:$D$263,MATCH(C430*100+B430,Key!$G$2:$G$263,0))),""))</f>
        <v/>
      </c>
      <c r="I430" s="6" t="n"/>
      <c r="J430" s="6" t="n"/>
    </row>
    <row r="431">
      <c r="A431" s="6" t="n"/>
      <c r="B431" s="6" t="n"/>
      <c r="C431">
        <f>IF(A431="","",IFERROR(INDEX(Attempts!$D$2:$D$200,MATCH(A431,Attempts!$A$2:$A$200,0)),"?"))</f>
        <v/>
      </c>
      <c r="D431">
        <f>IF(OR(A431="",B431=""),"",IFERROR(INDEX(Attempts!$M$2:$AP$200,MATCH(A431,Attempts!$A$2:$A$200,0),B431),""))</f>
        <v/>
      </c>
      <c r="E431">
        <f>IF(OR(C431="",B431=""),"",IFERROR(INDEX(Key!$C$2:$C$263,MATCH(C431*100+B431,Key!$G$2:$G$263,0)),""))</f>
        <v/>
      </c>
      <c r="F431">
        <f>IF(OR(C431="",B431=""),"",IFERROR(INDEX(Key!$E$2:$E$263,MATCH(C431*100+B431,Key!$G$2:$G$263,0)),""))</f>
        <v/>
      </c>
      <c r="G431" s="6" t="n"/>
      <c r="H431">
        <f>IF(OR(C431="",B431=""),"",IFERROR(INDEX(Papers!$K$2:$P$12,MATCH(C431,Papers!$A$2:$A$12,0),INDEX(Key!$D$2:$D$263,MATCH(C431*100+B431,Key!$G$2:$G$263,0))),""))</f>
        <v/>
      </c>
      <c r="I431" s="6" t="n"/>
      <c r="J431" s="6" t="n"/>
    </row>
    <row r="432">
      <c r="A432" s="6" t="n"/>
      <c r="B432" s="6" t="n"/>
      <c r="C432">
        <f>IF(A432="","",IFERROR(INDEX(Attempts!$D$2:$D$200,MATCH(A432,Attempts!$A$2:$A$200,0)),"?"))</f>
        <v/>
      </c>
      <c r="D432">
        <f>IF(OR(A432="",B432=""),"",IFERROR(INDEX(Attempts!$M$2:$AP$200,MATCH(A432,Attempts!$A$2:$A$200,0),B432),""))</f>
        <v/>
      </c>
      <c r="E432">
        <f>IF(OR(C432="",B432=""),"",IFERROR(INDEX(Key!$C$2:$C$263,MATCH(C432*100+B432,Key!$G$2:$G$263,0)),""))</f>
        <v/>
      </c>
      <c r="F432">
        <f>IF(OR(C432="",B432=""),"",IFERROR(INDEX(Key!$E$2:$E$263,MATCH(C432*100+B432,Key!$G$2:$G$263,0)),""))</f>
        <v/>
      </c>
      <c r="G432" s="6" t="n"/>
      <c r="H432">
        <f>IF(OR(C432="",B432=""),"",IFERROR(INDEX(Papers!$K$2:$P$12,MATCH(C432,Papers!$A$2:$A$12,0),INDEX(Key!$D$2:$D$263,MATCH(C432*100+B432,Key!$G$2:$G$263,0))),""))</f>
        <v/>
      </c>
      <c r="I432" s="6" t="n"/>
      <c r="J432" s="6" t="n"/>
    </row>
    <row r="433">
      <c r="A433" s="6" t="n"/>
      <c r="B433" s="6" t="n"/>
      <c r="C433">
        <f>IF(A433="","",IFERROR(INDEX(Attempts!$D$2:$D$200,MATCH(A433,Attempts!$A$2:$A$200,0)),"?"))</f>
        <v/>
      </c>
      <c r="D433">
        <f>IF(OR(A433="",B433=""),"",IFERROR(INDEX(Attempts!$M$2:$AP$200,MATCH(A433,Attempts!$A$2:$A$200,0),B433),""))</f>
        <v/>
      </c>
      <c r="E433">
        <f>IF(OR(C433="",B433=""),"",IFERROR(INDEX(Key!$C$2:$C$263,MATCH(C433*100+B433,Key!$G$2:$G$263,0)),""))</f>
        <v/>
      </c>
      <c r="F433">
        <f>IF(OR(C433="",B433=""),"",IFERROR(INDEX(Key!$E$2:$E$263,MATCH(C433*100+B433,Key!$G$2:$G$263,0)),""))</f>
        <v/>
      </c>
      <c r="G433" s="6" t="n"/>
      <c r="H433">
        <f>IF(OR(C433="",B433=""),"",IFERROR(INDEX(Papers!$K$2:$P$12,MATCH(C433,Papers!$A$2:$A$12,0),INDEX(Key!$D$2:$D$263,MATCH(C433*100+B433,Key!$G$2:$G$263,0))),""))</f>
        <v/>
      </c>
      <c r="I433" s="6" t="n"/>
      <c r="J433" s="6" t="n"/>
    </row>
    <row r="434">
      <c r="A434" s="6" t="n"/>
      <c r="B434" s="6" t="n"/>
      <c r="C434">
        <f>IF(A434="","",IFERROR(INDEX(Attempts!$D$2:$D$200,MATCH(A434,Attempts!$A$2:$A$200,0)),"?"))</f>
        <v/>
      </c>
      <c r="D434">
        <f>IF(OR(A434="",B434=""),"",IFERROR(INDEX(Attempts!$M$2:$AP$200,MATCH(A434,Attempts!$A$2:$A$200,0),B434),""))</f>
        <v/>
      </c>
      <c r="E434">
        <f>IF(OR(C434="",B434=""),"",IFERROR(INDEX(Key!$C$2:$C$263,MATCH(C434*100+B434,Key!$G$2:$G$263,0)),""))</f>
        <v/>
      </c>
      <c r="F434">
        <f>IF(OR(C434="",B434=""),"",IFERROR(INDEX(Key!$E$2:$E$263,MATCH(C434*100+B434,Key!$G$2:$G$263,0)),""))</f>
        <v/>
      </c>
      <c r="G434" s="6" t="n"/>
      <c r="H434">
        <f>IF(OR(C434="",B434=""),"",IFERROR(INDEX(Papers!$K$2:$P$12,MATCH(C434,Papers!$A$2:$A$12,0),INDEX(Key!$D$2:$D$263,MATCH(C434*100+B434,Key!$G$2:$G$263,0))),""))</f>
        <v/>
      </c>
      <c r="I434" s="6" t="n"/>
      <c r="J434" s="6" t="n"/>
    </row>
    <row r="435">
      <c r="A435" s="6" t="n"/>
      <c r="B435" s="6" t="n"/>
      <c r="C435">
        <f>IF(A435="","",IFERROR(INDEX(Attempts!$D$2:$D$200,MATCH(A435,Attempts!$A$2:$A$200,0)),"?"))</f>
        <v/>
      </c>
      <c r="D435">
        <f>IF(OR(A435="",B435=""),"",IFERROR(INDEX(Attempts!$M$2:$AP$200,MATCH(A435,Attempts!$A$2:$A$200,0),B435),""))</f>
        <v/>
      </c>
      <c r="E435">
        <f>IF(OR(C435="",B435=""),"",IFERROR(INDEX(Key!$C$2:$C$263,MATCH(C435*100+B435,Key!$G$2:$G$263,0)),""))</f>
        <v/>
      </c>
      <c r="F435">
        <f>IF(OR(C435="",B435=""),"",IFERROR(INDEX(Key!$E$2:$E$263,MATCH(C435*100+B435,Key!$G$2:$G$263,0)),""))</f>
        <v/>
      </c>
      <c r="G435" s="6" t="n"/>
      <c r="H435">
        <f>IF(OR(C435="",B435=""),"",IFERROR(INDEX(Papers!$K$2:$P$12,MATCH(C435,Papers!$A$2:$A$12,0),INDEX(Key!$D$2:$D$263,MATCH(C435*100+B435,Key!$G$2:$G$263,0))),""))</f>
        <v/>
      </c>
      <c r="I435" s="6" t="n"/>
      <c r="J435" s="6" t="n"/>
    </row>
    <row r="436">
      <c r="A436" s="6" t="n"/>
      <c r="B436" s="6" t="n"/>
      <c r="C436">
        <f>IF(A436="","",IFERROR(INDEX(Attempts!$D$2:$D$200,MATCH(A436,Attempts!$A$2:$A$200,0)),"?"))</f>
        <v/>
      </c>
      <c r="D436">
        <f>IF(OR(A436="",B436=""),"",IFERROR(INDEX(Attempts!$M$2:$AP$200,MATCH(A436,Attempts!$A$2:$A$200,0),B436),""))</f>
        <v/>
      </c>
      <c r="E436">
        <f>IF(OR(C436="",B436=""),"",IFERROR(INDEX(Key!$C$2:$C$263,MATCH(C436*100+B436,Key!$G$2:$G$263,0)),""))</f>
        <v/>
      </c>
      <c r="F436">
        <f>IF(OR(C436="",B436=""),"",IFERROR(INDEX(Key!$E$2:$E$263,MATCH(C436*100+B436,Key!$G$2:$G$263,0)),""))</f>
        <v/>
      </c>
      <c r="G436" s="6" t="n"/>
      <c r="H436">
        <f>IF(OR(C436="",B436=""),"",IFERROR(INDEX(Papers!$K$2:$P$12,MATCH(C436,Papers!$A$2:$A$12,0),INDEX(Key!$D$2:$D$263,MATCH(C436*100+B436,Key!$G$2:$G$263,0))),""))</f>
        <v/>
      </c>
      <c r="I436" s="6" t="n"/>
      <c r="J436" s="6" t="n"/>
    </row>
    <row r="437">
      <c r="A437" s="6" t="n"/>
      <c r="B437" s="6" t="n"/>
      <c r="C437">
        <f>IF(A437="","",IFERROR(INDEX(Attempts!$D$2:$D$200,MATCH(A437,Attempts!$A$2:$A$200,0)),"?"))</f>
        <v/>
      </c>
      <c r="D437">
        <f>IF(OR(A437="",B437=""),"",IFERROR(INDEX(Attempts!$M$2:$AP$200,MATCH(A437,Attempts!$A$2:$A$200,0),B437),""))</f>
        <v/>
      </c>
      <c r="E437">
        <f>IF(OR(C437="",B437=""),"",IFERROR(INDEX(Key!$C$2:$C$263,MATCH(C437*100+B437,Key!$G$2:$G$263,0)),""))</f>
        <v/>
      </c>
      <c r="F437">
        <f>IF(OR(C437="",B437=""),"",IFERROR(INDEX(Key!$E$2:$E$263,MATCH(C437*100+B437,Key!$G$2:$G$263,0)),""))</f>
        <v/>
      </c>
      <c r="G437" s="6" t="n"/>
      <c r="H437">
        <f>IF(OR(C437="",B437=""),"",IFERROR(INDEX(Papers!$K$2:$P$12,MATCH(C437,Papers!$A$2:$A$12,0),INDEX(Key!$D$2:$D$263,MATCH(C437*100+B437,Key!$G$2:$G$263,0))),""))</f>
        <v/>
      </c>
      <c r="I437" s="6" t="n"/>
      <c r="J437" s="6" t="n"/>
    </row>
    <row r="438">
      <c r="A438" s="6" t="n"/>
      <c r="B438" s="6" t="n"/>
      <c r="C438">
        <f>IF(A438="","",IFERROR(INDEX(Attempts!$D$2:$D$200,MATCH(A438,Attempts!$A$2:$A$200,0)),"?"))</f>
        <v/>
      </c>
      <c r="D438">
        <f>IF(OR(A438="",B438=""),"",IFERROR(INDEX(Attempts!$M$2:$AP$200,MATCH(A438,Attempts!$A$2:$A$200,0),B438),""))</f>
        <v/>
      </c>
      <c r="E438">
        <f>IF(OR(C438="",B438=""),"",IFERROR(INDEX(Key!$C$2:$C$263,MATCH(C438*100+B438,Key!$G$2:$G$263,0)),""))</f>
        <v/>
      </c>
      <c r="F438">
        <f>IF(OR(C438="",B438=""),"",IFERROR(INDEX(Key!$E$2:$E$263,MATCH(C438*100+B438,Key!$G$2:$G$263,0)),""))</f>
        <v/>
      </c>
      <c r="G438" s="6" t="n"/>
      <c r="H438">
        <f>IF(OR(C438="",B438=""),"",IFERROR(INDEX(Papers!$K$2:$P$12,MATCH(C438,Papers!$A$2:$A$12,0),INDEX(Key!$D$2:$D$263,MATCH(C438*100+B438,Key!$G$2:$G$263,0))),""))</f>
        <v/>
      </c>
      <c r="I438" s="6" t="n"/>
      <c r="J438" s="6" t="n"/>
    </row>
    <row r="439">
      <c r="A439" s="6" t="n"/>
      <c r="B439" s="6" t="n"/>
      <c r="C439">
        <f>IF(A439="","",IFERROR(INDEX(Attempts!$D$2:$D$200,MATCH(A439,Attempts!$A$2:$A$200,0)),"?"))</f>
        <v/>
      </c>
      <c r="D439">
        <f>IF(OR(A439="",B439=""),"",IFERROR(INDEX(Attempts!$M$2:$AP$200,MATCH(A439,Attempts!$A$2:$A$200,0),B439),""))</f>
        <v/>
      </c>
      <c r="E439">
        <f>IF(OR(C439="",B439=""),"",IFERROR(INDEX(Key!$C$2:$C$263,MATCH(C439*100+B439,Key!$G$2:$G$263,0)),""))</f>
        <v/>
      </c>
      <c r="F439">
        <f>IF(OR(C439="",B439=""),"",IFERROR(INDEX(Key!$E$2:$E$263,MATCH(C439*100+B439,Key!$G$2:$G$263,0)),""))</f>
        <v/>
      </c>
      <c r="G439" s="6" t="n"/>
      <c r="H439">
        <f>IF(OR(C439="",B439=""),"",IFERROR(INDEX(Papers!$K$2:$P$12,MATCH(C439,Papers!$A$2:$A$12,0),INDEX(Key!$D$2:$D$263,MATCH(C439*100+B439,Key!$G$2:$G$263,0))),""))</f>
        <v/>
      </c>
      <c r="I439" s="6" t="n"/>
      <c r="J439" s="6" t="n"/>
    </row>
    <row r="440">
      <c r="A440" s="6" t="n"/>
      <c r="B440" s="6" t="n"/>
      <c r="C440">
        <f>IF(A440="","",IFERROR(INDEX(Attempts!$D$2:$D$200,MATCH(A440,Attempts!$A$2:$A$200,0)),"?"))</f>
        <v/>
      </c>
      <c r="D440">
        <f>IF(OR(A440="",B440=""),"",IFERROR(INDEX(Attempts!$M$2:$AP$200,MATCH(A440,Attempts!$A$2:$A$200,0),B440),""))</f>
        <v/>
      </c>
      <c r="E440">
        <f>IF(OR(C440="",B440=""),"",IFERROR(INDEX(Key!$C$2:$C$263,MATCH(C440*100+B440,Key!$G$2:$G$263,0)),""))</f>
        <v/>
      </c>
      <c r="F440">
        <f>IF(OR(C440="",B440=""),"",IFERROR(INDEX(Key!$E$2:$E$263,MATCH(C440*100+B440,Key!$G$2:$G$263,0)),""))</f>
        <v/>
      </c>
      <c r="G440" s="6" t="n"/>
      <c r="H440">
        <f>IF(OR(C440="",B440=""),"",IFERROR(INDEX(Papers!$K$2:$P$12,MATCH(C440,Papers!$A$2:$A$12,0),INDEX(Key!$D$2:$D$263,MATCH(C440*100+B440,Key!$G$2:$G$263,0))),""))</f>
        <v/>
      </c>
      <c r="I440" s="6" t="n"/>
      <c r="J440" s="6" t="n"/>
    </row>
    <row r="441">
      <c r="A441" s="6" t="n"/>
      <c r="B441" s="6" t="n"/>
      <c r="C441">
        <f>IF(A441="","",IFERROR(INDEX(Attempts!$D$2:$D$200,MATCH(A441,Attempts!$A$2:$A$200,0)),"?"))</f>
        <v/>
      </c>
      <c r="D441">
        <f>IF(OR(A441="",B441=""),"",IFERROR(INDEX(Attempts!$M$2:$AP$200,MATCH(A441,Attempts!$A$2:$A$200,0),B441),""))</f>
        <v/>
      </c>
      <c r="E441">
        <f>IF(OR(C441="",B441=""),"",IFERROR(INDEX(Key!$C$2:$C$263,MATCH(C441*100+B441,Key!$G$2:$G$263,0)),""))</f>
        <v/>
      </c>
      <c r="F441">
        <f>IF(OR(C441="",B441=""),"",IFERROR(INDEX(Key!$E$2:$E$263,MATCH(C441*100+B441,Key!$G$2:$G$263,0)),""))</f>
        <v/>
      </c>
      <c r="G441" s="6" t="n"/>
      <c r="H441">
        <f>IF(OR(C441="",B441=""),"",IFERROR(INDEX(Papers!$K$2:$P$12,MATCH(C441,Papers!$A$2:$A$12,0),INDEX(Key!$D$2:$D$263,MATCH(C441*100+B441,Key!$G$2:$G$263,0))),""))</f>
        <v/>
      </c>
      <c r="I441" s="6" t="n"/>
      <c r="J441" s="6" t="n"/>
    </row>
    <row r="442">
      <c r="A442" s="6" t="n"/>
      <c r="B442" s="6" t="n"/>
      <c r="C442">
        <f>IF(A442="","",IFERROR(INDEX(Attempts!$D$2:$D$200,MATCH(A442,Attempts!$A$2:$A$200,0)),"?"))</f>
        <v/>
      </c>
      <c r="D442">
        <f>IF(OR(A442="",B442=""),"",IFERROR(INDEX(Attempts!$M$2:$AP$200,MATCH(A442,Attempts!$A$2:$A$200,0),B442),""))</f>
        <v/>
      </c>
      <c r="E442">
        <f>IF(OR(C442="",B442=""),"",IFERROR(INDEX(Key!$C$2:$C$263,MATCH(C442*100+B442,Key!$G$2:$G$263,0)),""))</f>
        <v/>
      </c>
      <c r="F442">
        <f>IF(OR(C442="",B442=""),"",IFERROR(INDEX(Key!$E$2:$E$263,MATCH(C442*100+B442,Key!$G$2:$G$263,0)),""))</f>
        <v/>
      </c>
      <c r="G442" s="6" t="n"/>
      <c r="H442">
        <f>IF(OR(C442="",B442=""),"",IFERROR(INDEX(Papers!$K$2:$P$12,MATCH(C442,Papers!$A$2:$A$12,0),INDEX(Key!$D$2:$D$263,MATCH(C442*100+B442,Key!$G$2:$G$263,0))),""))</f>
        <v/>
      </c>
      <c r="I442" s="6" t="n"/>
      <c r="J442" s="6" t="n"/>
    </row>
    <row r="443">
      <c r="A443" s="6" t="n"/>
      <c r="B443" s="6" t="n"/>
      <c r="C443">
        <f>IF(A443="","",IFERROR(INDEX(Attempts!$D$2:$D$200,MATCH(A443,Attempts!$A$2:$A$200,0)),"?"))</f>
        <v/>
      </c>
      <c r="D443">
        <f>IF(OR(A443="",B443=""),"",IFERROR(INDEX(Attempts!$M$2:$AP$200,MATCH(A443,Attempts!$A$2:$A$200,0),B443),""))</f>
        <v/>
      </c>
      <c r="E443">
        <f>IF(OR(C443="",B443=""),"",IFERROR(INDEX(Key!$C$2:$C$263,MATCH(C443*100+B443,Key!$G$2:$G$263,0)),""))</f>
        <v/>
      </c>
      <c r="F443">
        <f>IF(OR(C443="",B443=""),"",IFERROR(INDEX(Key!$E$2:$E$263,MATCH(C443*100+B443,Key!$G$2:$G$263,0)),""))</f>
        <v/>
      </c>
      <c r="G443" s="6" t="n"/>
      <c r="H443">
        <f>IF(OR(C443="",B443=""),"",IFERROR(INDEX(Papers!$K$2:$P$12,MATCH(C443,Papers!$A$2:$A$12,0),INDEX(Key!$D$2:$D$263,MATCH(C443*100+B443,Key!$G$2:$G$263,0))),""))</f>
        <v/>
      </c>
      <c r="I443" s="6" t="n"/>
      <c r="J443" s="6" t="n"/>
    </row>
    <row r="444">
      <c r="A444" s="6" t="n"/>
      <c r="B444" s="6" t="n"/>
      <c r="C444">
        <f>IF(A444="","",IFERROR(INDEX(Attempts!$D$2:$D$200,MATCH(A444,Attempts!$A$2:$A$200,0)),"?"))</f>
        <v/>
      </c>
      <c r="D444">
        <f>IF(OR(A444="",B444=""),"",IFERROR(INDEX(Attempts!$M$2:$AP$200,MATCH(A444,Attempts!$A$2:$A$200,0),B444),""))</f>
        <v/>
      </c>
      <c r="E444">
        <f>IF(OR(C444="",B444=""),"",IFERROR(INDEX(Key!$C$2:$C$263,MATCH(C444*100+B444,Key!$G$2:$G$263,0)),""))</f>
        <v/>
      </c>
      <c r="F444">
        <f>IF(OR(C444="",B444=""),"",IFERROR(INDEX(Key!$E$2:$E$263,MATCH(C444*100+B444,Key!$G$2:$G$263,0)),""))</f>
        <v/>
      </c>
      <c r="G444" s="6" t="n"/>
      <c r="H444">
        <f>IF(OR(C444="",B444=""),"",IFERROR(INDEX(Papers!$K$2:$P$12,MATCH(C444,Papers!$A$2:$A$12,0),INDEX(Key!$D$2:$D$263,MATCH(C444*100+B444,Key!$G$2:$G$263,0))),""))</f>
        <v/>
      </c>
      <c r="I444" s="6" t="n"/>
      <c r="J444" s="6" t="n"/>
    </row>
    <row r="445">
      <c r="A445" s="6" t="n"/>
      <c r="B445" s="6" t="n"/>
      <c r="C445">
        <f>IF(A445="","",IFERROR(INDEX(Attempts!$D$2:$D$200,MATCH(A445,Attempts!$A$2:$A$200,0)),"?"))</f>
        <v/>
      </c>
      <c r="D445">
        <f>IF(OR(A445="",B445=""),"",IFERROR(INDEX(Attempts!$M$2:$AP$200,MATCH(A445,Attempts!$A$2:$A$200,0),B445),""))</f>
        <v/>
      </c>
      <c r="E445">
        <f>IF(OR(C445="",B445=""),"",IFERROR(INDEX(Key!$C$2:$C$263,MATCH(C445*100+B445,Key!$G$2:$G$263,0)),""))</f>
        <v/>
      </c>
      <c r="F445">
        <f>IF(OR(C445="",B445=""),"",IFERROR(INDEX(Key!$E$2:$E$263,MATCH(C445*100+B445,Key!$G$2:$G$263,0)),""))</f>
        <v/>
      </c>
      <c r="G445" s="6" t="n"/>
      <c r="H445">
        <f>IF(OR(C445="",B445=""),"",IFERROR(INDEX(Papers!$K$2:$P$12,MATCH(C445,Papers!$A$2:$A$12,0),INDEX(Key!$D$2:$D$263,MATCH(C445*100+B445,Key!$G$2:$G$263,0))),""))</f>
        <v/>
      </c>
      <c r="I445" s="6" t="n"/>
      <c r="J445" s="6" t="n"/>
    </row>
    <row r="446">
      <c r="A446" s="6" t="n"/>
      <c r="B446" s="6" t="n"/>
      <c r="C446">
        <f>IF(A446="","",IFERROR(INDEX(Attempts!$D$2:$D$200,MATCH(A446,Attempts!$A$2:$A$200,0)),"?"))</f>
        <v/>
      </c>
      <c r="D446">
        <f>IF(OR(A446="",B446=""),"",IFERROR(INDEX(Attempts!$M$2:$AP$200,MATCH(A446,Attempts!$A$2:$A$200,0),B446),""))</f>
        <v/>
      </c>
      <c r="E446">
        <f>IF(OR(C446="",B446=""),"",IFERROR(INDEX(Key!$C$2:$C$263,MATCH(C446*100+B446,Key!$G$2:$G$263,0)),""))</f>
        <v/>
      </c>
      <c r="F446">
        <f>IF(OR(C446="",B446=""),"",IFERROR(INDEX(Key!$E$2:$E$263,MATCH(C446*100+B446,Key!$G$2:$G$263,0)),""))</f>
        <v/>
      </c>
      <c r="G446" s="6" t="n"/>
      <c r="H446">
        <f>IF(OR(C446="",B446=""),"",IFERROR(INDEX(Papers!$K$2:$P$12,MATCH(C446,Papers!$A$2:$A$12,0),INDEX(Key!$D$2:$D$263,MATCH(C446*100+B446,Key!$G$2:$G$263,0))),""))</f>
        <v/>
      </c>
      <c r="I446" s="6" t="n"/>
      <c r="J446" s="6" t="n"/>
    </row>
    <row r="447">
      <c r="A447" s="6" t="n"/>
      <c r="B447" s="6" t="n"/>
      <c r="C447">
        <f>IF(A447="","",IFERROR(INDEX(Attempts!$D$2:$D$200,MATCH(A447,Attempts!$A$2:$A$200,0)),"?"))</f>
        <v/>
      </c>
      <c r="D447">
        <f>IF(OR(A447="",B447=""),"",IFERROR(INDEX(Attempts!$M$2:$AP$200,MATCH(A447,Attempts!$A$2:$A$200,0),B447),""))</f>
        <v/>
      </c>
      <c r="E447">
        <f>IF(OR(C447="",B447=""),"",IFERROR(INDEX(Key!$C$2:$C$263,MATCH(C447*100+B447,Key!$G$2:$G$263,0)),""))</f>
        <v/>
      </c>
      <c r="F447">
        <f>IF(OR(C447="",B447=""),"",IFERROR(INDEX(Key!$E$2:$E$263,MATCH(C447*100+B447,Key!$G$2:$G$263,0)),""))</f>
        <v/>
      </c>
      <c r="G447" s="6" t="n"/>
      <c r="H447">
        <f>IF(OR(C447="",B447=""),"",IFERROR(INDEX(Papers!$K$2:$P$12,MATCH(C447,Papers!$A$2:$A$12,0),INDEX(Key!$D$2:$D$263,MATCH(C447*100+B447,Key!$G$2:$G$263,0))),""))</f>
        <v/>
      </c>
      <c r="I447" s="6" t="n"/>
      <c r="J447" s="6" t="n"/>
    </row>
    <row r="448">
      <c r="A448" s="6" t="n"/>
      <c r="B448" s="6" t="n"/>
      <c r="C448">
        <f>IF(A448="","",IFERROR(INDEX(Attempts!$D$2:$D$200,MATCH(A448,Attempts!$A$2:$A$200,0)),"?"))</f>
        <v/>
      </c>
      <c r="D448">
        <f>IF(OR(A448="",B448=""),"",IFERROR(INDEX(Attempts!$M$2:$AP$200,MATCH(A448,Attempts!$A$2:$A$200,0),B448),""))</f>
        <v/>
      </c>
      <c r="E448">
        <f>IF(OR(C448="",B448=""),"",IFERROR(INDEX(Key!$C$2:$C$263,MATCH(C448*100+B448,Key!$G$2:$G$263,0)),""))</f>
        <v/>
      </c>
      <c r="F448">
        <f>IF(OR(C448="",B448=""),"",IFERROR(INDEX(Key!$E$2:$E$263,MATCH(C448*100+B448,Key!$G$2:$G$263,0)),""))</f>
        <v/>
      </c>
      <c r="G448" s="6" t="n"/>
      <c r="H448">
        <f>IF(OR(C448="",B448=""),"",IFERROR(INDEX(Papers!$K$2:$P$12,MATCH(C448,Papers!$A$2:$A$12,0),INDEX(Key!$D$2:$D$263,MATCH(C448*100+B448,Key!$G$2:$G$263,0))),""))</f>
        <v/>
      </c>
      <c r="I448" s="6" t="n"/>
      <c r="J448" s="6" t="n"/>
    </row>
    <row r="449">
      <c r="A449" s="6" t="n"/>
      <c r="B449" s="6" t="n"/>
      <c r="C449">
        <f>IF(A449="","",IFERROR(INDEX(Attempts!$D$2:$D$200,MATCH(A449,Attempts!$A$2:$A$200,0)),"?"))</f>
        <v/>
      </c>
      <c r="D449">
        <f>IF(OR(A449="",B449=""),"",IFERROR(INDEX(Attempts!$M$2:$AP$200,MATCH(A449,Attempts!$A$2:$A$200,0),B449),""))</f>
        <v/>
      </c>
      <c r="E449">
        <f>IF(OR(C449="",B449=""),"",IFERROR(INDEX(Key!$C$2:$C$263,MATCH(C449*100+B449,Key!$G$2:$G$263,0)),""))</f>
        <v/>
      </c>
      <c r="F449">
        <f>IF(OR(C449="",B449=""),"",IFERROR(INDEX(Key!$E$2:$E$263,MATCH(C449*100+B449,Key!$G$2:$G$263,0)),""))</f>
        <v/>
      </c>
      <c r="G449" s="6" t="n"/>
      <c r="H449">
        <f>IF(OR(C449="",B449=""),"",IFERROR(INDEX(Papers!$K$2:$P$12,MATCH(C449,Papers!$A$2:$A$12,0),INDEX(Key!$D$2:$D$263,MATCH(C449*100+B449,Key!$G$2:$G$263,0))),""))</f>
        <v/>
      </c>
      <c r="I449" s="6" t="n"/>
      <c r="J449" s="6" t="n"/>
    </row>
    <row r="450">
      <c r="A450" s="6" t="n"/>
      <c r="B450" s="6" t="n"/>
      <c r="C450">
        <f>IF(A450="","",IFERROR(INDEX(Attempts!$D$2:$D$200,MATCH(A450,Attempts!$A$2:$A$200,0)),"?"))</f>
        <v/>
      </c>
      <c r="D450">
        <f>IF(OR(A450="",B450=""),"",IFERROR(INDEX(Attempts!$M$2:$AP$200,MATCH(A450,Attempts!$A$2:$A$200,0),B450),""))</f>
        <v/>
      </c>
      <c r="E450">
        <f>IF(OR(C450="",B450=""),"",IFERROR(INDEX(Key!$C$2:$C$263,MATCH(C450*100+B450,Key!$G$2:$G$263,0)),""))</f>
        <v/>
      </c>
      <c r="F450">
        <f>IF(OR(C450="",B450=""),"",IFERROR(INDEX(Key!$E$2:$E$263,MATCH(C450*100+B450,Key!$G$2:$G$263,0)),""))</f>
        <v/>
      </c>
      <c r="G450" s="6" t="n"/>
      <c r="H450">
        <f>IF(OR(C450="",B450=""),"",IFERROR(INDEX(Papers!$K$2:$P$12,MATCH(C450,Papers!$A$2:$A$12,0),INDEX(Key!$D$2:$D$263,MATCH(C450*100+B450,Key!$G$2:$G$263,0))),""))</f>
        <v/>
      </c>
      <c r="I450" s="6" t="n"/>
      <c r="J450" s="6" t="n"/>
    </row>
    <row r="451">
      <c r="A451" s="6" t="n"/>
      <c r="B451" s="6" t="n"/>
      <c r="C451">
        <f>IF(A451="","",IFERROR(INDEX(Attempts!$D$2:$D$200,MATCH(A451,Attempts!$A$2:$A$200,0)),"?"))</f>
        <v/>
      </c>
      <c r="D451">
        <f>IF(OR(A451="",B451=""),"",IFERROR(INDEX(Attempts!$M$2:$AP$200,MATCH(A451,Attempts!$A$2:$A$200,0),B451),""))</f>
        <v/>
      </c>
      <c r="E451">
        <f>IF(OR(C451="",B451=""),"",IFERROR(INDEX(Key!$C$2:$C$263,MATCH(C451*100+B451,Key!$G$2:$G$263,0)),""))</f>
        <v/>
      </c>
      <c r="F451">
        <f>IF(OR(C451="",B451=""),"",IFERROR(INDEX(Key!$E$2:$E$263,MATCH(C451*100+B451,Key!$G$2:$G$263,0)),""))</f>
        <v/>
      </c>
      <c r="G451" s="6" t="n"/>
      <c r="H451">
        <f>IF(OR(C451="",B451=""),"",IFERROR(INDEX(Papers!$K$2:$P$12,MATCH(C451,Papers!$A$2:$A$12,0),INDEX(Key!$D$2:$D$263,MATCH(C451*100+B451,Key!$G$2:$G$263,0))),""))</f>
        <v/>
      </c>
      <c r="I451" s="6" t="n"/>
      <c r="J451" s="6" t="n"/>
    </row>
    <row r="452">
      <c r="A452" s="6" t="n"/>
      <c r="B452" s="6" t="n"/>
      <c r="C452">
        <f>IF(A452="","",IFERROR(INDEX(Attempts!$D$2:$D$200,MATCH(A452,Attempts!$A$2:$A$200,0)),"?"))</f>
        <v/>
      </c>
      <c r="D452">
        <f>IF(OR(A452="",B452=""),"",IFERROR(INDEX(Attempts!$M$2:$AP$200,MATCH(A452,Attempts!$A$2:$A$200,0),B452),""))</f>
        <v/>
      </c>
      <c r="E452">
        <f>IF(OR(C452="",B452=""),"",IFERROR(INDEX(Key!$C$2:$C$263,MATCH(C452*100+B452,Key!$G$2:$G$263,0)),""))</f>
        <v/>
      </c>
      <c r="F452">
        <f>IF(OR(C452="",B452=""),"",IFERROR(INDEX(Key!$E$2:$E$263,MATCH(C452*100+B452,Key!$G$2:$G$263,0)),""))</f>
        <v/>
      </c>
      <c r="G452" s="6" t="n"/>
      <c r="H452">
        <f>IF(OR(C452="",B452=""),"",IFERROR(INDEX(Papers!$K$2:$P$12,MATCH(C452,Papers!$A$2:$A$12,0),INDEX(Key!$D$2:$D$263,MATCH(C452*100+B452,Key!$G$2:$G$263,0))),""))</f>
        <v/>
      </c>
      <c r="I452" s="6" t="n"/>
      <c r="J452" s="6" t="n"/>
    </row>
    <row r="453">
      <c r="A453" s="6" t="n"/>
      <c r="B453" s="6" t="n"/>
      <c r="C453">
        <f>IF(A453="","",IFERROR(INDEX(Attempts!$D$2:$D$200,MATCH(A453,Attempts!$A$2:$A$200,0)),"?"))</f>
        <v/>
      </c>
      <c r="D453">
        <f>IF(OR(A453="",B453=""),"",IFERROR(INDEX(Attempts!$M$2:$AP$200,MATCH(A453,Attempts!$A$2:$A$200,0),B453),""))</f>
        <v/>
      </c>
      <c r="E453">
        <f>IF(OR(C453="",B453=""),"",IFERROR(INDEX(Key!$C$2:$C$263,MATCH(C453*100+B453,Key!$G$2:$G$263,0)),""))</f>
        <v/>
      </c>
      <c r="F453">
        <f>IF(OR(C453="",B453=""),"",IFERROR(INDEX(Key!$E$2:$E$263,MATCH(C453*100+B453,Key!$G$2:$G$263,0)),""))</f>
        <v/>
      </c>
      <c r="G453" s="6" t="n"/>
      <c r="H453">
        <f>IF(OR(C453="",B453=""),"",IFERROR(INDEX(Papers!$K$2:$P$12,MATCH(C453,Papers!$A$2:$A$12,0),INDEX(Key!$D$2:$D$263,MATCH(C453*100+B453,Key!$G$2:$G$263,0))),""))</f>
        <v/>
      </c>
      <c r="I453" s="6" t="n"/>
      <c r="J453" s="6" t="n"/>
    </row>
    <row r="454">
      <c r="A454" s="6" t="n"/>
      <c r="B454" s="6" t="n"/>
      <c r="C454">
        <f>IF(A454="","",IFERROR(INDEX(Attempts!$D$2:$D$200,MATCH(A454,Attempts!$A$2:$A$200,0)),"?"))</f>
        <v/>
      </c>
      <c r="D454">
        <f>IF(OR(A454="",B454=""),"",IFERROR(INDEX(Attempts!$M$2:$AP$200,MATCH(A454,Attempts!$A$2:$A$200,0),B454),""))</f>
        <v/>
      </c>
      <c r="E454">
        <f>IF(OR(C454="",B454=""),"",IFERROR(INDEX(Key!$C$2:$C$263,MATCH(C454*100+B454,Key!$G$2:$G$263,0)),""))</f>
        <v/>
      </c>
      <c r="F454">
        <f>IF(OR(C454="",B454=""),"",IFERROR(INDEX(Key!$E$2:$E$263,MATCH(C454*100+B454,Key!$G$2:$G$263,0)),""))</f>
        <v/>
      </c>
      <c r="G454" s="6" t="n"/>
      <c r="H454">
        <f>IF(OR(C454="",B454=""),"",IFERROR(INDEX(Papers!$K$2:$P$12,MATCH(C454,Papers!$A$2:$A$12,0),INDEX(Key!$D$2:$D$263,MATCH(C454*100+B454,Key!$G$2:$G$263,0))),""))</f>
        <v/>
      </c>
      <c r="I454" s="6" t="n"/>
      <c r="J454" s="6" t="n"/>
    </row>
    <row r="455">
      <c r="A455" s="6" t="n"/>
      <c r="B455" s="6" t="n"/>
      <c r="C455">
        <f>IF(A455="","",IFERROR(INDEX(Attempts!$D$2:$D$200,MATCH(A455,Attempts!$A$2:$A$200,0)),"?"))</f>
        <v/>
      </c>
      <c r="D455">
        <f>IF(OR(A455="",B455=""),"",IFERROR(INDEX(Attempts!$M$2:$AP$200,MATCH(A455,Attempts!$A$2:$A$200,0),B455),""))</f>
        <v/>
      </c>
      <c r="E455">
        <f>IF(OR(C455="",B455=""),"",IFERROR(INDEX(Key!$C$2:$C$263,MATCH(C455*100+B455,Key!$G$2:$G$263,0)),""))</f>
        <v/>
      </c>
      <c r="F455">
        <f>IF(OR(C455="",B455=""),"",IFERROR(INDEX(Key!$E$2:$E$263,MATCH(C455*100+B455,Key!$G$2:$G$263,0)),""))</f>
        <v/>
      </c>
      <c r="G455" s="6" t="n"/>
      <c r="H455">
        <f>IF(OR(C455="",B455=""),"",IFERROR(INDEX(Papers!$K$2:$P$12,MATCH(C455,Papers!$A$2:$A$12,0),INDEX(Key!$D$2:$D$263,MATCH(C455*100+B455,Key!$G$2:$G$263,0))),""))</f>
        <v/>
      </c>
      <c r="I455" s="6" t="n"/>
      <c r="J455" s="6" t="n"/>
    </row>
    <row r="456">
      <c r="A456" s="6" t="n"/>
      <c r="B456" s="6" t="n"/>
      <c r="C456">
        <f>IF(A456="","",IFERROR(INDEX(Attempts!$D$2:$D$200,MATCH(A456,Attempts!$A$2:$A$200,0)),"?"))</f>
        <v/>
      </c>
      <c r="D456">
        <f>IF(OR(A456="",B456=""),"",IFERROR(INDEX(Attempts!$M$2:$AP$200,MATCH(A456,Attempts!$A$2:$A$200,0),B456),""))</f>
        <v/>
      </c>
      <c r="E456">
        <f>IF(OR(C456="",B456=""),"",IFERROR(INDEX(Key!$C$2:$C$263,MATCH(C456*100+B456,Key!$G$2:$G$263,0)),""))</f>
        <v/>
      </c>
      <c r="F456">
        <f>IF(OR(C456="",B456=""),"",IFERROR(INDEX(Key!$E$2:$E$263,MATCH(C456*100+B456,Key!$G$2:$G$263,0)),""))</f>
        <v/>
      </c>
      <c r="G456" s="6" t="n"/>
      <c r="H456">
        <f>IF(OR(C456="",B456=""),"",IFERROR(INDEX(Papers!$K$2:$P$12,MATCH(C456,Papers!$A$2:$A$12,0),INDEX(Key!$D$2:$D$263,MATCH(C456*100+B456,Key!$G$2:$G$263,0))),""))</f>
        <v/>
      </c>
      <c r="I456" s="6" t="n"/>
      <c r="J456" s="6" t="n"/>
    </row>
    <row r="457">
      <c r="A457" s="6" t="n"/>
      <c r="B457" s="6" t="n"/>
      <c r="C457">
        <f>IF(A457="","",IFERROR(INDEX(Attempts!$D$2:$D$200,MATCH(A457,Attempts!$A$2:$A$200,0)),"?"))</f>
        <v/>
      </c>
      <c r="D457">
        <f>IF(OR(A457="",B457=""),"",IFERROR(INDEX(Attempts!$M$2:$AP$200,MATCH(A457,Attempts!$A$2:$A$200,0),B457),""))</f>
        <v/>
      </c>
      <c r="E457">
        <f>IF(OR(C457="",B457=""),"",IFERROR(INDEX(Key!$C$2:$C$263,MATCH(C457*100+B457,Key!$G$2:$G$263,0)),""))</f>
        <v/>
      </c>
      <c r="F457">
        <f>IF(OR(C457="",B457=""),"",IFERROR(INDEX(Key!$E$2:$E$263,MATCH(C457*100+B457,Key!$G$2:$G$263,0)),""))</f>
        <v/>
      </c>
      <c r="G457" s="6" t="n"/>
      <c r="H457">
        <f>IF(OR(C457="",B457=""),"",IFERROR(INDEX(Papers!$K$2:$P$12,MATCH(C457,Papers!$A$2:$A$12,0),INDEX(Key!$D$2:$D$263,MATCH(C457*100+B457,Key!$G$2:$G$263,0))),""))</f>
        <v/>
      </c>
      <c r="I457" s="6" t="n"/>
      <c r="J457" s="6" t="n"/>
    </row>
    <row r="458">
      <c r="A458" s="6" t="n"/>
      <c r="B458" s="6" t="n"/>
      <c r="C458">
        <f>IF(A458="","",IFERROR(INDEX(Attempts!$D$2:$D$200,MATCH(A458,Attempts!$A$2:$A$200,0)),"?"))</f>
        <v/>
      </c>
      <c r="D458">
        <f>IF(OR(A458="",B458=""),"",IFERROR(INDEX(Attempts!$M$2:$AP$200,MATCH(A458,Attempts!$A$2:$A$200,0),B458),""))</f>
        <v/>
      </c>
      <c r="E458">
        <f>IF(OR(C458="",B458=""),"",IFERROR(INDEX(Key!$C$2:$C$263,MATCH(C458*100+B458,Key!$G$2:$G$263,0)),""))</f>
        <v/>
      </c>
      <c r="F458">
        <f>IF(OR(C458="",B458=""),"",IFERROR(INDEX(Key!$E$2:$E$263,MATCH(C458*100+B458,Key!$G$2:$G$263,0)),""))</f>
        <v/>
      </c>
      <c r="G458" s="6" t="n"/>
      <c r="H458">
        <f>IF(OR(C458="",B458=""),"",IFERROR(INDEX(Papers!$K$2:$P$12,MATCH(C458,Papers!$A$2:$A$12,0),INDEX(Key!$D$2:$D$263,MATCH(C458*100+B458,Key!$G$2:$G$263,0))),""))</f>
        <v/>
      </c>
      <c r="I458" s="6" t="n"/>
      <c r="J458" s="6" t="n"/>
    </row>
    <row r="459">
      <c r="A459" s="6" t="n"/>
      <c r="B459" s="6" t="n"/>
      <c r="C459">
        <f>IF(A459="","",IFERROR(INDEX(Attempts!$D$2:$D$200,MATCH(A459,Attempts!$A$2:$A$200,0)),"?"))</f>
        <v/>
      </c>
      <c r="D459">
        <f>IF(OR(A459="",B459=""),"",IFERROR(INDEX(Attempts!$M$2:$AP$200,MATCH(A459,Attempts!$A$2:$A$200,0),B459),""))</f>
        <v/>
      </c>
      <c r="E459">
        <f>IF(OR(C459="",B459=""),"",IFERROR(INDEX(Key!$C$2:$C$263,MATCH(C459*100+B459,Key!$G$2:$G$263,0)),""))</f>
        <v/>
      </c>
      <c r="F459">
        <f>IF(OR(C459="",B459=""),"",IFERROR(INDEX(Key!$E$2:$E$263,MATCH(C459*100+B459,Key!$G$2:$G$263,0)),""))</f>
        <v/>
      </c>
      <c r="G459" s="6" t="n"/>
      <c r="H459">
        <f>IF(OR(C459="",B459=""),"",IFERROR(INDEX(Papers!$K$2:$P$12,MATCH(C459,Papers!$A$2:$A$12,0),INDEX(Key!$D$2:$D$263,MATCH(C459*100+B459,Key!$G$2:$G$263,0))),""))</f>
        <v/>
      </c>
      <c r="I459" s="6" t="n"/>
      <c r="J459" s="6" t="n"/>
    </row>
    <row r="460">
      <c r="A460" s="6" t="n"/>
      <c r="B460" s="6" t="n"/>
      <c r="C460">
        <f>IF(A460="","",IFERROR(INDEX(Attempts!$D$2:$D$200,MATCH(A460,Attempts!$A$2:$A$200,0)),"?"))</f>
        <v/>
      </c>
      <c r="D460">
        <f>IF(OR(A460="",B460=""),"",IFERROR(INDEX(Attempts!$M$2:$AP$200,MATCH(A460,Attempts!$A$2:$A$200,0),B460),""))</f>
        <v/>
      </c>
      <c r="E460">
        <f>IF(OR(C460="",B460=""),"",IFERROR(INDEX(Key!$C$2:$C$263,MATCH(C460*100+B460,Key!$G$2:$G$263,0)),""))</f>
        <v/>
      </c>
      <c r="F460">
        <f>IF(OR(C460="",B460=""),"",IFERROR(INDEX(Key!$E$2:$E$263,MATCH(C460*100+B460,Key!$G$2:$G$263,0)),""))</f>
        <v/>
      </c>
      <c r="G460" s="6" t="n"/>
      <c r="H460">
        <f>IF(OR(C460="",B460=""),"",IFERROR(INDEX(Papers!$K$2:$P$12,MATCH(C460,Papers!$A$2:$A$12,0),INDEX(Key!$D$2:$D$263,MATCH(C460*100+B460,Key!$G$2:$G$263,0))),""))</f>
        <v/>
      </c>
      <c r="I460" s="6" t="n"/>
      <c r="J460" s="6" t="n"/>
    </row>
    <row r="461">
      <c r="A461" s="6" t="n"/>
      <c r="B461" s="6" t="n"/>
      <c r="C461">
        <f>IF(A461="","",IFERROR(INDEX(Attempts!$D$2:$D$200,MATCH(A461,Attempts!$A$2:$A$200,0)),"?"))</f>
        <v/>
      </c>
      <c r="D461">
        <f>IF(OR(A461="",B461=""),"",IFERROR(INDEX(Attempts!$M$2:$AP$200,MATCH(A461,Attempts!$A$2:$A$200,0),B461),""))</f>
        <v/>
      </c>
      <c r="E461">
        <f>IF(OR(C461="",B461=""),"",IFERROR(INDEX(Key!$C$2:$C$263,MATCH(C461*100+B461,Key!$G$2:$G$263,0)),""))</f>
        <v/>
      </c>
      <c r="F461">
        <f>IF(OR(C461="",B461=""),"",IFERROR(INDEX(Key!$E$2:$E$263,MATCH(C461*100+B461,Key!$G$2:$G$263,0)),""))</f>
        <v/>
      </c>
      <c r="G461" s="6" t="n"/>
      <c r="H461">
        <f>IF(OR(C461="",B461=""),"",IFERROR(INDEX(Papers!$K$2:$P$12,MATCH(C461,Papers!$A$2:$A$12,0),INDEX(Key!$D$2:$D$263,MATCH(C461*100+B461,Key!$G$2:$G$263,0))),""))</f>
        <v/>
      </c>
      <c r="I461" s="6" t="n"/>
      <c r="J461" s="6" t="n"/>
    </row>
    <row r="462">
      <c r="A462" s="6" t="n"/>
      <c r="B462" s="6" t="n"/>
      <c r="C462">
        <f>IF(A462="","",IFERROR(INDEX(Attempts!$D$2:$D$200,MATCH(A462,Attempts!$A$2:$A$200,0)),"?"))</f>
        <v/>
      </c>
      <c r="D462">
        <f>IF(OR(A462="",B462=""),"",IFERROR(INDEX(Attempts!$M$2:$AP$200,MATCH(A462,Attempts!$A$2:$A$200,0),B462),""))</f>
        <v/>
      </c>
      <c r="E462">
        <f>IF(OR(C462="",B462=""),"",IFERROR(INDEX(Key!$C$2:$C$263,MATCH(C462*100+B462,Key!$G$2:$G$263,0)),""))</f>
        <v/>
      </c>
      <c r="F462">
        <f>IF(OR(C462="",B462=""),"",IFERROR(INDEX(Key!$E$2:$E$263,MATCH(C462*100+B462,Key!$G$2:$G$263,0)),""))</f>
        <v/>
      </c>
      <c r="G462" s="6" t="n"/>
      <c r="H462">
        <f>IF(OR(C462="",B462=""),"",IFERROR(INDEX(Papers!$K$2:$P$12,MATCH(C462,Papers!$A$2:$A$12,0),INDEX(Key!$D$2:$D$263,MATCH(C462*100+B462,Key!$G$2:$G$263,0))),""))</f>
        <v/>
      </c>
      <c r="I462" s="6" t="n"/>
      <c r="J462" s="6" t="n"/>
    </row>
    <row r="463">
      <c r="A463" s="6" t="n"/>
      <c r="B463" s="6" t="n"/>
      <c r="C463">
        <f>IF(A463="","",IFERROR(INDEX(Attempts!$D$2:$D$200,MATCH(A463,Attempts!$A$2:$A$200,0)),"?"))</f>
        <v/>
      </c>
      <c r="D463">
        <f>IF(OR(A463="",B463=""),"",IFERROR(INDEX(Attempts!$M$2:$AP$200,MATCH(A463,Attempts!$A$2:$A$200,0),B463),""))</f>
        <v/>
      </c>
      <c r="E463">
        <f>IF(OR(C463="",B463=""),"",IFERROR(INDEX(Key!$C$2:$C$263,MATCH(C463*100+B463,Key!$G$2:$G$263,0)),""))</f>
        <v/>
      </c>
      <c r="F463">
        <f>IF(OR(C463="",B463=""),"",IFERROR(INDEX(Key!$E$2:$E$263,MATCH(C463*100+B463,Key!$G$2:$G$263,0)),""))</f>
        <v/>
      </c>
      <c r="G463" s="6" t="n"/>
      <c r="H463">
        <f>IF(OR(C463="",B463=""),"",IFERROR(INDEX(Papers!$K$2:$P$12,MATCH(C463,Papers!$A$2:$A$12,0),INDEX(Key!$D$2:$D$263,MATCH(C463*100+B463,Key!$G$2:$G$263,0))),""))</f>
        <v/>
      </c>
      <c r="I463" s="6" t="n"/>
      <c r="J463" s="6" t="n"/>
    </row>
    <row r="464">
      <c r="A464" s="6" t="n"/>
      <c r="B464" s="6" t="n"/>
      <c r="C464">
        <f>IF(A464="","",IFERROR(INDEX(Attempts!$D$2:$D$200,MATCH(A464,Attempts!$A$2:$A$200,0)),"?"))</f>
        <v/>
      </c>
      <c r="D464">
        <f>IF(OR(A464="",B464=""),"",IFERROR(INDEX(Attempts!$M$2:$AP$200,MATCH(A464,Attempts!$A$2:$A$200,0),B464),""))</f>
        <v/>
      </c>
      <c r="E464">
        <f>IF(OR(C464="",B464=""),"",IFERROR(INDEX(Key!$C$2:$C$263,MATCH(C464*100+B464,Key!$G$2:$G$263,0)),""))</f>
        <v/>
      </c>
      <c r="F464">
        <f>IF(OR(C464="",B464=""),"",IFERROR(INDEX(Key!$E$2:$E$263,MATCH(C464*100+B464,Key!$G$2:$G$263,0)),""))</f>
        <v/>
      </c>
      <c r="G464" s="6" t="n"/>
      <c r="H464">
        <f>IF(OR(C464="",B464=""),"",IFERROR(INDEX(Papers!$K$2:$P$12,MATCH(C464,Papers!$A$2:$A$12,0),INDEX(Key!$D$2:$D$263,MATCH(C464*100+B464,Key!$G$2:$G$263,0))),""))</f>
        <v/>
      </c>
      <c r="I464" s="6" t="n"/>
      <c r="J464" s="6" t="n"/>
    </row>
    <row r="465">
      <c r="A465" s="6" t="n"/>
      <c r="B465" s="6" t="n"/>
      <c r="C465">
        <f>IF(A465="","",IFERROR(INDEX(Attempts!$D$2:$D$200,MATCH(A465,Attempts!$A$2:$A$200,0)),"?"))</f>
        <v/>
      </c>
      <c r="D465">
        <f>IF(OR(A465="",B465=""),"",IFERROR(INDEX(Attempts!$M$2:$AP$200,MATCH(A465,Attempts!$A$2:$A$200,0),B465),""))</f>
        <v/>
      </c>
      <c r="E465">
        <f>IF(OR(C465="",B465=""),"",IFERROR(INDEX(Key!$C$2:$C$263,MATCH(C465*100+B465,Key!$G$2:$G$263,0)),""))</f>
        <v/>
      </c>
      <c r="F465">
        <f>IF(OR(C465="",B465=""),"",IFERROR(INDEX(Key!$E$2:$E$263,MATCH(C465*100+B465,Key!$G$2:$G$263,0)),""))</f>
        <v/>
      </c>
      <c r="G465" s="6" t="n"/>
      <c r="H465">
        <f>IF(OR(C465="",B465=""),"",IFERROR(INDEX(Papers!$K$2:$P$12,MATCH(C465,Papers!$A$2:$A$12,0),INDEX(Key!$D$2:$D$263,MATCH(C465*100+B465,Key!$G$2:$G$263,0))),""))</f>
        <v/>
      </c>
      <c r="I465" s="6" t="n"/>
      <c r="J465" s="6" t="n"/>
    </row>
    <row r="466">
      <c r="A466" s="6" t="n"/>
      <c r="B466" s="6" t="n"/>
      <c r="C466">
        <f>IF(A466="","",IFERROR(INDEX(Attempts!$D$2:$D$200,MATCH(A466,Attempts!$A$2:$A$200,0)),"?"))</f>
        <v/>
      </c>
      <c r="D466">
        <f>IF(OR(A466="",B466=""),"",IFERROR(INDEX(Attempts!$M$2:$AP$200,MATCH(A466,Attempts!$A$2:$A$200,0),B466),""))</f>
        <v/>
      </c>
      <c r="E466">
        <f>IF(OR(C466="",B466=""),"",IFERROR(INDEX(Key!$C$2:$C$263,MATCH(C466*100+B466,Key!$G$2:$G$263,0)),""))</f>
        <v/>
      </c>
      <c r="F466">
        <f>IF(OR(C466="",B466=""),"",IFERROR(INDEX(Key!$E$2:$E$263,MATCH(C466*100+B466,Key!$G$2:$G$263,0)),""))</f>
        <v/>
      </c>
      <c r="G466" s="6" t="n"/>
      <c r="H466">
        <f>IF(OR(C466="",B466=""),"",IFERROR(INDEX(Papers!$K$2:$P$12,MATCH(C466,Papers!$A$2:$A$12,0),INDEX(Key!$D$2:$D$263,MATCH(C466*100+B466,Key!$G$2:$G$263,0))),""))</f>
        <v/>
      </c>
      <c r="I466" s="6" t="n"/>
      <c r="J466" s="6" t="n"/>
    </row>
    <row r="467">
      <c r="A467" s="6" t="n"/>
      <c r="B467" s="6" t="n"/>
      <c r="C467">
        <f>IF(A467="","",IFERROR(INDEX(Attempts!$D$2:$D$200,MATCH(A467,Attempts!$A$2:$A$200,0)),"?"))</f>
        <v/>
      </c>
      <c r="D467">
        <f>IF(OR(A467="",B467=""),"",IFERROR(INDEX(Attempts!$M$2:$AP$200,MATCH(A467,Attempts!$A$2:$A$200,0),B467),""))</f>
        <v/>
      </c>
      <c r="E467">
        <f>IF(OR(C467="",B467=""),"",IFERROR(INDEX(Key!$C$2:$C$263,MATCH(C467*100+B467,Key!$G$2:$G$263,0)),""))</f>
        <v/>
      </c>
      <c r="F467">
        <f>IF(OR(C467="",B467=""),"",IFERROR(INDEX(Key!$E$2:$E$263,MATCH(C467*100+B467,Key!$G$2:$G$263,0)),""))</f>
        <v/>
      </c>
      <c r="G467" s="6" t="n"/>
      <c r="H467">
        <f>IF(OR(C467="",B467=""),"",IFERROR(INDEX(Papers!$K$2:$P$12,MATCH(C467,Papers!$A$2:$A$12,0),INDEX(Key!$D$2:$D$263,MATCH(C467*100+B467,Key!$G$2:$G$263,0))),""))</f>
        <v/>
      </c>
      <c r="I467" s="6" t="n"/>
      <c r="J467" s="6" t="n"/>
    </row>
    <row r="468">
      <c r="A468" s="6" t="n"/>
      <c r="B468" s="6" t="n"/>
      <c r="C468">
        <f>IF(A468="","",IFERROR(INDEX(Attempts!$D$2:$D$200,MATCH(A468,Attempts!$A$2:$A$200,0)),"?"))</f>
        <v/>
      </c>
      <c r="D468">
        <f>IF(OR(A468="",B468=""),"",IFERROR(INDEX(Attempts!$M$2:$AP$200,MATCH(A468,Attempts!$A$2:$A$200,0),B468),""))</f>
        <v/>
      </c>
      <c r="E468">
        <f>IF(OR(C468="",B468=""),"",IFERROR(INDEX(Key!$C$2:$C$263,MATCH(C468*100+B468,Key!$G$2:$G$263,0)),""))</f>
        <v/>
      </c>
      <c r="F468">
        <f>IF(OR(C468="",B468=""),"",IFERROR(INDEX(Key!$E$2:$E$263,MATCH(C468*100+B468,Key!$G$2:$G$263,0)),""))</f>
        <v/>
      </c>
      <c r="G468" s="6" t="n"/>
      <c r="H468">
        <f>IF(OR(C468="",B468=""),"",IFERROR(INDEX(Papers!$K$2:$P$12,MATCH(C468,Papers!$A$2:$A$12,0),INDEX(Key!$D$2:$D$263,MATCH(C468*100+B468,Key!$G$2:$G$263,0))),""))</f>
        <v/>
      </c>
      <c r="I468" s="6" t="n"/>
      <c r="J468" s="6" t="n"/>
    </row>
    <row r="469">
      <c r="A469" s="6" t="n"/>
      <c r="B469" s="6" t="n"/>
      <c r="C469">
        <f>IF(A469="","",IFERROR(INDEX(Attempts!$D$2:$D$200,MATCH(A469,Attempts!$A$2:$A$200,0)),"?"))</f>
        <v/>
      </c>
      <c r="D469">
        <f>IF(OR(A469="",B469=""),"",IFERROR(INDEX(Attempts!$M$2:$AP$200,MATCH(A469,Attempts!$A$2:$A$200,0),B469),""))</f>
        <v/>
      </c>
      <c r="E469">
        <f>IF(OR(C469="",B469=""),"",IFERROR(INDEX(Key!$C$2:$C$263,MATCH(C469*100+B469,Key!$G$2:$G$263,0)),""))</f>
        <v/>
      </c>
      <c r="F469">
        <f>IF(OR(C469="",B469=""),"",IFERROR(INDEX(Key!$E$2:$E$263,MATCH(C469*100+B469,Key!$G$2:$G$263,0)),""))</f>
        <v/>
      </c>
      <c r="G469" s="6" t="n"/>
      <c r="H469">
        <f>IF(OR(C469="",B469=""),"",IFERROR(INDEX(Papers!$K$2:$P$12,MATCH(C469,Papers!$A$2:$A$12,0),INDEX(Key!$D$2:$D$263,MATCH(C469*100+B469,Key!$G$2:$G$263,0))),""))</f>
        <v/>
      </c>
      <c r="I469" s="6" t="n"/>
      <c r="J469" s="6" t="n"/>
    </row>
    <row r="470">
      <c r="A470" s="6" t="n"/>
      <c r="B470" s="6" t="n"/>
      <c r="C470">
        <f>IF(A470="","",IFERROR(INDEX(Attempts!$D$2:$D$200,MATCH(A470,Attempts!$A$2:$A$200,0)),"?"))</f>
        <v/>
      </c>
      <c r="D470">
        <f>IF(OR(A470="",B470=""),"",IFERROR(INDEX(Attempts!$M$2:$AP$200,MATCH(A470,Attempts!$A$2:$A$200,0),B470),""))</f>
        <v/>
      </c>
      <c r="E470">
        <f>IF(OR(C470="",B470=""),"",IFERROR(INDEX(Key!$C$2:$C$263,MATCH(C470*100+B470,Key!$G$2:$G$263,0)),""))</f>
        <v/>
      </c>
      <c r="F470">
        <f>IF(OR(C470="",B470=""),"",IFERROR(INDEX(Key!$E$2:$E$263,MATCH(C470*100+B470,Key!$G$2:$G$263,0)),""))</f>
        <v/>
      </c>
      <c r="G470" s="6" t="n"/>
      <c r="H470">
        <f>IF(OR(C470="",B470=""),"",IFERROR(INDEX(Papers!$K$2:$P$12,MATCH(C470,Papers!$A$2:$A$12,0),INDEX(Key!$D$2:$D$263,MATCH(C470*100+B470,Key!$G$2:$G$263,0))),""))</f>
        <v/>
      </c>
      <c r="I470" s="6" t="n"/>
      <c r="J470" s="6" t="n"/>
    </row>
    <row r="471">
      <c r="A471" s="6" t="n"/>
      <c r="B471" s="6" t="n"/>
      <c r="C471">
        <f>IF(A471="","",IFERROR(INDEX(Attempts!$D$2:$D$200,MATCH(A471,Attempts!$A$2:$A$200,0)),"?"))</f>
        <v/>
      </c>
      <c r="D471">
        <f>IF(OR(A471="",B471=""),"",IFERROR(INDEX(Attempts!$M$2:$AP$200,MATCH(A471,Attempts!$A$2:$A$200,0),B471),""))</f>
        <v/>
      </c>
      <c r="E471">
        <f>IF(OR(C471="",B471=""),"",IFERROR(INDEX(Key!$C$2:$C$263,MATCH(C471*100+B471,Key!$G$2:$G$263,0)),""))</f>
        <v/>
      </c>
      <c r="F471">
        <f>IF(OR(C471="",B471=""),"",IFERROR(INDEX(Key!$E$2:$E$263,MATCH(C471*100+B471,Key!$G$2:$G$263,0)),""))</f>
        <v/>
      </c>
      <c r="G471" s="6" t="n"/>
      <c r="H471">
        <f>IF(OR(C471="",B471=""),"",IFERROR(INDEX(Papers!$K$2:$P$12,MATCH(C471,Papers!$A$2:$A$12,0),INDEX(Key!$D$2:$D$263,MATCH(C471*100+B471,Key!$G$2:$G$263,0))),""))</f>
        <v/>
      </c>
      <c r="I471" s="6" t="n"/>
      <c r="J471" s="6" t="n"/>
    </row>
    <row r="472">
      <c r="A472" s="6" t="n"/>
      <c r="B472" s="6" t="n"/>
      <c r="C472">
        <f>IF(A472="","",IFERROR(INDEX(Attempts!$D$2:$D$200,MATCH(A472,Attempts!$A$2:$A$200,0)),"?"))</f>
        <v/>
      </c>
      <c r="D472">
        <f>IF(OR(A472="",B472=""),"",IFERROR(INDEX(Attempts!$M$2:$AP$200,MATCH(A472,Attempts!$A$2:$A$200,0),B472),""))</f>
        <v/>
      </c>
      <c r="E472">
        <f>IF(OR(C472="",B472=""),"",IFERROR(INDEX(Key!$C$2:$C$263,MATCH(C472*100+B472,Key!$G$2:$G$263,0)),""))</f>
        <v/>
      </c>
      <c r="F472">
        <f>IF(OR(C472="",B472=""),"",IFERROR(INDEX(Key!$E$2:$E$263,MATCH(C472*100+B472,Key!$G$2:$G$263,0)),""))</f>
        <v/>
      </c>
      <c r="G472" s="6" t="n"/>
      <c r="H472">
        <f>IF(OR(C472="",B472=""),"",IFERROR(INDEX(Papers!$K$2:$P$12,MATCH(C472,Papers!$A$2:$A$12,0),INDEX(Key!$D$2:$D$263,MATCH(C472*100+B472,Key!$G$2:$G$263,0))),""))</f>
        <v/>
      </c>
      <c r="I472" s="6" t="n"/>
      <c r="J472" s="6" t="n"/>
    </row>
    <row r="473">
      <c r="A473" s="6" t="n"/>
      <c r="B473" s="6" t="n"/>
      <c r="C473">
        <f>IF(A473="","",IFERROR(INDEX(Attempts!$D$2:$D$200,MATCH(A473,Attempts!$A$2:$A$200,0)),"?"))</f>
        <v/>
      </c>
      <c r="D473">
        <f>IF(OR(A473="",B473=""),"",IFERROR(INDEX(Attempts!$M$2:$AP$200,MATCH(A473,Attempts!$A$2:$A$200,0),B473),""))</f>
        <v/>
      </c>
      <c r="E473">
        <f>IF(OR(C473="",B473=""),"",IFERROR(INDEX(Key!$C$2:$C$263,MATCH(C473*100+B473,Key!$G$2:$G$263,0)),""))</f>
        <v/>
      </c>
      <c r="F473">
        <f>IF(OR(C473="",B473=""),"",IFERROR(INDEX(Key!$E$2:$E$263,MATCH(C473*100+B473,Key!$G$2:$G$263,0)),""))</f>
        <v/>
      </c>
      <c r="G473" s="6" t="n"/>
      <c r="H473">
        <f>IF(OR(C473="",B473=""),"",IFERROR(INDEX(Papers!$K$2:$P$12,MATCH(C473,Papers!$A$2:$A$12,0),INDEX(Key!$D$2:$D$263,MATCH(C473*100+B473,Key!$G$2:$G$263,0))),""))</f>
        <v/>
      </c>
      <c r="I473" s="6" t="n"/>
      <c r="J473" s="6" t="n"/>
    </row>
    <row r="474">
      <c r="A474" s="6" t="n"/>
      <c r="B474" s="6" t="n"/>
      <c r="C474">
        <f>IF(A474="","",IFERROR(INDEX(Attempts!$D$2:$D$200,MATCH(A474,Attempts!$A$2:$A$200,0)),"?"))</f>
        <v/>
      </c>
      <c r="D474">
        <f>IF(OR(A474="",B474=""),"",IFERROR(INDEX(Attempts!$M$2:$AP$200,MATCH(A474,Attempts!$A$2:$A$200,0),B474),""))</f>
        <v/>
      </c>
      <c r="E474">
        <f>IF(OR(C474="",B474=""),"",IFERROR(INDEX(Key!$C$2:$C$263,MATCH(C474*100+B474,Key!$G$2:$G$263,0)),""))</f>
        <v/>
      </c>
      <c r="F474">
        <f>IF(OR(C474="",B474=""),"",IFERROR(INDEX(Key!$E$2:$E$263,MATCH(C474*100+B474,Key!$G$2:$G$263,0)),""))</f>
        <v/>
      </c>
      <c r="G474" s="6" t="n"/>
      <c r="H474">
        <f>IF(OR(C474="",B474=""),"",IFERROR(INDEX(Papers!$K$2:$P$12,MATCH(C474,Papers!$A$2:$A$12,0),INDEX(Key!$D$2:$D$263,MATCH(C474*100+B474,Key!$G$2:$G$263,0))),""))</f>
        <v/>
      </c>
      <c r="I474" s="6" t="n"/>
      <c r="J474" s="6" t="n"/>
    </row>
    <row r="475">
      <c r="A475" s="6" t="n"/>
      <c r="B475" s="6" t="n"/>
      <c r="C475">
        <f>IF(A475="","",IFERROR(INDEX(Attempts!$D$2:$D$200,MATCH(A475,Attempts!$A$2:$A$200,0)),"?"))</f>
        <v/>
      </c>
      <c r="D475">
        <f>IF(OR(A475="",B475=""),"",IFERROR(INDEX(Attempts!$M$2:$AP$200,MATCH(A475,Attempts!$A$2:$A$200,0),B475),""))</f>
        <v/>
      </c>
      <c r="E475">
        <f>IF(OR(C475="",B475=""),"",IFERROR(INDEX(Key!$C$2:$C$263,MATCH(C475*100+B475,Key!$G$2:$G$263,0)),""))</f>
        <v/>
      </c>
      <c r="F475">
        <f>IF(OR(C475="",B475=""),"",IFERROR(INDEX(Key!$E$2:$E$263,MATCH(C475*100+B475,Key!$G$2:$G$263,0)),""))</f>
        <v/>
      </c>
      <c r="G475" s="6" t="n"/>
      <c r="H475">
        <f>IF(OR(C475="",B475=""),"",IFERROR(INDEX(Papers!$K$2:$P$12,MATCH(C475,Papers!$A$2:$A$12,0),INDEX(Key!$D$2:$D$263,MATCH(C475*100+B475,Key!$G$2:$G$263,0))),""))</f>
        <v/>
      </c>
      <c r="I475" s="6" t="n"/>
      <c r="J475" s="6" t="n"/>
    </row>
    <row r="476">
      <c r="A476" s="6" t="n"/>
      <c r="B476" s="6" t="n"/>
      <c r="C476">
        <f>IF(A476="","",IFERROR(INDEX(Attempts!$D$2:$D$200,MATCH(A476,Attempts!$A$2:$A$200,0)),"?"))</f>
        <v/>
      </c>
      <c r="D476">
        <f>IF(OR(A476="",B476=""),"",IFERROR(INDEX(Attempts!$M$2:$AP$200,MATCH(A476,Attempts!$A$2:$A$200,0),B476),""))</f>
        <v/>
      </c>
      <c r="E476">
        <f>IF(OR(C476="",B476=""),"",IFERROR(INDEX(Key!$C$2:$C$263,MATCH(C476*100+B476,Key!$G$2:$G$263,0)),""))</f>
        <v/>
      </c>
      <c r="F476">
        <f>IF(OR(C476="",B476=""),"",IFERROR(INDEX(Key!$E$2:$E$263,MATCH(C476*100+B476,Key!$G$2:$G$263,0)),""))</f>
        <v/>
      </c>
      <c r="G476" s="6" t="n"/>
      <c r="H476">
        <f>IF(OR(C476="",B476=""),"",IFERROR(INDEX(Papers!$K$2:$P$12,MATCH(C476,Papers!$A$2:$A$12,0),INDEX(Key!$D$2:$D$263,MATCH(C476*100+B476,Key!$G$2:$G$263,0))),""))</f>
        <v/>
      </c>
      <c r="I476" s="6" t="n"/>
      <c r="J476" s="6" t="n"/>
    </row>
    <row r="477">
      <c r="A477" s="6" t="n"/>
      <c r="B477" s="6" t="n"/>
      <c r="C477">
        <f>IF(A477="","",IFERROR(INDEX(Attempts!$D$2:$D$200,MATCH(A477,Attempts!$A$2:$A$200,0)),"?"))</f>
        <v/>
      </c>
      <c r="D477">
        <f>IF(OR(A477="",B477=""),"",IFERROR(INDEX(Attempts!$M$2:$AP$200,MATCH(A477,Attempts!$A$2:$A$200,0),B477),""))</f>
        <v/>
      </c>
      <c r="E477">
        <f>IF(OR(C477="",B477=""),"",IFERROR(INDEX(Key!$C$2:$C$263,MATCH(C477*100+B477,Key!$G$2:$G$263,0)),""))</f>
        <v/>
      </c>
      <c r="F477">
        <f>IF(OR(C477="",B477=""),"",IFERROR(INDEX(Key!$E$2:$E$263,MATCH(C477*100+B477,Key!$G$2:$G$263,0)),""))</f>
        <v/>
      </c>
      <c r="G477" s="6" t="n"/>
      <c r="H477">
        <f>IF(OR(C477="",B477=""),"",IFERROR(INDEX(Papers!$K$2:$P$12,MATCH(C477,Papers!$A$2:$A$12,0),INDEX(Key!$D$2:$D$263,MATCH(C477*100+B477,Key!$G$2:$G$263,0))),""))</f>
        <v/>
      </c>
      <c r="I477" s="6" t="n"/>
      <c r="J477" s="6" t="n"/>
    </row>
    <row r="478">
      <c r="A478" s="6" t="n"/>
      <c r="B478" s="6" t="n"/>
      <c r="C478">
        <f>IF(A478="","",IFERROR(INDEX(Attempts!$D$2:$D$200,MATCH(A478,Attempts!$A$2:$A$200,0)),"?"))</f>
        <v/>
      </c>
      <c r="D478">
        <f>IF(OR(A478="",B478=""),"",IFERROR(INDEX(Attempts!$M$2:$AP$200,MATCH(A478,Attempts!$A$2:$A$200,0),B478),""))</f>
        <v/>
      </c>
      <c r="E478">
        <f>IF(OR(C478="",B478=""),"",IFERROR(INDEX(Key!$C$2:$C$263,MATCH(C478*100+B478,Key!$G$2:$G$263,0)),""))</f>
        <v/>
      </c>
      <c r="F478">
        <f>IF(OR(C478="",B478=""),"",IFERROR(INDEX(Key!$E$2:$E$263,MATCH(C478*100+B478,Key!$G$2:$G$263,0)),""))</f>
        <v/>
      </c>
      <c r="G478" s="6" t="n"/>
      <c r="H478">
        <f>IF(OR(C478="",B478=""),"",IFERROR(INDEX(Papers!$K$2:$P$12,MATCH(C478,Papers!$A$2:$A$12,0),INDEX(Key!$D$2:$D$263,MATCH(C478*100+B478,Key!$G$2:$G$263,0))),""))</f>
        <v/>
      </c>
      <c r="I478" s="6" t="n"/>
      <c r="J478" s="6" t="n"/>
    </row>
    <row r="479">
      <c r="A479" s="6" t="n"/>
      <c r="B479" s="6" t="n"/>
      <c r="C479">
        <f>IF(A479="","",IFERROR(INDEX(Attempts!$D$2:$D$200,MATCH(A479,Attempts!$A$2:$A$200,0)),"?"))</f>
        <v/>
      </c>
      <c r="D479">
        <f>IF(OR(A479="",B479=""),"",IFERROR(INDEX(Attempts!$M$2:$AP$200,MATCH(A479,Attempts!$A$2:$A$200,0),B479),""))</f>
        <v/>
      </c>
      <c r="E479">
        <f>IF(OR(C479="",B479=""),"",IFERROR(INDEX(Key!$C$2:$C$263,MATCH(C479*100+B479,Key!$G$2:$G$263,0)),""))</f>
        <v/>
      </c>
      <c r="F479">
        <f>IF(OR(C479="",B479=""),"",IFERROR(INDEX(Key!$E$2:$E$263,MATCH(C479*100+B479,Key!$G$2:$G$263,0)),""))</f>
        <v/>
      </c>
      <c r="G479" s="6" t="n"/>
      <c r="H479">
        <f>IF(OR(C479="",B479=""),"",IFERROR(INDEX(Papers!$K$2:$P$12,MATCH(C479,Papers!$A$2:$A$12,0),INDEX(Key!$D$2:$D$263,MATCH(C479*100+B479,Key!$G$2:$G$263,0))),""))</f>
        <v/>
      </c>
      <c r="I479" s="6" t="n"/>
      <c r="J479" s="6" t="n"/>
    </row>
    <row r="480">
      <c r="A480" s="6" t="n"/>
      <c r="B480" s="6" t="n"/>
      <c r="C480">
        <f>IF(A480="","",IFERROR(INDEX(Attempts!$D$2:$D$200,MATCH(A480,Attempts!$A$2:$A$200,0)),"?"))</f>
        <v/>
      </c>
      <c r="D480">
        <f>IF(OR(A480="",B480=""),"",IFERROR(INDEX(Attempts!$M$2:$AP$200,MATCH(A480,Attempts!$A$2:$A$200,0),B480),""))</f>
        <v/>
      </c>
      <c r="E480">
        <f>IF(OR(C480="",B480=""),"",IFERROR(INDEX(Key!$C$2:$C$263,MATCH(C480*100+B480,Key!$G$2:$G$263,0)),""))</f>
        <v/>
      </c>
      <c r="F480">
        <f>IF(OR(C480="",B480=""),"",IFERROR(INDEX(Key!$E$2:$E$263,MATCH(C480*100+B480,Key!$G$2:$G$263,0)),""))</f>
        <v/>
      </c>
      <c r="G480" s="6" t="n"/>
      <c r="H480">
        <f>IF(OR(C480="",B480=""),"",IFERROR(INDEX(Papers!$K$2:$P$12,MATCH(C480,Papers!$A$2:$A$12,0),INDEX(Key!$D$2:$D$263,MATCH(C480*100+B480,Key!$G$2:$G$263,0))),""))</f>
        <v/>
      </c>
      <c r="I480" s="6" t="n"/>
      <c r="J480" s="6" t="n"/>
    </row>
    <row r="481">
      <c r="A481" s="6" t="n"/>
      <c r="B481" s="6" t="n"/>
      <c r="C481">
        <f>IF(A481="","",IFERROR(INDEX(Attempts!$D$2:$D$200,MATCH(A481,Attempts!$A$2:$A$200,0)),"?"))</f>
        <v/>
      </c>
      <c r="D481">
        <f>IF(OR(A481="",B481=""),"",IFERROR(INDEX(Attempts!$M$2:$AP$200,MATCH(A481,Attempts!$A$2:$A$200,0),B481),""))</f>
        <v/>
      </c>
      <c r="E481">
        <f>IF(OR(C481="",B481=""),"",IFERROR(INDEX(Key!$C$2:$C$263,MATCH(C481*100+B481,Key!$G$2:$G$263,0)),""))</f>
        <v/>
      </c>
      <c r="F481">
        <f>IF(OR(C481="",B481=""),"",IFERROR(INDEX(Key!$E$2:$E$263,MATCH(C481*100+B481,Key!$G$2:$G$263,0)),""))</f>
        <v/>
      </c>
      <c r="G481" s="6" t="n"/>
      <c r="H481">
        <f>IF(OR(C481="",B481=""),"",IFERROR(INDEX(Papers!$K$2:$P$12,MATCH(C481,Papers!$A$2:$A$12,0),INDEX(Key!$D$2:$D$263,MATCH(C481*100+B481,Key!$G$2:$G$263,0))),""))</f>
        <v/>
      </c>
      <c r="I481" s="6" t="n"/>
      <c r="J481" s="6" t="n"/>
    </row>
    <row r="482">
      <c r="A482" s="6" t="n"/>
      <c r="B482" s="6" t="n"/>
      <c r="C482">
        <f>IF(A482="","",IFERROR(INDEX(Attempts!$D$2:$D$200,MATCH(A482,Attempts!$A$2:$A$200,0)),"?"))</f>
        <v/>
      </c>
      <c r="D482">
        <f>IF(OR(A482="",B482=""),"",IFERROR(INDEX(Attempts!$M$2:$AP$200,MATCH(A482,Attempts!$A$2:$A$200,0),B482),""))</f>
        <v/>
      </c>
      <c r="E482">
        <f>IF(OR(C482="",B482=""),"",IFERROR(INDEX(Key!$C$2:$C$263,MATCH(C482*100+B482,Key!$G$2:$G$263,0)),""))</f>
        <v/>
      </c>
      <c r="F482">
        <f>IF(OR(C482="",B482=""),"",IFERROR(INDEX(Key!$E$2:$E$263,MATCH(C482*100+B482,Key!$G$2:$G$263,0)),""))</f>
        <v/>
      </c>
      <c r="G482" s="6" t="n"/>
      <c r="H482">
        <f>IF(OR(C482="",B482=""),"",IFERROR(INDEX(Papers!$K$2:$P$12,MATCH(C482,Papers!$A$2:$A$12,0),INDEX(Key!$D$2:$D$263,MATCH(C482*100+B482,Key!$G$2:$G$263,0))),""))</f>
        <v/>
      </c>
      <c r="I482" s="6" t="n"/>
      <c r="J482" s="6" t="n"/>
    </row>
    <row r="483">
      <c r="A483" s="6" t="n"/>
      <c r="B483" s="6" t="n"/>
      <c r="C483">
        <f>IF(A483="","",IFERROR(INDEX(Attempts!$D$2:$D$200,MATCH(A483,Attempts!$A$2:$A$200,0)),"?"))</f>
        <v/>
      </c>
      <c r="D483">
        <f>IF(OR(A483="",B483=""),"",IFERROR(INDEX(Attempts!$M$2:$AP$200,MATCH(A483,Attempts!$A$2:$A$200,0),B483),""))</f>
        <v/>
      </c>
      <c r="E483">
        <f>IF(OR(C483="",B483=""),"",IFERROR(INDEX(Key!$C$2:$C$263,MATCH(C483*100+B483,Key!$G$2:$G$263,0)),""))</f>
        <v/>
      </c>
      <c r="F483">
        <f>IF(OR(C483="",B483=""),"",IFERROR(INDEX(Key!$E$2:$E$263,MATCH(C483*100+B483,Key!$G$2:$G$263,0)),""))</f>
        <v/>
      </c>
      <c r="G483" s="6" t="n"/>
      <c r="H483">
        <f>IF(OR(C483="",B483=""),"",IFERROR(INDEX(Papers!$K$2:$P$12,MATCH(C483,Papers!$A$2:$A$12,0),INDEX(Key!$D$2:$D$263,MATCH(C483*100+B483,Key!$G$2:$G$263,0))),""))</f>
        <v/>
      </c>
      <c r="I483" s="6" t="n"/>
      <c r="J483" s="6" t="n"/>
    </row>
    <row r="484">
      <c r="A484" s="6" t="n"/>
      <c r="B484" s="6" t="n"/>
      <c r="C484">
        <f>IF(A484="","",IFERROR(INDEX(Attempts!$D$2:$D$200,MATCH(A484,Attempts!$A$2:$A$200,0)),"?"))</f>
        <v/>
      </c>
      <c r="D484">
        <f>IF(OR(A484="",B484=""),"",IFERROR(INDEX(Attempts!$M$2:$AP$200,MATCH(A484,Attempts!$A$2:$A$200,0),B484),""))</f>
        <v/>
      </c>
      <c r="E484">
        <f>IF(OR(C484="",B484=""),"",IFERROR(INDEX(Key!$C$2:$C$263,MATCH(C484*100+B484,Key!$G$2:$G$263,0)),""))</f>
        <v/>
      </c>
      <c r="F484">
        <f>IF(OR(C484="",B484=""),"",IFERROR(INDEX(Key!$E$2:$E$263,MATCH(C484*100+B484,Key!$G$2:$G$263,0)),""))</f>
        <v/>
      </c>
      <c r="G484" s="6" t="n"/>
      <c r="H484">
        <f>IF(OR(C484="",B484=""),"",IFERROR(INDEX(Papers!$K$2:$P$12,MATCH(C484,Papers!$A$2:$A$12,0),INDEX(Key!$D$2:$D$263,MATCH(C484*100+B484,Key!$G$2:$G$263,0))),""))</f>
        <v/>
      </c>
      <c r="I484" s="6" t="n"/>
      <c r="J484" s="6" t="n"/>
    </row>
    <row r="485">
      <c r="A485" s="6" t="n"/>
      <c r="B485" s="6" t="n"/>
      <c r="C485">
        <f>IF(A485="","",IFERROR(INDEX(Attempts!$D$2:$D$200,MATCH(A485,Attempts!$A$2:$A$200,0)),"?"))</f>
        <v/>
      </c>
      <c r="D485">
        <f>IF(OR(A485="",B485=""),"",IFERROR(INDEX(Attempts!$M$2:$AP$200,MATCH(A485,Attempts!$A$2:$A$200,0),B485),""))</f>
        <v/>
      </c>
      <c r="E485">
        <f>IF(OR(C485="",B485=""),"",IFERROR(INDEX(Key!$C$2:$C$263,MATCH(C485*100+B485,Key!$G$2:$G$263,0)),""))</f>
        <v/>
      </c>
      <c r="F485">
        <f>IF(OR(C485="",B485=""),"",IFERROR(INDEX(Key!$E$2:$E$263,MATCH(C485*100+B485,Key!$G$2:$G$263,0)),""))</f>
        <v/>
      </c>
      <c r="G485" s="6" t="n"/>
      <c r="H485">
        <f>IF(OR(C485="",B485=""),"",IFERROR(INDEX(Papers!$K$2:$P$12,MATCH(C485,Papers!$A$2:$A$12,0),INDEX(Key!$D$2:$D$263,MATCH(C485*100+B485,Key!$G$2:$G$263,0))),""))</f>
        <v/>
      </c>
      <c r="I485" s="6" t="n"/>
      <c r="J485" s="6" t="n"/>
    </row>
    <row r="486">
      <c r="A486" s="6" t="n"/>
      <c r="B486" s="6" t="n"/>
      <c r="C486">
        <f>IF(A486="","",IFERROR(INDEX(Attempts!$D$2:$D$200,MATCH(A486,Attempts!$A$2:$A$200,0)),"?"))</f>
        <v/>
      </c>
      <c r="D486">
        <f>IF(OR(A486="",B486=""),"",IFERROR(INDEX(Attempts!$M$2:$AP$200,MATCH(A486,Attempts!$A$2:$A$200,0),B486),""))</f>
        <v/>
      </c>
      <c r="E486">
        <f>IF(OR(C486="",B486=""),"",IFERROR(INDEX(Key!$C$2:$C$263,MATCH(C486*100+B486,Key!$G$2:$G$263,0)),""))</f>
        <v/>
      </c>
      <c r="F486">
        <f>IF(OR(C486="",B486=""),"",IFERROR(INDEX(Key!$E$2:$E$263,MATCH(C486*100+B486,Key!$G$2:$G$263,0)),""))</f>
        <v/>
      </c>
      <c r="G486" s="6" t="n"/>
      <c r="H486">
        <f>IF(OR(C486="",B486=""),"",IFERROR(INDEX(Papers!$K$2:$P$12,MATCH(C486,Papers!$A$2:$A$12,0),INDEX(Key!$D$2:$D$263,MATCH(C486*100+B486,Key!$G$2:$G$263,0))),""))</f>
        <v/>
      </c>
      <c r="I486" s="6" t="n"/>
      <c r="J486" s="6" t="n"/>
    </row>
    <row r="487">
      <c r="A487" s="6" t="n"/>
      <c r="B487" s="6" t="n"/>
      <c r="C487">
        <f>IF(A487="","",IFERROR(INDEX(Attempts!$D$2:$D$200,MATCH(A487,Attempts!$A$2:$A$200,0)),"?"))</f>
        <v/>
      </c>
      <c r="D487">
        <f>IF(OR(A487="",B487=""),"",IFERROR(INDEX(Attempts!$M$2:$AP$200,MATCH(A487,Attempts!$A$2:$A$200,0),B487),""))</f>
        <v/>
      </c>
      <c r="E487">
        <f>IF(OR(C487="",B487=""),"",IFERROR(INDEX(Key!$C$2:$C$263,MATCH(C487*100+B487,Key!$G$2:$G$263,0)),""))</f>
        <v/>
      </c>
      <c r="F487">
        <f>IF(OR(C487="",B487=""),"",IFERROR(INDEX(Key!$E$2:$E$263,MATCH(C487*100+B487,Key!$G$2:$G$263,0)),""))</f>
        <v/>
      </c>
      <c r="G487" s="6" t="n"/>
      <c r="H487">
        <f>IF(OR(C487="",B487=""),"",IFERROR(INDEX(Papers!$K$2:$P$12,MATCH(C487,Papers!$A$2:$A$12,0),INDEX(Key!$D$2:$D$263,MATCH(C487*100+B487,Key!$G$2:$G$263,0))),""))</f>
        <v/>
      </c>
      <c r="I487" s="6" t="n"/>
      <c r="J487" s="6" t="n"/>
    </row>
    <row r="488">
      <c r="A488" s="6" t="n"/>
      <c r="B488" s="6" t="n"/>
      <c r="C488">
        <f>IF(A488="","",IFERROR(INDEX(Attempts!$D$2:$D$200,MATCH(A488,Attempts!$A$2:$A$200,0)),"?"))</f>
        <v/>
      </c>
      <c r="D488">
        <f>IF(OR(A488="",B488=""),"",IFERROR(INDEX(Attempts!$M$2:$AP$200,MATCH(A488,Attempts!$A$2:$A$200,0),B488),""))</f>
        <v/>
      </c>
      <c r="E488">
        <f>IF(OR(C488="",B488=""),"",IFERROR(INDEX(Key!$C$2:$C$263,MATCH(C488*100+B488,Key!$G$2:$G$263,0)),""))</f>
        <v/>
      </c>
      <c r="F488">
        <f>IF(OR(C488="",B488=""),"",IFERROR(INDEX(Key!$E$2:$E$263,MATCH(C488*100+B488,Key!$G$2:$G$263,0)),""))</f>
        <v/>
      </c>
      <c r="G488" s="6" t="n"/>
      <c r="H488">
        <f>IF(OR(C488="",B488=""),"",IFERROR(INDEX(Papers!$K$2:$P$12,MATCH(C488,Papers!$A$2:$A$12,0),INDEX(Key!$D$2:$D$263,MATCH(C488*100+B488,Key!$G$2:$G$263,0))),""))</f>
        <v/>
      </c>
      <c r="I488" s="6" t="n"/>
      <c r="J488" s="6" t="n"/>
    </row>
    <row r="489">
      <c r="A489" s="6" t="n"/>
      <c r="B489" s="6" t="n"/>
      <c r="C489">
        <f>IF(A489="","",IFERROR(INDEX(Attempts!$D$2:$D$200,MATCH(A489,Attempts!$A$2:$A$200,0)),"?"))</f>
        <v/>
      </c>
      <c r="D489">
        <f>IF(OR(A489="",B489=""),"",IFERROR(INDEX(Attempts!$M$2:$AP$200,MATCH(A489,Attempts!$A$2:$A$200,0),B489),""))</f>
        <v/>
      </c>
      <c r="E489">
        <f>IF(OR(C489="",B489=""),"",IFERROR(INDEX(Key!$C$2:$C$263,MATCH(C489*100+B489,Key!$G$2:$G$263,0)),""))</f>
        <v/>
      </c>
      <c r="F489">
        <f>IF(OR(C489="",B489=""),"",IFERROR(INDEX(Key!$E$2:$E$263,MATCH(C489*100+B489,Key!$G$2:$G$263,0)),""))</f>
        <v/>
      </c>
      <c r="G489" s="6" t="n"/>
      <c r="H489">
        <f>IF(OR(C489="",B489=""),"",IFERROR(INDEX(Papers!$K$2:$P$12,MATCH(C489,Papers!$A$2:$A$12,0),INDEX(Key!$D$2:$D$263,MATCH(C489*100+B489,Key!$G$2:$G$263,0))),""))</f>
        <v/>
      </c>
      <c r="I489" s="6" t="n"/>
      <c r="J489" s="6" t="n"/>
    </row>
    <row r="490">
      <c r="A490" s="6" t="n"/>
      <c r="B490" s="6" t="n"/>
      <c r="C490">
        <f>IF(A490="","",IFERROR(INDEX(Attempts!$D$2:$D$200,MATCH(A490,Attempts!$A$2:$A$200,0)),"?"))</f>
        <v/>
      </c>
      <c r="D490">
        <f>IF(OR(A490="",B490=""),"",IFERROR(INDEX(Attempts!$M$2:$AP$200,MATCH(A490,Attempts!$A$2:$A$200,0),B490),""))</f>
        <v/>
      </c>
      <c r="E490">
        <f>IF(OR(C490="",B490=""),"",IFERROR(INDEX(Key!$C$2:$C$263,MATCH(C490*100+B490,Key!$G$2:$G$263,0)),""))</f>
        <v/>
      </c>
      <c r="F490">
        <f>IF(OR(C490="",B490=""),"",IFERROR(INDEX(Key!$E$2:$E$263,MATCH(C490*100+B490,Key!$G$2:$G$263,0)),""))</f>
        <v/>
      </c>
      <c r="G490" s="6" t="n"/>
      <c r="H490">
        <f>IF(OR(C490="",B490=""),"",IFERROR(INDEX(Papers!$K$2:$P$12,MATCH(C490,Papers!$A$2:$A$12,0),INDEX(Key!$D$2:$D$263,MATCH(C490*100+B490,Key!$G$2:$G$263,0))),""))</f>
        <v/>
      </c>
      <c r="I490" s="6" t="n"/>
      <c r="J490" s="6" t="n"/>
    </row>
    <row r="491">
      <c r="A491" s="6" t="n"/>
      <c r="B491" s="6" t="n"/>
      <c r="C491">
        <f>IF(A491="","",IFERROR(INDEX(Attempts!$D$2:$D$200,MATCH(A491,Attempts!$A$2:$A$200,0)),"?"))</f>
        <v/>
      </c>
      <c r="D491">
        <f>IF(OR(A491="",B491=""),"",IFERROR(INDEX(Attempts!$M$2:$AP$200,MATCH(A491,Attempts!$A$2:$A$200,0),B491),""))</f>
        <v/>
      </c>
      <c r="E491">
        <f>IF(OR(C491="",B491=""),"",IFERROR(INDEX(Key!$C$2:$C$263,MATCH(C491*100+B491,Key!$G$2:$G$263,0)),""))</f>
        <v/>
      </c>
      <c r="F491">
        <f>IF(OR(C491="",B491=""),"",IFERROR(INDEX(Key!$E$2:$E$263,MATCH(C491*100+B491,Key!$G$2:$G$263,0)),""))</f>
        <v/>
      </c>
      <c r="G491" s="6" t="n"/>
      <c r="H491">
        <f>IF(OR(C491="",B491=""),"",IFERROR(INDEX(Papers!$K$2:$P$12,MATCH(C491,Papers!$A$2:$A$12,0),INDEX(Key!$D$2:$D$263,MATCH(C491*100+B491,Key!$G$2:$G$263,0))),""))</f>
        <v/>
      </c>
      <c r="I491" s="6" t="n"/>
      <c r="J491" s="6" t="n"/>
    </row>
    <row r="492">
      <c r="A492" s="6" t="n"/>
      <c r="B492" s="6" t="n"/>
      <c r="C492">
        <f>IF(A492="","",IFERROR(INDEX(Attempts!$D$2:$D$200,MATCH(A492,Attempts!$A$2:$A$200,0)),"?"))</f>
        <v/>
      </c>
      <c r="D492">
        <f>IF(OR(A492="",B492=""),"",IFERROR(INDEX(Attempts!$M$2:$AP$200,MATCH(A492,Attempts!$A$2:$A$200,0),B492),""))</f>
        <v/>
      </c>
      <c r="E492">
        <f>IF(OR(C492="",B492=""),"",IFERROR(INDEX(Key!$C$2:$C$263,MATCH(C492*100+B492,Key!$G$2:$G$263,0)),""))</f>
        <v/>
      </c>
      <c r="F492">
        <f>IF(OR(C492="",B492=""),"",IFERROR(INDEX(Key!$E$2:$E$263,MATCH(C492*100+B492,Key!$G$2:$G$263,0)),""))</f>
        <v/>
      </c>
      <c r="G492" s="6" t="n"/>
      <c r="H492">
        <f>IF(OR(C492="",B492=""),"",IFERROR(INDEX(Papers!$K$2:$P$12,MATCH(C492,Papers!$A$2:$A$12,0),INDEX(Key!$D$2:$D$263,MATCH(C492*100+B492,Key!$G$2:$G$263,0))),""))</f>
        <v/>
      </c>
      <c r="I492" s="6" t="n"/>
      <c r="J492" s="6" t="n"/>
    </row>
    <row r="493">
      <c r="A493" s="6" t="n"/>
      <c r="B493" s="6" t="n"/>
      <c r="C493">
        <f>IF(A493="","",IFERROR(INDEX(Attempts!$D$2:$D$200,MATCH(A493,Attempts!$A$2:$A$200,0)),"?"))</f>
        <v/>
      </c>
      <c r="D493">
        <f>IF(OR(A493="",B493=""),"",IFERROR(INDEX(Attempts!$M$2:$AP$200,MATCH(A493,Attempts!$A$2:$A$200,0),B493),""))</f>
        <v/>
      </c>
      <c r="E493">
        <f>IF(OR(C493="",B493=""),"",IFERROR(INDEX(Key!$C$2:$C$263,MATCH(C493*100+B493,Key!$G$2:$G$263,0)),""))</f>
        <v/>
      </c>
      <c r="F493">
        <f>IF(OR(C493="",B493=""),"",IFERROR(INDEX(Key!$E$2:$E$263,MATCH(C493*100+B493,Key!$G$2:$G$263,0)),""))</f>
        <v/>
      </c>
      <c r="G493" s="6" t="n"/>
      <c r="H493">
        <f>IF(OR(C493="",B493=""),"",IFERROR(INDEX(Papers!$K$2:$P$12,MATCH(C493,Papers!$A$2:$A$12,0),INDEX(Key!$D$2:$D$263,MATCH(C493*100+B493,Key!$G$2:$G$263,0))),""))</f>
        <v/>
      </c>
      <c r="I493" s="6" t="n"/>
      <c r="J493" s="6" t="n"/>
    </row>
    <row r="494">
      <c r="A494" s="6" t="n"/>
      <c r="B494" s="6" t="n"/>
      <c r="C494">
        <f>IF(A494="","",IFERROR(INDEX(Attempts!$D$2:$D$200,MATCH(A494,Attempts!$A$2:$A$200,0)),"?"))</f>
        <v/>
      </c>
      <c r="D494">
        <f>IF(OR(A494="",B494=""),"",IFERROR(INDEX(Attempts!$M$2:$AP$200,MATCH(A494,Attempts!$A$2:$A$200,0),B494),""))</f>
        <v/>
      </c>
      <c r="E494">
        <f>IF(OR(C494="",B494=""),"",IFERROR(INDEX(Key!$C$2:$C$263,MATCH(C494*100+B494,Key!$G$2:$G$263,0)),""))</f>
        <v/>
      </c>
      <c r="F494">
        <f>IF(OR(C494="",B494=""),"",IFERROR(INDEX(Key!$E$2:$E$263,MATCH(C494*100+B494,Key!$G$2:$G$263,0)),""))</f>
        <v/>
      </c>
      <c r="G494" s="6" t="n"/>
      <c r="H494">
        <f>IF(OR(C494="",B494=""),"",IFERROR(INDEX(Papers!$K$2:$P$12,MATCH(C494,Papers!$A$2:$A$12,0),INDEX(Key!$D$2:$D$263,MATCH(C494*100+B494,Key!$G$2:$G$263,0))),""))</f>
        <v/>
      </c>
      <c r="I494" s="6" t="n"/>
      <c r="J494" s="6" t="n"/>
    </row>
    <row r="495">
      <c r="A495" s="6" t="n"/>
      <c r="B495" s="6" t="n"/>
      <c r="C495">
        <f>IF(A495="","",IFERROR(INDEX(Attempts!$D$2:$D$200,MATCH(A495,Attempts!$A$2:$A$200,0)),"?"))</f>
        <v/>
      </c>
      <c r="D495">
        <f>IF(OR(A495="",B495=""),"",IFERROR(INDEX(Attempts!$M$2:$AP$200,MATCH(A495,Attempts!$A$2:$A$200,0),B495),""))</f>
        <v/>
      </c>
      <c r="E495">
        <f>IF(OR(C495="",B495=""),"",IFERROR(INDEX(Key!$C$2:$C$263,MATCH(C495*100+B495,Key!$G$2:$G$263,0)),""))</f>
        <v/>
      </c>
      <c r="F495">
        <f>IF(OR(C495="",B495=""),"",IFERROR(INDEX(Key!$E$2:$E$263,MATCH(C495*100+B495,Key!$G$2:$G$263,0)),""))</f>
        <v/>
      </c>
      <c r="G495" s="6" t="n"/>
      <c r="H495">
        <f>IF(OR(C495="",B495=""),"",IFERROR(INDEX(Papers!$K$2:$P$12,MATCH(C495,Papers!$A$2:$A$12,0),INDEX(Key!$D$2:$D$263,MATCH(C495*100+B495,Key!$G$2:$G$263,0))),""))</f>
        <v/>
      </c>
      <c r="I495" s="6" t="n"/>
      <c r="J495" s="6" t="n"/>
    </row>
    <row r="496">
      <c r="A496" s="6" t="n"/>
      <c r="B496" s="6" t="n"/>
      <c r="C496">
        <f>IF(A496="","",IFERROR(INDEX(Attempts!$D$2:$D$200,MATCH(A496,Attempts!$A$2:$A$200,0)),"?"))</f>
        <v/>
      </c>
      <c r="D496">
        <f>IF(OR(A496="",B496=""),"",IFERROR(INDEX(Attempts!$M$2:$AP$200,MATCH(A496,Attempts!$A$2:$A$200,0),B496),""))</f>
        <v/>
      </c>
      <c r="E496">
        <f>IF(OR(C496="",B496=""),"",IFERROR(INDEX(Key!$C$2:$C$263,MATCH(C496*100+B496,Key!$G$2:$G$263,0)),""))</f>
        <v/>
      </c>
      <c r="F496">
        <f>IF(OR(C496="",B496=""),"",IFERROR(INDEX(Key!$E$2:$E$263,MATCH(C496*100+B496,Key!$G$2:$G$263,0)),""))</f>
        <v/>
      </c>
      <c r="G496" s="6" t="n"/>
      <c r="H496">
        <f>IF(OR(C496="",B496=""),"",IFERROR(INDEX(Papers!$K$2:$P$12,MATCH(C496,Papers!$A$2:$A$12,0),INDEX(Key!$D$2:$D$263,MATCH(C496*100+B496,Key!$G$2:$G$263,0))),""))</f>
        <v/>
      </c>
      <c r="I496" s="6" t="n"/>
      <c r="J496" s="6" t="n"/>
    </row>
    <row r="497">
      <c r="A497" s="6" t="n"/>
      <c r="B497" s="6" t="n"/>
      <c r="C497">
        <f>IF(A497="","",IFERROR(INDEX(Attempts!$D$2:$D$200,MATCH(A497,Attempts!$A$2:$A$200,0)),"?"))</f>
        <v/>
      </c>
      <c r="D497">
        <f>IF(OR(A497="",B497=""),"",IFERROR(INDEX(Attempts!$M$2:$AP$200,MATCH(A497,Attempts!$A$2:$A$200,0),B497),""))</f>
        <v/>
      </c>
      <c r="E497">
        <f>IF(OR(C497="",B497=""),"",IFERROR(INDEX(Key!$C$2:$C$263,MATCH(C497*100+B497,Key!$G$2:$G$263,0)),""))</f>
        <v/>
      </c>
      <c r="F497">
        <f>IF(OR(C497="",B497=""),"",IFERROR(INDEX(Key!$E$2:$E$263,MATCH(C497*100+B497,Key!$G$2:$G$263,0)),""))</f>
        <v/>
      </c>
      <c r="G497" s="6" t="n"/>
      <c r="H497">
        <f>IF(OR(C497="",B497=""),"",IFERROR(INDEX(Papers!$K$2:$P$12,MATCH(C497,Papers!$A$2:$A$12,0),INDEX(Key!$D$2:$D$263,MATCH(C497*100+B497,Key!$G$2:$G$263,0))),""))</f>
        <v/>
      </c>
      <c r="I497" s="6" t="n"/>
      <c r="J497" s="6" t="n"/>
    </row>
    <row r="498">
      <c r="A498" s="6" t="n"/>
      <c r="B498" s="6" t="n"/>
      <c r="C498">
        <f>IF(A498="","",IFERROR(INDEX(Attempts!$D$2:$D$200,MATCH(A498,Attempts!$A$2:$A$200,0)),"?"))</f>
        <v/>
      </c>
      <c r="D498">
        <f>IF(OR(A498="",B498=""),"",IFERROR(INDEX(Attempts!$M$2:$AP$200,MATCH(A498,Attempts!$A$2:$A$200,0),B498),""))</f>
        <v/>
      </c>
      <c r="E498">
        <f>IF(OR(C498="",B498=""),"",IFERROR(INDEX(Key!$C$2:$C$263,MATCH(C498*100+B498,Key!$G$2:$G$263,0)),""))</f>
        <v/>
      </c>
      <c r="F498">
        <f>IF(OR(C498="",B498=""),"",IFERROR(INDEX(Key!$E$2:$E$263,MATCH(C498*100+B498,Key!$G$2:$G$263,0)),""))</f>
        <v/>
      </c>
      <c r="G498" s="6" t="n"/>
      <c r="H498">
        <f>IF(OR(C498="",B498=""),"",IFERROR(INDEX(Papers!$K$2:$P$12,MATCH(C498,Papers!$A$2:$A$12,0),INDEX(Key!$D$2:$D$263,MATCH(C498*100+B498,Key!$G$2:$G$263,0))),""))</f>
        <v/>
      </c>
      <c r="I498" s="6" t="n"/>
      <c r="J498" s="6" t="n"/>
    </row>
    <row r="499">
      <c r="A499" s="6" t="n"/>
      <c r="B499" s="6" t="n"/>
      <c r="C499">
        <f>IF(A499="","",IFERROR(INDEX(Attempts!$D$2:$D$200,MATCH(A499,Attempts!$A$2:$A$200,0)),"?"))</f>
        <v/>
      </c>
      <c r="D499">
        <f>IF(OR(A499="",B499=""),"",IFERROR(INDEX(Attempts!$M$2:$AP$200,MATCH(A499,Attempts!$A$2:$A$200,0),B499),""))</f>
        <v/>
      </c>
      <c r="E499">
        <f>IF(OR(C499="",B499=""),"",IFERROR(INDEX(Key!$C$2:$C$263,MATCH(C499*100+B499,Key!$G$2:$G$263,0)),""))</f>
        <v/>
      </c>
      <c r="F499">
        <f>IF(OR(C499="",B499=""),"",IFERROR(INDEX(Key!$E$2:$E$263,MATCH(C499*100+B499,Key!$G$2:$G$263,0)),""))</f>
        <v/>
      </c>
      <c r="G499" s="6" t="n"/>
      <c r="H499">
        <f>IF(OR(C499="",B499=""),"",IFERROR(INDEX(Papers!$K$2:$P$12,MATCH(C499,Papers!$A$2:$A$12,0),INDEX(Key!$D$2:$D$263,MATCH(C499*100+B499,Key!$G$2:$G$263,0))),""))</f>
        <v/>
      </c>
      <c r="I499" s="6" t="n"/>
      <c r="J499" s="6" t="n"/>
    </row>
    <row r="500">
      <c r="A500" s="6" t="n"/>
      <c r="B500" s="6" t="n"/>
      <c r="C500">
        <f>IF(A500="","",IFERROR(INDEX(Attempts!$D$2:$D$200,MATCH(A500,Attempts!$A$2:$A$200,0)),"?"))</f>
        <v/>
      </c>
      <c r="D500">
        <f>IF(OR(A500="",B500=""),"",IFERROR(INDEX(Attempts!$M$2:$AP$200,MATCH(A500,Attempts!$A$2:$A$200,0),B500),""))</f>
        <v/>
      </c>
      <c r="E500">
        <f>IF(OR(C500="",B500=""),"",IFERROR(INDEX(Key!$C$2:$C$263,MATCH(C500*100+B500,Key!$G$2:$G$263,0)),""))</f>
        <v/>
      </c>
      <c r="F500">
        <f>IF(OR(C500="",B500=""),"",IFERROR(INDEX(Key!$E$2:$E$263,MATCH(C500*100+B500,Key!$G$2:$G$263,0)),""))</f>
        <v/>
      </c>
      <c r="G500" s="6" t="n"/>
      <c r="H500">
        <f>IF(OR(C500="",B500=""),"",IFERROR(INDEX(Papers!$K$2:$P$12,MATCH(C500,Papers!$A$2:$A$12,0),INDEX(Key!$D$2:$D$263,MATCH(C500*100+B500,Key!$G$2:$G$263,0))),""))</f>
        <v/>
      </c>
      <c r="I500" s="6" t="n"/>
      <c r="J500" s="6" t="n"/>
    </row>
  </sheetData>
  <dataValidations count="1">
    <dataValidation sqref="G2:G500" showDropDown="0" showInputMessage="0" showErrorMessage="0" allowBlank="1" type="list">
      <formula1>"Conceptual misunderstanding,Calculation error,Terminology error,Careless mistake"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8" customWidth="1" min="7" max="7"/>
    <col width="11" customWidth="1" min="8" max="8"/>
    <col width="30" customWidth="1" min="9" max="9"/>
  </cols>
  <sheetData>
    <row r="1">
      <c r="A1" s="3" t="inlineStr">
        <is>
          <t>Original Attempt ID</t>
        </is>
      </c>
      <c r="B1" s="3" t="inlineStr">
        <is>
          <t>Retest Attempt ID</t>
        </is>
      </c>
      <c r="C1" s="3" t="inlineStr">
        <is>
          <t>Candidate</t>
        </is>
      </c>
      <c r="D1" s="3" t="inlineStr">
        <is>
          <t>Paper (orig)</t>
        </is>
      </c>
      <c r="E1" s="3" t="inlineStr">
        <is>
          <t>Original %</t>
        </is>
      </c>
      <c r="F1" s="3" t="inlineStr">
        <is>
          <t>Retest %</t>
        </is>
      </c>
      <c r="G1" s="3" t="inlineStr">
        <is>
          <t>Improvement (percentage points)</t>
        </is>
      </c>
      <c r="H1" s="3" t="inlineStr">
        <is>
          <t>Retest paper</t>
        </is>
      </c>
      <c r="I1" s="3" t="inlineStr">
        <is>
          <t>Note</t>
        </is>
      </c>
    </row>
    <row r="2">
      <c r="A2" s="6" t="n"/>
      <c r="B2" s="6" t="n"/>
      <c r="C2">
        <f>IF(A2="","",IFERROR(INDEX(Attempts!$B$2:$B$200,MATCH(A2,Attempts!$A$2:$A$200,0)),"?"))</f>
        <v/>
      </c>
      <c r="D2">
        <f>IF(A2="","",IFERROR(INDEX(Attempts!$D$2:$D$200,MATCH(A2,Attempts!$A$2:$A$200,0)),"?"))</f>
        <v/>
      </c>
      <c r="E2">
        <f>IF(A2="","",IFERROR(INDEX(Attempts!$L$2:$L$200,MATCH(A2,Attempts!$A$2:$A$200,0)),""))</f>
        <v/>
      </c>
      <c r="F2">
        <f>IF(B2="","",IFERROR(INDEX(Attempts!$L$2:$L$200,MATCH(B2,Attempts!$A$2:$A$200,0)),""))</f>
        <v/>
      </c>
      <c r="G2">
        <f>IF(OR(E2="",F2=""),"",F2-E2)</f>
        <v/>
      </c>
      <c r="H2">
        <f>IF(B2="","",IFERROR(INDEX(Attempts!$D$2:$D$200,MATCH(B2,Attempts!$A$2:$A$200,0)),"?"))</f>
        <v/>
      </c>
      <c r="I2" s="6" t="n"/>
    </row>
    <row r="3">
      <c r="A3" s="6" t="n"/>
      <c r="B3" s="6" t="n"/>
      <c r="C3">
        <f>IF(A3="","",IFERROR(INDEX(Attempts!$B$2:$B$200,MATCH(A3,Attempts!$A$2:$A$200,0)),"?"))</f>
        <v/>
      </c>
      <c r="D3">
        <f>IF(A3="","",IFERROR(INDEX(Attempts!$D$2:$D$200,MATCH(A3,Attempts!$A$2:$A$200,0)),"?"))</f>
        <v/>
      </c>
      <c r="E3">
        <f>IF(A3="","",IFERROR(INDEX(Attempts!$L$2:$L$200,MATCH(A3,Attempts!$A$2:$A$200,0)),""))</f>
        <v/>
      </c>
      <c r="F3">
        <f>IF(B3="","",IFERROR(INDEX(Attempts!$L$2:$L$200,MATCH(B3,Attempts!$A$2:$A$200,0)),""))</f>
        <v/>
      </c>
      <c r="G3">
        <f>IF(OR(E3="",F3=""),"",F3-E3)</f>
        <v/>
      </c>
      <c r="H3">
        <f>IF(B3="","",IFERROR(INDEX(Attempts!$D$2:$D$200,MATCH(B3,Attempts!$A$2:$A$200,0)),"?"))</f>
        <v/>
      </c>
      <c r="I3" s="6" t="n"/>
    </row>
    <row r="4">
      <c r="A4" s="6" t="n"/>
      <c r="B4" s="6" t="n"/>
      <c r="C4">
        <f>IF(A4="","",IFERROR(INDEX(Attempts!$B$2:$B$200,MATCH(A4,Attempts!$A$2:$A$200,0)),"?"))</f>
        <v/>
      </c>
      <c r="D4">
        <f>IF(A4="","",IFERROR(INDEX(Attempts!$D$2:$D$200,MATCH(A4,Attempts!$A$2:$A$200,0)),"?"))</f>
        <v/>
      </c>
      <c r="E4">
        <f>IF(A4="","",IFERROR(INDEX(Attempts!$L$2:$L$200,MATCH(A4,Attempts!$A$2:$A$200,0)),""))</f>
        <v/>
      </c>
      <c r="F4">
        <f>IF(B4="","",IFERROR(INDEX(Attempts!$L$2:$L$200,MATCH(B4,Attempts!$A$2:$A$200,0)),""))</f>
        <v/>
      </c>
      <c r="G4">
        <f>IF(OR(E4="",F4=""),"",F4-E4)</f>
        <v/>
      </c>
      <c r="H4">
        <f>IF(B4="","",IFERROR(INDEX(Attempts!$D$2:$D$200,MATCH(B4,Attempts!$A$2:$A$200,0)),"?"))</f>
        <v/>
      </c>
      <c r="I4" s="6" t="n"/>
    </row>
    <row r="5">
      <c r="A5" s="6" t="n"/>
      <c r="B5" s="6" t="n"/>
      <c r="C5">
        <f>IF(A5="","",IFERROR(INDEX(Attempts!$B$2:$B$200,MATCH(A5,Attempts!$A$2:$A$200,0)),"?"))</f>
        <v/>
      </c>
      <c r="D5">
        <f>IF(A5="","",IFERROR(INDEX(Attempts!$D$2:$D$200,MATCH(A5,Attempts!$A$2:$A$200,0)),"?"))</f>
        <v/>
      </c>
      <c r="E5">
        <f>IF(A5="","",IFERROR(INDEX(Attempts!$L$2:$L$200,MATCH(A5,Attempts!$A$2:$A$200,0)),""))</f>
        <v/>
      </c>
      <c r="F5">
        <f>IF(B5="","",IFERROR(INDEX(Attempts!$L$2:$L$200,MATCH(B5,Attempts!$A$2:$A$200,0)),""))</f>
        <v/>
      </c>
      <c r="G5">
        <f>IF(OR(E5="",F5=""),"",F5-E5)</f>
        <v/>
      </c>
      <c r="H5">
        <f>IF(B5="","",IFERROR(INDEX(Attempts!$D$2:$D$200,MATCH(B5,Attempts!$A$2:$A$200,0)),"?"))</f>
        <v/>
      </c>
      <c r="I5" s="6" t="n"/>
    </row>
    <row r="6">
      <c r="A6" s="6" t="n"/>
      <c r="B6" s="6" t="n"/>
      <c r="C6">
        <f>IF(A6="","",IFERROR(INDEX(Attempts!$B$2:$B$200,MATCH(A6,Attempts!$A$2:$A$200,0)),"?"))</f>
        <v/>
      </c>
      <c r="D6">
        <f>IF(A6="","",IFERROR(INDEX(Attempts!$D$2:$D$200,MATCH(A6,Attempts!$A$2:$A$200,0)),"?"))</f>
        <v/>
      </c>
      <c r="E6">
        <f>IF(A6="","",IFERROR(INDEX(Attempts!$L$2:$L$200,MATCH(A6,Attempts!$A$2:$A$200,0)),""))</f>
        <v/>
      </c>
      <c r="F6">
        <f>IF(B6="","",IFERROR(INDEX(Attempts!$L$2:$L$200,MATCH(B6,Attempts!$A$2:$A$200,0)),""))</f>
        <v/>
      </c>
      <c r="G6">
        <f>IF(OR(E6="",F6=""),"",F6-E6)</f>
        <v/>
      </c>
      <c r="H6">
        <f>IF(B6="","",IFERROR(INDEX(Attempts!$D$2:$D$200,MATCH(B6,Attempts!$A$2:$A$200,0)),"?"))</f>
        <v/>
      </c>
      <c r="I6" s="6" t="n"/>
    </row>
    <row r="7">
      <c r="A7" s="6" t="n"/>
      <c r="B7" s="6" t="n"/>
      <c r="C7">
        <f>IF(A7="","",IFERROR(INDEX(Attempts!$B$2:$B$200,MATCH(A7,Attempts!$A$2:$A$200,0)),"?"))</f>
        <v/>
      </c>
      <c r="D7">
        <f>IF(A7="","",IFERROR(INDEX(Attempts!$D$2:$D$200,MATCH(A7,Attempts!$A$2:$A$200,0)),"?"))</f>
        <v/>
      </c>
      <c r="E7">
        <f>IF(A7="","",IFERROR(INDEX(Attempts!$L$2:$L$200,MATCH(A7,Attempts!$A$2:$A$200,0)),""))</f>
        <v/>
      </c>
      <c r="F7">
        <f>IF(B7="","",IFERROR(INDEX(Attempts!$L$2:$L$200,MATCH(B7,Attempts!$A$2:$A$200,0)),""))</f>
        <v/>
      </c>
      <c r="G7">
        <f>IF(OR(E7="",F7=""),"",F7-E7)</f>
        <v/>
      </c>
      <c r="H7">
        <f>IF(B7="","",IFERROR(INDEX(Attempts!$D$2:$D$200,MATCH(B7,Attempts!$A$2:$A$200,0)),"?"))</f>
        <v/>
      </c>
      <c r="I7" s="6" t="n"/>
    </row>
    <row r="8">
      <c r="A8" s="6" t="n"/>
      <c r="B8" s="6" t="n"/>
      <c r="C8">
        <f>IF(A8="","",IFERROR(INDEX(Attempts!$B$2:$B$200,MATCH(A8,Attempts!$A$2:$A$200,0)),"?"))</f>
        <v/>
      </c>
      <c r="D8">
        <f>IF(A8="","",IFERROR(INDEX(Attempts!$D$2:$D$200,MATCH(A8,Attempts!$A$2:$A$200,0)),"?"))</f>
        <v/>
      </c>
      <c r="E8">
        <f>IF(A8="","",IFERROR(INDEX(Attempts!$L$2:$L$200,MATCH(A8,Attempts!$A$2:$A$200,0)),""))</f>
        <v/>
      </c>
      <c r="F8">
        <f>IF(B8="","",IFERROR(INDEX(Attempts!$L$2:$L$200,MATCH(B8,Attempts!$A$2:$A$200,0)),""))</f>
        <v/>
      </c>
      <c r="G8">
        <f>IF(OR(E8="",F8=""),"",F8-E8)</f>
        <v/>
      </c>
      <c r="H8">
        <f>IF(B8="","",IFERROR(INDEX(Attempts!$D$2:$D$200,MATCH(B8,Attempts!$A$2:$A$200,0)),"?"))</f>
        <v/>
      </c>
      <c r="I8" s="6" t="n"/>
    </row>
    <row r="9">
      <c r="A9" s="6" t="n"/>
      <c r="B9" s="6" t="n"/>
      <c r="C9">
        <f>IF(A9="","",IFERROR(INDEX(Attempts!$B$2:$B$200,MATCH(A9,Attempts!$A$2:$A$200,0)),"?"))</f>
        <v/>
      </c>
      <c r="D9">
        <f>IF(A9="","",IFERROR(INDEX(Attempts!$D$2:$D$200,MATCH(A9,Attempts!$A$2:$A$200,0)),"?"))</f>
        <v/>
      </c>
      <c r="E9">
        <f>IF(A9="","",IFERROR(INDEX(Attempts!$L$2:$L$200,MATCH(A9,Attempts!$A$2:$A$200,0)),""))</f>
        <v/>
      </c>
      <c r="F9">
        <f>IF(B9="","",IFERROR(INDEX(Attempts!$L$2:$L$200,MATCH(B9,Attempts!$A$2:$A$200,0)),""))</f>
        <v/>
      </c>
      <c r="G9">
        <f>IF(OR(E9="",F9=""),"",F9-E9)</f>
        <v/>
      </c>
      <c r="H9">
        <f>IF(B9="","",IFERROR(INDEX(Attempts!$D$2:$D$200,MATCH(B9,Attempts!$A$2:$A$200,0)),"?"))</f>
        <v/>
      </c>
      <c r="I9" s="6" t="n"/>
    </row>
    <row r="10">
      <c r="A10" s="6" t="n"/>
      <c r="B10" s="6" t="n"/>
      <c r="C10">
        <f>IF(A10="","",IFERROR(INDEX(Attempts!$B$2:$B$200,MATCH(A10,Attempts!$A$2:$A$200,0)),"?"))</f>
        <v/>
      </c>
      <c r="D10">
        <f>IF(A10="","",IFERROR(INDEX(Attempts!$D$2:$D$200,MATCH(A10,Attempts!$A$2:$A$200,0)),"?"))</f>
        <v/>
      </c>
      <c r="E10">
        <f>IF(A10="","",IFERROR(INDEX(Attempts!$L$2:$L$200,MATCH(A10,Attempts!$A$2:$A$200,0)),""))</f>
        <v/>
      </c>
      <c r="F10">
        <f>IF(B10="","",IFERROR(INDEX(Attempts!$L$2:$L$200,MATCH(B10,Attempts!$A$2:$A$200,0)),""))</f>
        <v/>
      </c>
      <c r="G10">
        <f>IF(OR(E10="",F10=""),"",F10-E10)</f>
        <v/>
      </c>
      <c r="H10">
        <f>IF(B10="","",IFERROR(INDEX(Attempts!$D$2:$D$200,MATCH(B10,Attempts!$A$2:$A$200,0)),"?"))</f>
        <v/>
      </c>
      <c r="I10" s="6" t="n"/>
    </row>
    <row r="11">
      <c r="A11" s="6" t="n"/>
      <c r="B11" s="6" t="n"/>
      <c r="C11">
        <f>IF(A11="","",IFERROR(INDEX(Attempts!$B$2:$B$200,MATCH(A11,Attempts!$A$2:$A$200,0)),"?"))</f>
        <v/>
      </c>
      <c r="D11">
        <f>IF(A11="","",IFERROR(INDEX(Attempts!$D$2:$D$200,MATCH(A11,Attempts!$A$2:$A$200,0)),"?"))</f>
        <v/>
      </c>
      <c r="E11">
        <f>IF(A11="","",IFERROR(INDEX(Attempts!$L$2:$L$200,MATCH(A11,Attempts!$A$2:$A$200,0)),""))</f>
        <v/>
      </c>
      <c r="F11">
        <f>IF(B11="","",IFERROR(INDEX(Attempts!$L$2:$L$200,MATCH(B11,Attempts!$A$2:$A$200,0)),""))</f>
        <v/>
      </c>
      <c r="G11">
        <f>IF(OR(E11="",F11=""),"",F11-E11)</f>
        <v/>
      </c>
      <c r="H11">
        <f>IF(B11="","",IFERROR(INDEX(Attempts!$D$2:$D$200,MATCH(B11,Attempts!$A$2:$A$200,0)),"?"))</f>
        <v/>
      </c>
      <c r="I11" s="6" t="n"/>
    </row>
    <row r="12">
      <c r="A12" s="6" t="n"/>
      <c r="B12" s="6" t="n"/>
      <c r="C12">
        <f>IF(A12="","",IFERROR(INDEX(Attempts!$B$2:$B$200,MATCH(A12,Attempts!$A$2:$A$200,0)),"?"))</f>
        <v/>
      </c>
      <c r="D12">
        <f>IF(A12="","",IFERROR(INDEX(Attempts!$D$2:$D$200,MATCH(A12,Attempts!$A$2:$A$200,0)),"?"))</f>
        <v/>
      </c>
      <c r="E12">
        <f>IF(A12="","",IFERROR(INDEX(Attempts!$L$2:$L$200,MATCH(A12,Attempts!$A$2:$A$200,0)),""))</f>
        <v/>
      </c>
      <c r="F12">
        <f>IF(B12="","",IFERROR(INDEX(Attempts!$L$2:$L$200,MATCH(B12,Attempts!$A$2:$A$200,0)),""))</f>
        <v/>
      </c>
      <c r="G12">
        <f>IF(OR(E12="",F12=""),"",F12-E12)</f>
        <v/>
      </c>
      <c r="H12">
        <f>IF(B12="","",IFERROR(INDEX(Attempts!$D$2:$D$200,MATCH(B12,Attempts!$A$2:$A$200,0)),"?"))</f>
        <v/>
      </c>
      <c r="I12" s="6" t="n"/>
    </row>
    <row r="13">
      <c r="A13" s="6" t="n"/>
      <c r="B13" s="6" t="n"/>
      <c r="C13">
        <f>IF(A13="","",IFERROR(INDEX(Attempts!$B$2:$B$200,MATCH(A13,Attempts!$A$2:$A$200,0)),"?"))</f>
        <v/>
      </c>
      <c r="D13">
        <f>IF(A13="","",IFERROR(INDEX(Attempts!$D$2:$D$200,MATCH(A13,Attempts!$A$2:$A$200,0)),"?"))</f>
        <v/>
      </c>
      <c r="E13">
        <f>IF(A13="","",IFERROR(INDEX(Attempts!$L$2:$L$200,MATCH(A13,Attempts!$A$2:$A$200,0)),""))</f>
        <v/>
      </c>
      <c r="F13">
        <f>IF(B13="","",IFERROR(INDEX(Attempts!$L$2:$L$200,MATCH(B13,Attempts!$A$2:$A$200,0)),""))</f>
        <v/>
      </c>
      <c r="G13">
        <f>IF(OR(E13="",F13=""),"",F13-E13)</f>
        <v/>
      </c>
      <c r="H13">
        <f>IF(B13="","",IFERROR(INDEX(Attempts!$D$2:$D$200,MATCH(B13,Attempts!$A$2:$A$200,0)),"?"))</f>
        <v/>
      </c>
      <c r="I13" s="6" t="n"/>
    </row>
    <row r="14">
      <c r="A14" s="6" t="n"/>
      <c r="B14" s="6" t="n"/>
      <c r="C14">
        <f>IF(A14="","",IFERROR(INDEX(Attempts!$B$2:$B$200,MATCH(A14,Attempts!$A$2:$A$200,0)),"?"))</f>
        <v/>
      </c>
      <c r="D14">
        <f>IF(A14="","",IFERROR(INDEX(Attempts!$D$2:$D$200,MATCH(A14,Attempts!$A$2:$A$200,0)),"?"))</f>
        <v/>
      </c>
      <c r="E14">
        <f>IF(A14="","",IFERROR(INDEX(Attempts!$L$2:$L$200,MATCH(A14,Attempts!$A$2:$A$200,0)),""))</f>
        <v/>
      </c>
      <c r="F14">
        <f>IF(B14="","",IFERROR(INDEX(Attempts!$L$2:$L$200,MATCH(B14,Attempts!$A$2:$A$200,0)),""))</f>
        <v/>
      </c>
      <c r="G14">
        <f>IF(OR(E14="",F14=""),"",F14-E14)</f>
        <v/>
      </c>
      <c r="H14">
        <f>IF(B14="","",IFERROR(INDEX(Attempts!$D$2:$D$200,MATCH(B14,Attempts!$A$2:$A$200,0)),"?"))</f>
        <v/>
      </c>
      <c r="I14" s="6" t="n"/>
    </row>
    <row r="15">
      <c r="A15" s="6" t="n"/>
      <c r="B15" s="6" t="n"/>
      <c r="C15">
        <f>IF(A15="","",IFERROR(INDEX(Attempts!$B$2:$B$200,MATCH(A15,Attempts!$A$2:$A$200,0)),"?"))</f>
        <v/>
      </c>
      <c r="D15">
        <f>IF(A15="","",IFERROR(INDEX(Attempts!$D$2:$D$200,MATCH(A15,Attempts!$A$2:$A$200,0)),"?"))</f>
        <v/>
      </c>
      <c r="E15">
        <f>IF(A15="","",IFERROR(INDEX(Attempts!$L$2:$L$200,MATCH(A15,Attempts!$A$2:$A$200,0)),""))</f>
        <v/>
      </c>
      <c r="F15">
        <f>IF(B15="","",IFERROR(INDEX(Attempts!$L$2:$L$200,MATCH(B15,Attempts!$A$2:$A$200,0)),""))</f>
        <v/>
      </c>
      <c r="G15">
        <f>IF(OR(E15="",F15=""),"",F15-E15)</f>
        <v/>
      </c>
      <c r="H15">
        <f>IF(B15="","",IFERROR(INDEX(Attempts!$D$2:$D$200,MATCH(B15,Attempts!$A$2:$A$200,0)),"?"))</f>
        <v/>
      </c>
      <c r="I15" s="6" t="n"/>
    </row>
    <row r="16">
      <c r="A16" s="6" t="n"/>
      <c r="B16" s="6" t="n"/>
      <c r="C16">
        <f>IF(A16="","",IFERROR(INDEX(Attempts!$B$2:$B$200,MATCH(A16,Attempts!$A$2:$A$200,0)),"?"))</f>
        <v/>
      </c>
      <c r="D16">
        <f>IF(A16="","",IFERROR(INDEX(Attempts!$D$2:$D$200,MATCH(A16,Attempts!$A$2:$A$200,0)),"?"))</f>
        <v/>
      </c>
      <c r="E16">
        <f>IF(A16="","",IFERROR(INDEX(Attempts!$L$2:$L$200,MATCH(A16,Attempts!$A$2:$A$200,0)),""))</f>
        <v/>
      </c>
      <c r="F16">
        <f>IF(B16="","",IFERROR(INDEX(Attempts!$L$2:$L$200,MATCH(B16,Attempts!$A$2:$A$200,0)),""))</f>
        <v/>
      </c>
      <c r="G16">
        <f>IF(OR(E16="",F16=""),"",F16-E16)</f>
        <v/>
      </c>
      <c r="H16">
        <f>IF(B16="","",IFERROR(INDEX(Attempts!$D$2:$D$200,MATCH(B16,Attempts!$A$2:$A$200,0)),"?"))</f>
        <v/>
      </c>
      <c r="I16" s="6" t="n"/>
    </row>
    <row r="17">
      <c r="A17" s="6" t="n"/>
      <c r="B17" s="6" t="n"/>
      <c r="C17">
        <f>IF(A17="","",IFERROR(INDEX(Attempts!$B$2:$B$200,MATCH(A17,Attempts!$A$2:$A$200,0)),"?"))</f>
        <v/>
      </c>
      <c r="D17">
        <f>IF(A17="","",IFERROR(INDEX(Attempts!$D$2:$D$200,MATCH(A17,Attempts!$A$2:$A$200,0)),"?"))</f>
        <v/>
      </c>
      <c r="E17">
        <f>IF(A17="","",IFERROR(INDEX(Attempts!$L$2:$L$200,MATCH(A17,Attempts!$A$2:$A$200,0)),""))</f>
        <v/>
      </c>
      <c r="F17">
        <f>IF(B17="","",IFERROR(INDEX(Attempts!$L$2:$L$200,MATCH(B17,Attempts!$A$2:$A$200,0)),""))</f>
        <v/>
      </c>
      <c r="G17">
        <f>IF(OR(E17="",F17=""),"",F17-E17)</f>
        <v/>
      </c>
      <c r="H17">
        <f>IF(B17="","",IFERROR(INDEX(Attempts!$D$2:$D$200,MATCH(B17,Attempts!$A$2:$A$200,0)),"?"))</f>
        <v/>
      </c>
      <c r="I17" s="6" t="n"/>
    </row>
    <row r="18">
      <c r="A18" s="6" t="n"/>
      <c r="B18" s="6" t="n"/>
      <c r="C18">
        <f>IF(A18="","",IFERROR(INDEX(Attempts!$B$2:$B$200,MATCH(A18,Attempts!$A$2:$A$200,0)),"?"))</f>
        <v/>
      </c>
      <c r="D18">
        <f>IF(A18="","",IFERROR(INDEX(Attempts!$D$2:$D$200,MATCH(A18,Attempts!$A$2:$A$200,0)),"?"))</f>
        <v/>
      </c>
      <c r="E18">
        <f>IF(A18="","",IFERROR(INDEX(Attempts!$L$2:$L$200,MATCH(A18,Attempts!$A$2:$A$200,0)),""))</f>
        <v/>
      </c>
      <c r="F18">
        <f>IF(B18="","",IFERROR(INDEX(Attempts!$L$2:$L$200,MATCH(B18,Attempts!$A$2:$A$200,0)),""))</f>
        <v/>
      </c>
      <c r="G18">
        <f>IF(OR(E18="",F18=""),"",F18-E18)</f>
        <v/>
      </c>
      <c r="H18">
        <f>IF(B18="","",IFERROR(INDEX(Attempts!$D$2:$D$200,MATCH(B18,Attempts!$A$2:$A$200,0)),"?"))</f>
        <v/>
      </c>
      <c r="I18" s="6" t="n"/>
    </row>
    <row r="19">
      <c r="A19" s="6" t="n"/>
      <c r="B19" s="6" t="n"/>
      <c r="C19">
        <f>IF(A19="","",IFERROR(INDEX(Attempts!$B$2:$B$200,MATCH(A19,Attempts!$A$2:$A$200,0)),"?"))</f>
        <v/>
      </c>
      <c r="D19">
        <f>IF(A19="","",IFERROR(INDEX(Attempts!$D$2:$D$200,MATCH(A19,Attempts!$A$2:$A$200,0)),"?"))</f>
        <v/>
      </c>
      <c r="E19">
        <f>IF(A19="","",IFERROR(INDEX(Attempts!$L$2:$L$200,MATCH(A19,Attempts!$A$2:$A$200,0)),""))</f>
        <v/>
      </c>
      <c r="F19">
        <f>IF(B19="","",IFERROR(INDEX(Attempts!$L$2:$L$200,MATCH(B19,Attempts!$A$2:$A$200,0)),""))</f>
        <v/>
      </c>
      <c r="G19">
        <f>IF(OR(E19="",F19=""),"",F19-E19)</f>
        <v/>
      </c>
      <c r="H19">
        <f>IF(B19="","",IFERROR(INDEX(Attempts!$D$2:$D$200,MATCH(B19,Attempts!$A$2:$A$200,0)),"?"))</f>
        <v/>
      </c>
      <c r="I19" s="6" t="n"/>
    </row>
    <row r="20">
      <c r="A20" s="6" t="n"/>
      <c r="B20" s="6" t="n"/>
      <c r="C20">
        <f>IF(A20="","",IFERROR(INDEX(Attempts!$B$2:$B$200,MATCH(A20,Attempts!$A$2:$A$200,0)),"?"))</f>
        <v/>
      </c>
      <c r="D20">
        <f>IF(A20="","",IFERROR(INDEX(Attempts!$D$2:$D$200,MATCH(A20,Attempts!$A$2:$A$200,0)),"?"))</f>
        <v/>
      </c>
      <c r="E20">
        <f>IF(A20="","",IFERROR(INDEX(Attempts!$L$2:$L$200,MATCH(A20,Attempts!$A$2:$A$200,0)),""))</f>
        <v/>
      </c>
      <c r="F20">
        <f>IF(B20="","",IFERROR(INDEX(Attempts!$L$2:$L$200,MATCH(B20,Attempts!$A$2:$A$200,0)),""))</f>
        <v/>
      </c>
      <c r="G20">
        <f>IF(OR(E20="",F20=""),"",F20-E20)</f>
        <v/>
      </c>
      <c r="H20">
        <f>IF(B20="","",IFERROR(INDEX(Attempts!$D$2:$D$200,MATCH(B20,Attempts!$A$2:$A$200,0)),"?"))</f>
        <v/>
      </c>
      <c r="I20" s="6" t="n"/>
    </row>
    <row r="21">
      <c r="A21" s="6" t="n"/>
      <c r="B21" s="6" t="n"/>
      <c r="C21">
        <f>IF(A21="","",IFERROR(INDEX(Attempts!$B$2:$B$200,MATCH(A21,Attempts!$A$2:$A$200,0)),"?"))</f>
        <v/>
      </c>
      <c r="D21">
        <f>IF(A21="","",IFERROR(INDEX(Attempts!$D$2:$D$200,MATCH(A21,Attempts!$A$2:$A$200,0)),"?"))</f>
        <v/>
      </c>
      <c r="E21">
        <f>IF(A21="","",IFERROR(INDEX(Attempts!$L$2:$L$200,MATCH(A21,Attempts!$A$2:$A$200,0)),""))</f>
        <v/>
      </c>
      <c r="F21">
        <f>IF(B21="","",IFERROR(INDEX(Attempts!$L$2:$L$200,MATCH(B21,Attempts!$A$2:$A$200,0)),""))</f>
        <v/>
      </c>
      <c r="G21">
        <f>IF(OR(E21="",F21=""),"",F21-E21)</f>
        <v/>
      </c>
      <c r="H21">
        <f>IF(B21="","",IFERROR(INDEX(Attempts!$D$2:$D$200,MATCH(B21,Attempts!$A$2:$A$200,0)),"?"))</f>
        <v/>
      </c>
      <c r="I21" s="6" t="n"/>
    </row>
    <row r="22">
      <c r="A22" s="6" t="n"/>
      <c r="B22" s="6" t="n"/>
      <c r="C22">
        <f>IF(A22="","",IFERROR(INDEX(Attempts!$B$2:$B$200,MATCH(A22,Attempts!$A$2:$A$200,0)),"?"))</f>
        <v/>
      </c>
      <c r="D22">
        <f>IF(A22="","",IFERROR(INDEX(Attempts!$D$2:$D$200,MATCH(A22,Attempts!$A$2:$A$200,0)),"?"))</f>
        <v/>
      </c>
      <c r="E22">
        <f>IF(A22="","",IFERROR(INDEX(Attempts!$L$2:$L$200,MATCH(A22,Attempts!$A$2:$A$200,0)),""))</f>
        <v/>
      </c>
      <c r="F22">
        <f>IF(B22="","",IFERROR(INDEX(Attempts!$L$2:$L$200,MATCH(B22,Attempts!$A$2:$A$200,0)),""))</f>
        <v/>
      </c>
      <c r="G22">
        <f>IF(OR(E22="",F22=""),"",F22-E22)</f>
        <v/>
      </c>
      <c r="H22">
        <f>IF(B22="","",IFERROR(INDEX(Attempts!$D$2:$D$200,MATCH(B22,Attempts!$A$2:$A$200,0)),"?"))</f>
        <v/>
      </c>
      <c r="I22" s="6" t="n"/>
    </row>
    <row r="23">
      <c r="A23" s="6" t="n"/>
      <c r="B23" s="6" t="n"/>
      <c r="C23">
        <f>IF(A23="","",IFERROR(INDEX(Attempts!$B$2:$B$200,MATCH(A23,Attempts!$A$2:$A$200,0)),"?"))</f>
        <v/>
      </c>
      <c r="D23">
        <f>IF(A23="","",IFERROR(INDEX(Attempts!$D$2:$D$200,MATCH(A23,Attempts!$A$2:$A$200,0)),"?"))</f>
        <v/>
      </c>
      <c r="E23">
        <f>IF(A23="","",IFERROR(INDEX(Attempts!$L$2:$L$200,MATCH(A23,Attempts!$A$2:$A$200,0)),""))</f>
        <v/>
      </c>
      <c r="F23">
        <f>IF(B23="","",IFERROR(INDEX(Attempts!$L$2:$L$200,MATCH(B23,Attempts!$A$2:$A$200,0)),""))</f>
        <v/>
      </c>
      <c r="G23">
        <f>IF(OR(E23="",F23=""),"",F23-E23)</f>
        <v/>
      </c>
      <c r="H23">
        <f>IF(B23="","",IFERROR(INDEX(Attempts!$D$2:$D$200,MATCH(B23,Attempts!$A$2:$A$200,0)),"?"))</f>
        <v/>
      </c>
      <c r="I23" s="6" t="n"/>
    </row>
    <row r="24">
      <c r="A24" s="6" t="n"/>
      <c r="B24" s="6" t="n"/>
      <c r="C24">
        <f>IF(A24="","",IFERROR(INDEX(Attempts!$B$2:$B$200,MATCH(A24,Attempts!$A$2:$A$200,0)),"?"))</f>
        <v/>
      </c>
      <c r="D24">
        <f>IF(A24="","",IFERROR(INDEX(Attempts!$D$2:$D$200,MATCH(A24,Attempts!$A$2:$A$200,0)),"?"))</f>
        <v/>
      </c>
      <c r="E24">
        <f>IF(A24="","",IFERROR(INDEX(Attempts!$L$2:$L$200,MATCH(A24,Attempts!$A$2:$A$200,0)),""))</f>
        <v/>
      </c>
      <c r="F24">
        <f>IF(B24="","",IFERROR(INDEX(Attempts!$L$2:$L$200,MATCH(B24,Attempts!$A$2:$A$200,0)),""))</f>
        <v/>
      </c>
      <c r="G24">
        <f>IF(OR(E24="",F24=""),"",F24-E24)</f>
        <v/>
      </c>
      <c r="H24">
        <f>IF(B24="","",IFERROR(INDEX(Attempts!$D$2:$D$200,MATCH(B24,Attempts!$A$2:$A$200,0)),"?"))</f>
        <v/>
      </c>
      <c r="I24" s="6" t="n"/>
    </row>
    <row r="25">
      <c r="A25" s="6" t="n"/>
      <c r="B25" s="6" t="n"/>
      <c r="C25">
        <f>IF(A25="","",IFERROR(INDEX(Attempts!$B$2:$B$200,MATCH(A25,Attempts!$A$2:$A$200,0)),"?"))</f>
        <v/>
      </c>
      <c r="D25">
        <f>IF(A25="","",IFERROR(INDEX(Attempts!$D$2:$D$200,MATCH(A25,Attempts!$A$2:$A$200,0)),"?"))</f>
        <v/>
      </c>
      <c r="E25">
        <f>IF(A25="","",IFERROR(INDEX(Attempts!$L$2:$L$200,MATCH(A25,Attempts!$A$2:$A$200,0)),""))</f>
        <v/>
      </c>
      <c r="F25">
        <f>IF(B25="","",IFERROR(INDEX(Attempts!$L$2:$L$200,MATCH(B25,Attempts!$A$2:$A$200,0)),""))</f>
        <v/>
      </c>
      <c r="G25">
        <f>IF(OR(E25="",F25=""),"",F25-E25)</f>
        <v/>
      </c>
      <c r="H25">
        <f>IF(B25="","",IFERROR(INDEX(Attempts!$D$2:$D$200,MATCH(B25,Attempts!$A$2:$A$200,0)),"?"))</f>
        <v/>
      </c>
      <c r="I25" s="6" t="n"/>
    </row>
    <row r="26">
      <c r="A26" s="6" t="n"/>
      <c r="B26" s="6" t="n"/>
      <c r="C26">
        <f>IF(A26="","",IFERROR(INDEX(Attempts!$B$2:$B$200,MATCH(A26,Attempts!$A$2:$A$200,0)),"?"))</f>
        <v/>
      </c>
      <c r="D26">
        <f>IF(A26="","",IFERROR(INDEX(Attempts!$D$2:$D$200,MATCH(A26,Attempts!$A$2:$A$200,0)),"?"))</f>
        <v/>
      </c>
      <c r="E26">
        <f>IF(A26="","",IFERROR(INDEX(Attempts!$L$2:$L$200,MATCH(A26,Attempts!$A$2:$A$200,0)),""))</f>
        <v/>
      </c>
      <c r="F26">
        <f>IF(B26="","",IFERROR(INDEX(Attempts!$L$2:$L$200,MATCH(B26,Attempts!$A$2:$A$200,0)),""))</f>
        <v/>
      </c>
      <c r="G26">
        <f>IF(OR(E26="",F26=""),"",F26-E26)</f>
        <v/>
      </c>
      <c r="H26">
        <f>IF(B26="","",IFERROR(INDEX(Attempts!$D$2:$D$200,MATCH(B26,Attempts!$A$2:$A$200,0)),"?"))</f>
        <v/>
      </c>
      <c r="I26" s="6" t="n"/>
    </row>
    <row r="27">
      <c r="A27" s="6" t="n"/>
      <c r="B27" s="6" t="n"/>
      <c r="C27">
        <f>IF(A27="","",IFERROR(INDEX(Attempts!$B$2:$B$200,MATCH(A27,Attempts!$A$2:$A$200,0)),"?"))</f>
        <v/>
      </c>
      <c r="D27">
        <f>IF(A27="","",IFERROR(INDEX(Attempts!$D$2:$D$200,MATCH(A27,Attempts!$A$2:$A$200,0)),"?"))</f>
        <v/>
      </c>
      <c r="E27">
        <f>IF(A27="","",IFERROR(INDEX(Attempts!$L$2:$L$200,MATCH(A27,Attempts!$A$2:$A$200,0)),""))</f>
        <v/>
      </c>
      <c r="F27">
        <f>IF(B27="","",IFERROR(INDEX(Attempts!$L$2:$L$200,MATCH(B27,Attempts!$A$2:$A$200,0)),""))</f>
        <v/>
      </c>
      <c r="G27">
        <f>IF(OR(E27="",F27=""),"",F27-E27)</f>
        <v/>
      </c>
      <c r="H27">
        <f>IF(B27="","",IFERROR(INDEX(Attempts!$D$2:$D$200,MATCH(B27,Attempts!$A$2:$A$200,0)),"?"))</f>
        <v/>
      </c>
      <c r="I27" s="6" t="n"/>
    </row>
    <row r="28">
      <c r="A28" s="6" t="n"/>
      <c r="B28" s="6" t="n"/>
      <c r="C28">
        <f>IF(A28="","",IFERROR(INDEX(Attempts!$B$2:$B$200,MATCH(A28,Attempts!$A$2:$A$200,0)),"?"))</f>
        <v/>
      </c>
      <c r="D28">
        <f>IF(A28="","",IFERROR(INDEX(Attempts!$D$2:$D$200,MATCH(A28,Attempts!$A$2:$A$200,0)),"?"))</f>
        <v/>
      </c>
      <c r="E28">
        <f>IF(A28="","",IFERROR(INDEX(Attempts!$L$2:$L$200,MATCH(A28,Attempts!$A$2:$A$200,0)),""))</f>
        <v/>
      </c>
      <c r="F28">
        <f>IF(B28="","",IFERROR(INDEX(Attempts!$L$2:$L$200,MATCH(B28,Attempts!$A$2:$A$200,0)),""))</f>
        <v/>
      </c>
      <c r="G28">
        <f>IF(OR(E28="",F28=""),"",F28-E28)</f>
        <v/>
      </c>
      <c r="H28">
        <f>IF(B28="","",IFERROR(INDEX(Attempts!$D$2:$D$200,MATCH(B28,Attempts!$A$2:$A$200,0)),"?"))</f>
        <v/>
      </c>
      <c r="I28" s="6" t="n"/>
    </row>
    <row r="29">
      <c r="A29" s="6" t="n"/>
      <c r="B29" s="6" t="n"/>
      <c r="C29">
        <f>IF(A29="","",IFERROR(INDEX(Attempts!$B$2:$B$200,MATCH(A29,Attempts!$A$2:$A$200,0)),"?"))</f>
        <v/>
      </c>
      <c r="D29">
        <f>IF(A29="","",IFERROR(INDEX(Attempts!$D$2:$D$200,MATCH(A29,Attempts!$A$2:$A$200,0)),"?"))</f>
        <v/>
      </c>
      <c r="E29">
        <f>IF(A29="","",IFERROR(INDEX(Attempts!$L$2:$L$200,MATCH(A29,Attempts!$A$2:$A$200,0)),""))</f>
        <v/>
      </c>
      <c r="F29">
        <f>IF(B29="","",IFERROR(INDEX(Attempts!$L$2:$L$200,MATCH(B29,Attempts!$A$2:$A$200,0)),""))</f>
        <v/>
      </c>
      <c r="G29">
        <f>IF(OR(E29="",F29=""),"",F29-E29)</f>
        <v/>
      </c>
      <c r="H29">
        <f>IF(B29="","",IFERROR(INDEX(Attempts!$D$2:$D$200,MATCH(B29,Attempts!$A$2:$A$200,0)),"?"))</f>
        <v/>
      </c>
      <c r="I29" s="6" t="n"/>
    </row>
    <row r="30">
      <c r="A30" s="6" t="n"/>
      <c r="B30" s="6" t="n"/>
      <c r="C30">
        <f>IF(A30="","",IFERROR(INDEX(Attempts!$B$2:$B$200,MATCH(A30,Attempts!$A$2:$A$200,0)),"?"))</f>
        <v/>
      </c>
      <c r="D30">
        <f>IF(A30="","",IFERROR(INDEX(Attempts!$D$2:$D$200,MATCH(A30,Attempts!$A$2:$A$200,0)),"?"))</f>
        <v/>
      </c>
      <c r="E30">
        <f>IF(A30="","",IFERROR(INDEX(Attempts!$L$2:$L$200,MATCH(A30,Attempts!$A$2:$A$200,0)),""))</f>
        <v/>
      </c>
      <c r="F30">
        <f>IF(B30="","",IFERROR(INDEX(Attempts!$L$2:$L$200,MATCH(B30,Attempts!$A$2:$A$200,0)),""))</f>
        <v/>
      </c>
      <c r="G30">
        <f>IF(OR(E30="",F30=""),"",F30-E30)</f>
        <v/>
      </c>
      <c r="H30">
        <f>IF(B30="","",IFERROR(INDEX(Attempts!$D$2:$D$200,MATCH(B30,Attempts!$A$2:$A$200,0)),"?"))</f>
        <v/>
      </c>
      <c r="I30" s="6" t="n"/>
    </row>
    <row r="31">
      <c r="A31" s="6" t="n"/>
      <c r="B31" s="6" t="n"/>
      <c r="C31">
        <f>IF(A31="","",IFERROR(INDEX(Attempts!$B$2:$B$200,MATCH(A31,Attempts!$A$2:$A$200,0)),"?"))</f>
        <v/>
      </c>
      <c r="D31">
        <f>IF(A31="","",IFERROR(INDEX(Attempts!$D$2:$D$200,MATCH(A31,Attempts!$A$2:$A$200,0)),"?"))</f>
        <v/>
      </c>
      <c r="E31">
        <f>IF(A31="","",IFERROR(INDEX(Attempts!$L$2:$L$200,MATCH(A31,Attempts!$A$2:$A$200,0)),""))</f>
        <v/>
      </c>
      <c r="F31">
        <f>IF(B31="","",IFERROR(INDEX(Attempts!$L$2:$L$200,MATCH(B31,Attempts!$A$2:$A$200,0)),""))</f>
        <v/>
      </c>
      <c r="G31">
        <f>IF(OR(E31="",F31=""),"",F31-E31)</f>
        <v/>
      </c>
      <c r="H31">
        <f>IF(B31="","",IFERROR(INDEX(Attempts!$D$2:$D$200,MATCH(B31,Attempts!$A$2:$A$200,0)),"?"))</f>
        <v/>
      </c>
      <c r="I31" s="6" t="n"/>
    </row>
    <row r="32">
      <c r="A32" s="6" t="n"/>
      <c r="B32" s="6" t="n"/>
      <c r="C32">
        <f>IF(A32="","",IFERROR(INDEX(Attempts!$B$2:$B$200,MATCH(A32,Attempts!$A$2:$A$200,0)),"?"))</f>
        <v/>
      </c>
      <c r="D32">
        <f>IF(A32="","",IFERROR(INDEX(Attempts!$D$2:$D$200,MATCH(A32,Attempts!$A$2:$A$200,0)),"?"))</f>
        <v/>
      </c>
      <c r="E32">
        <f>IF(A32="","",IFERROR(INDEX(Attempts!$L$2:$L$200,MATCH(A32,Attempts!$A$2:$A$200,0)),""))</f>
        <v/>
      </c>
      <c r="F32">
        <f>IF(B32="","",IFERROR(INDEX(Attempts!$L$2:$L$200,MATCH(B32,Attempts!$A$2:$A$200,0)),""))</f>
        <v/>
      </c>
      <c r="G32">
        <f>IF(OR(E32="",F32=""),"",F32-E32)</f>
        <v/>
      </c>
      <c r="H32">
        <f>IF(B32="","",IFERROR(INDEX(Attempts!$D$2:$D$200,MATCH(B32,Attempts!$A$2:$A$200,0)),"?"))</f>
        <v/>
      </c>
      <c r="I32" s="6" t="n"/>
    </row>
    <row r="33">
      <c r="A33" s="6" t="n"/>
      <c r="B33" s="6" t="n"/>
      <c r="C33">
        <f>IF(A33="","",IFERROR(INDEX(Attempts!$B$2:$B$200,MATCH(A33,Attempts!$A$2:$A$200,0)),"?"))</f>
        <v/>
      </c>
      <c r="D33">
        <f>IF(A33="","",IFERROR(INDEX(Attempts!$D$2:$D$200,MATCH(A33,Attempts!$A$2:$A$200,0)),"?"))</f>
        <v/>
      </c>
      <c r="E33">
        <f>IF(A33="","",IFERROR(INDEX(Attempts!$L$2:$L$200,MATCH(A33,Attempts!$A$2:$A$200,0)),""))</f>
        <v/>
      </c>
      <c r="F33">
        <f>IF(B33="","",IFERROR(INDEX(Attempts!$L$2:$L$200,MATCH(B33,Attempts!$A$2:$A$200,0)),""))</f>
        <v/>
      </c>
      <c r="G33">
        <f>IF(OR(E33="",F33=""),"",F33-E33)</f>
        <v/>
      </c>
      <c r="H33">
        <f>IF(B33="","",IFERROR(INDEX(Attempts!$D$2:$D$200,MATCH(B33,Attempts!$A$2:$A$200,0)),"?"))</f>
        <v/>
      </c>
      <c r="I33" s="6" t="n"/>
    </row>
    <row r="34">
      <c r="A34" s="6" t="n"/>
      <c r="B34" s="6" t="n"/>
      <c r="C34">
        <f>IF(A34="","",IFERROR(INDEX(Attempts!$B$2:$B$200,MATCH(A34,Attempts!$A$2:$A$200,0)),"?"))</f>
        <v/>
      </c>
      <c r="D34">
        <f>IF(A34="","",IFERROR(INDEX(Attempts!$D$2:$D$200,MATCH(A34,Attempts!$A$2:$A$200,0)),"?"))</f>
        <v/>
      </c>
      <c r="E34">
        <f>IF(A34="","",IFERROR(INDEX(Attempts!$L$2:$L$200,MATCH(A34,Attempts!$A$2:$A$200,0)),""))</f>
        <v/>
      </c>
      <c r="F34">
        <f>IF(B34="","",IFERROR(INDEX(Attempts!$L$2:$L$200,MATCH(B34,Attempts!$A$2:$A$200,0)),""))</f>
        <v/>
      </c>
      <c r="G34">
        <f>IF(OR(E34="",F34=""),"",F34-E34)</f>
        <v/>
      </c>
      <c r="H34">
        <f>IF(B34="","",IFERROR(INDEX(Attempts!$D$2:$D$200,MATCH(B34,Attempts!$A$2:$A$200,0)),"?"))</f>
        <v/>
      </c>
      <c r="I34" s="6" t="n"/>
    </row>
    <row r="35">
      <c r="A35" s="6" t="n"/>
      <c r="B35" s="6" t="n"/>
      <c r="C35">
        <f>IF(A35="","",IFERROR(INDEX(Attempts!$B$2:$B$200,MATCH(A35,Attempts!$A$2:$A$200,0)),"?"))</f>
        <v/>
      </c>
      <c r="D35">
        <f>IF(A35="","",IFERROR(INDEX(Attempts!$D$2:$D$200,MATCH(A35,Attempts!$A$2:$A$200,0)),"?"))</f>
        <v/>
      </c>
      <c r="E35">
        <f>IF(A35="","",IFERROR(INDEX(Attempts!$L$2:$L$200,MATCH(A35,Attempts!$A$2:$A$200,0)),""))</f>
        <v/>
      </c>
      <c r="F35">
        <f>IF(B35="","",IFERROR(INDEX(Attempts!$L$2:$L$200,MATCH(B35,Attempts!$A$2:$A$200,0)),""))</f>
        <v/>
      </c>
      <c r="G35">
        <f>IF(OR(E35="",F35=""),"",F35-E35)</f>
        <v/>
      </c>
      <c r="H35">
        <f>IF(B35="","",IFERROR(INDEX(Attempts!$D$2:$D$200,MATCH(B35,Attempts!$A$2:$A$200,0)),"?"))</f>
        <v/>
      </c>
      <c r="I35" s="6" t="n"/>
    </row>
    <row r="36">
      <c r="A36" s="6" t="n"/>
      <c r="B36" s="6" t="n"/>
      <c r="C36">
        <f>IF(A36="","",IFERROR(INDEX(Attempts!$B$2:$B$200,MATCH(A36,Attempts!$A$2:$A$200,0)),"?"))</f>
        <v/>
      </c>
      <c r="D36">
        <f>IF(A36="","",IFERROR(INDEX(Attempts!$D$2:$D$200,MATCH(A36,Attempts!$A$2:$A$200,0)),"?"))</f>
        <v/>
      </c>
      <c r="E36">
        <f>IF(A36="","",IFERROR(INDEX(Attempts!$L$2:$L$200,MATCH(A36,Attempts!$A$2:$A$200,0)),""))</f>
        <v/>
      </c>
      <c r="F36">
        <f>IF(B36="","",IFERROR(INDEX(Attempts!$L$2:$L$200,MATCH(B36,Attempts!$A$2:$A$200,0)),""))</f>
        <v/>
      </c>
      <c r="G36">
        <f>IF(OR(E36="",F36=""),"",F36-E36)</f>
        <v/>
      </c>
      <c r="H36">
        <f>IF(B36="","",IFERROR(INDEX(Attempts!$D$2:$D$200,MATCH(B36,Attempts!$A$2:$A$200,0)),"?"))</f>
        <v/>
      </c>
      <c r="I36" s="6" t="n"/>
    </row>
    <row r="37">
      <c r="A37" s="6" t="n"/>
      <c r="B37" s="6" t="n"/>
      <c r="C37">
        <f>IF(A37="","",IFERROR(INDEX(Attempts!$B$2:$B$200,MATCH(A37,Attempts!$A$2:$A$200,0)),"?"))</f>
        <v/>
      </c>
      <c r="D37">
        <f>IF(A37="","",IFERROR(INDEX(Attempts!$D$2:$D$200,MATCH(A37,Attempts!$A$2:$A$200,0)),"?"))</f>
        <v/>
      </c>
      <c r="E37">
        <f>IF(A37="","",IFERROR(INDEX(Attempts!$L$2:$L$200,MATCH(A37,Attempts!$A$2:$A$200,0)),""))</f>
        <v/>
      </c>
      <c r="F37">
        <f>IF(B37="","",IFERROR(INDEX(Attempts!$L$2:$L$200,MATCH(B37,Attempts!$A$2:$A$200,0)),""))</f>
        <v/>
      </c>
      <c r="G37">
        <f>IF(OR(E37="",F37=""),"",F37-E37)</f>
        <v/>
      </c>
      <c r="H37">
        <f>IF(B37="","",IFERROR(INDEX(Attempts!$D$2:$D$200,MATCH(B37,Attempts!$A$2:$A$200,0)),"?"))</f>
        <v/>
      </c>
      <c r="I37" s="6" t="n"/>
    </row>
    <row r="38">
      <c r="A38" s="6" t="n"/>
      <c r="B38" s="6" t="n"/>
      <c r="C38">
        <f>IF(A38="","",IFERROR(INDEX(Attempts!$B$2:$B$200,MATCH(A38,Attempts!$A$2:$A$200,0)),"?"))</f>
        <v/>
      </c>
      <c r="D38">
        <f>IF(A38="","",IFERROR(INDEX(Attempts!$D$2:$D$200,MATCH(A38,Attempts!$A$2:$A$200,0)),"?"))</f>
        <v/>
      </c>
      <c r="E38">
        <f>IF(A38="","",IFERROR(INDEX(Attempts!$L$2:$L$200,MATCH(A38,Attempts!$A$2:$A$200,0)),""))</f>
        <v/>
      </c>
      <c r="F38">
        <f>IF(B38="","",IFERROR(INDEX(Attempts!$L$2:$L$200,MATCH(B38,Attempts!$A$2:$A$200,0)),""))</f>
        <v/>
      </c>
      <c r="G38">
        <f>IF(OR(E38="",F38=""),"",F38-E38)</f>
        <v/>
      </c>
      <c r="H38">
        <f>IF(B38="","",IFERROR(INDEX(Attempts!$D$2:$D$200,MATCH(B38,Attempts!$A$2:$A$200,0)),"?"))</f>
        <v/>
      </c>
      <c r="I38" s="6" t="n"/>
    </row>
    <row r="39">
      <c r="A39" s="6" t="n"/>
      <c r="B39" s="6" t="n"/>
      <c r="C39">
        <f>IF(A39="","",IFERROR(INDEX(Attempts!$B$2:$B$200,MATCH(A39,Attempts!$A$2:$A$200,0)),"?"))</f>
        <v/>
      </c>
      <c r="D39">
        <f>IF(A39="","",IFERROR(INDEX(Attempts!$D$2:$D$200,MATCH(A39,Attempts!$A$2:$A$200,0)),"?"))</f>
        <v/>
      </c>
      <c r="E39">
        <f>IF(A39="","",IFERROR(INDEX(Attempts!$L$2:$L$200,MATCH(A39,Attempts!$A$2:$A$200,0)),""))</f>
        <v/>
      </c>
      <c r="F39">
        <f>IF(B39="","",IFERROR(INDEX(Attempts!$L$2:$L$200,MATCH(B39,Attempts!$A$2:$A$200,0)),""))</f>
        <v/>
      </c>
      <c r="G39">
        <f>IF(OR(E39="",F39=""),"",F39-E39)</f>
        <v/>
      </c>
      <c r="H39">
        <f>IF(B39="","",IFERROR(INDEX(Attempts!$D$2:$D$200,MATCH(B39,Attempts!$A$2:$A$200,0)),"?"))</f>
        <v/>
      </c>
      <c r="I39" s="6" t="n"/>
    </row>
    <row r="40">
      <c r="A40" s="6" t="n"/>
      <c r="B40" s="6" t="n"/>
      <c r="C40">
        <f>IF(A40="","",IFERROR(INDEX(Attempts!$B$2:$B$200,MATCH(A40,Attempts!$A$2:$A$200,0)),"?"))</f>
        <v/>
      </c>
      <c r="D40">
        <f>IF(A40="","",IFERROR(INDEX(Attempts!$D$2:$D$200,MATCH(A40,Attempts!$A$2:$A$200,0)),"?"))</f>
        <v/>
      </c>
      <c r="E40">
        <f>IF(A40="","",IFERROR(INDEX(Attempts!$L$2:$L$200,MATCH(A40,Attempts!$A$2:$A$200,0)),""))</f>
        <v/>
      </c>
      <c r="F40">
        <f>IF(B40="","",IFERROR(INDEX(Attempts!$L$2:$L$200,MATCH(B40,Attempts!$A$2:$A$200,0)),""))</f>
        <v/>
      </c>
      <c r="G40">
        <f>IF(OR(E40="",F40=""),"",F40-E40)</f>
        <v/>
      </c>
      <c r="H40">
        <f>IF(B40="","",IFERROR(INDEX(Attempts!$D$2:$D$200,MATCH(B40,Attempts!$A$2:$A$200,0)),"?"))</f>
        <v/>
      </c>
      <c r="I40" s="6" t="n"/>
    </row>
    <row r="41">
      <c r="A41" s="6" t="n"/>
      <c r="B41" s="6" t="n"/>
      <c r="C41">
        <f>IF(A41="","",IFERROR(INDEX(Attempts!$B$2:$B$200,MATCH(A41,Attempts!$A$2:$A$200,0)),"?"))</f>
        <v/>
      </c>
      <c r="D41">
        <f>IF(A41="","",IFERROR(INDEX(Attempts!$D$2:$D$200,MATCH(A41,Attempts!$A$2:$A$200,0)),"?"))</f>
        <v/>
      </c>
      <c r="E41">
        <f>IF(A41="","",IFERROR(INDEX(Attempts!$L$2:$L$200,MATCH(A41,Attempts!$A$2:$A$200,0)),""))</f>
        <v/>
      </c>
      <c r="F41">
        <f>IF(B41="","",IFERROR(INDEX(Attempts!$L$2:$L$200,MATCH(B41,Attempts!$A$2:$A$200,0)),""))</f>
        <v/>
      </c>
      <c r="G41">
        <f>IF(OR(E41="",F41=""),"",F41-E41)</f>
        <v/>
      </c>
      <c r="H41">
        <f>IF(B41="","",IFERROR(INDEX(Attempts!$D$2:$D$200,MATCH(B41,Attempts!$A$2:$A$200,0)),"?"))</f>
        <v/>
      </c>
      <c r="I41" s="6" t="n"/>
    </row>
    <row r="42">
      <c r="A42" s="6" t="n"/>
      <c r="B42" s="6" t="n"/>
      <c r="C42">
        <f>IF(A42="","",IFERROR(INDEX(Attempts!$B$2:$B$200,MATCH(A42,Attempts!$A$2:$A$200,0)),"?"))</f>
        <v/>
      </c>
      <c r="D42">
        <f>IF(A42="","",IFERROR(INDEX(Attempts!$D$2:$D$200,MATCH(A42,Attempts!$A$2:$A$200,0)),"?"))</f>
        <v/>
      </c>
      <c r="E42">
        <f>IF(A42="","",IFERROR(INDEX(Attempts!$L$2:$L$200,MATCH(A42,Attempts!$A$2:$A$200,0)),""))</f>
        <v/>
      </c>
      <c r="F42">
        <f>IF(B42="","",IFERROR(INDEX(Attempts!$L$2:$L$200,MATCH(B42,Attempts!$A$2:$A$200,0)),""))</f>
        <v/>
      </c>
      <c r="G42">
        <f>IF(OR(E42="",F42=""),"",F42-E42)</f>
        <v/>
      </c>
      <c r="H42">
        <f>IF(B42="","",IFERROR(INDEX(Attempts!$D$2:$D$200,MATCH(B42,Attempts!$A$2:$A$200,0)),"?"))</f>
        <v/>
      </c>
      <c r="I42" s="6" t="n"/>
    </row>
    <row r="43">
      <c r="A43" s="6" t="n"/>
      <c r="B43" s="6" t="n"/>
      <c r="C43">
        <f>IF(A43="","",IFERROR(INDEX(Attempts!$B$2:$B$200,MATCH(A43,Attempts!$A$2:$A$200,0)),"?"))</f>
        <v/>
      </c>
      <c r="D43">
        <f>IF(A43="","",IFERROR(INDEX(Attempts!$D$2:$D$200,MATCH(A43,Attempts!$A$2:$A$200,0)),"?"))</f>
        <v/>
      </c>
      <c r="E43">
        <f>IF(A43="","",IFERROR(INDEX(Attempts!$L$2:$L$200,MATCH(A43,Attempts!$A$2:$A$200,0)),""))</f>
        <v/>
      </c>
      <c r="F43">
        <f>IF(B43="","",IFERROR(INDEX(Attempts!$L$2:$L$200,MATCH(B43,Attempts!$A$2:$A$200,0)),""))</f>
        <v/>
      </c>
      <c r="G43">
        <f>IF(OR(E43="",F43=""),"",F43-E43)</f>
        <v/>
      </c>
      <c r="H43">
        <f>IF(B43="","",IFERROR(INDEX(Attempts!$D$2:$D$200,MATCH(B43,Attempts!$A$2:$A$200,0)),"?"))</f>
        <v/>
      </c>
      <c r="I43" s="6" t="n"/>
    </row>
    <row r="44">
      <c r="A44" s="6" t="n"/>
      <c r="B44" s="6" t="n"/>
      <c r="C44">
        <f>IF(A44="","",IFERROR(INDEX(Attempts!$B$2:$B$200,MATCH(A44,Attempts!$A$2:$A$200,0)),"?"))</f>
        <v/>
      </c>
      <c r="D44">
        <f>IF(A44="","",IFERROR(INDEX(Attempts!$D$2:$D$200,MATCH(A44,Attempts!$A$2:$A$200,0)),"?"))</f>
        <v/>
      </c>
      <c r="E44">
        <f>IF(A44="","",IFERROR(INDEX(Attempts!$L$2:$L$200,MATCH(A44,Attempts!$A$2:$A$200,0)),""))</f>
        <v/>
      </c>
      <c r="F44">
        <f>IF(B44="","",IFERROR(INDEX(Attempts!$L$2:$L$200,MATCH(B44,Attempts!$A$2:$A$200,0)),""))</f>
        <v/>
      </c>
      <c r="G44">
        <f>IF(OR(E44="",F44=""),"",F44-E44)</f>
        <v/>
      </c>
      <c r="H44">
        <f>IF(B44="","",IFERROR(INDEX(Attempts!$D$2:$D$200,MATCH(B44,Attempts!$A$2:$A$200,0)),"?"))</f>
        <v/>
      </c>
      <c r="I44" s="6" t="n"/>
    </row>
    <row r="45">
      <c r="A45" s="6" t="n"/>
      <c r="B45" s="6" t="n"/>
      <c r="C45">
        <f>IF(A45="","",IFERROR(INDEX(Attempts!$B$2:$B$200,MATCH(A45,Attempts!$A$2:$A$200,0)),"?"))</f>
        <v/>
      </c>
      <c r="D45">
        <f>IF(A45="","",IFERROR(INDEX(Attempts!$D$2:$D$200,MATCH(A45,Attempts!$A$2:$A$200,0)),"?"))</f>
        <v/>
      </c>
      <c r="E45">
        <f>IF(A45="","",IFERROR(INDEX(Attempts!$L$2:$L$200,MATCH(A45,Attempts!$A$2:$A$200,0)),""))</f>
        <v/>
      </c>
      <c r="F45">
        <f>IF(B45="","",IFERROR(INDEX(Attempts!$L$2:$L$200,MATCH(B45,Attempts!$A$2:$A$200,0)),""))</f>
        <v/>
      </c>
      <c r="G45">
        <f>IF(OR(E45="",F45=""),"",F45-E45)</f>
        <v/>
      </c>
      <c r="H45">
        <f>IF(B45="","",IFERROR(INDEX(Attempts!$D$2:$D$200,MATCH(B45,Attempts!$A$2:$A$200,0)),"?"))</f>
        <v/>
      </c>
      <c r="I45" s="6" t="n"/>
    </row>
    <row r="46">
      <c r="A46" s="6" t="n"/>
      <c r="B46" s="6" t="n"/>
      <c r="C46">
        <f>IF(A46="","",IFERROR(INDEX(Attempts!$B$2:$B$200,MATCH(A46,Attempts!$A$2:$A$200,0)),"?"))</f>
        <v/>
      </c>
      <c r="D46">
        <f>IF(A46="","",IFERROR(INDEX(Attempts!$D$2:$D$200,MATCH(A46,Attempts!$A$2:$A$200,0)),"?"))</f>
        <v/>
      </c>
      <c r="E46">
        <f>IF(A46="","",IFERROR(INDEX(Attempts!$L$2:$L$200,MATCH(A46,Attempts!$A$2:$A$200,0)),""))</f>
        <v/>
      </c>
      <c r="F46">
        <f>IF(B46="","",IFERROR(INDEX(Attempts!$L$2:$L$200,MATCH(B46,Attempts!$A$2:$A$200,0)),""))</f>
        <v/>
      </c>
      <c r="G46">
        <f>IF(OR(E46="",F46=""),"",F46-E46)</f>
        <v/>
      </c>
      <c r="H46">
        <f>IF(B46="","",IFERROR(INDEX(Attempts!$D$2:$D$200,MATCH(B46,Attempts!$A$2:$A$200,0)),"?"))</f>
        <v/>
      </c>
      <c r="I46" s="6" t="n"/>
    </row>
    <row r="47">
      <c r="A47" s="6" t="n"/>
      <c r="B47" s="6" t="n"/>
      <c r="C47">
        <f>IF(A47="","",IFERROR(INDEX(Attempts!$B$2:$B$200,MATCH(A47,Attempts!$A$2:$A$200,0)),"?"))</f>
        <v/>
      </c>
      <c r="D47">
        <f>IF(A47="","",IFERROR(INDEX(Attempts!$D$2:$D$200,MATCH(A47,Attempts!$A$2:$A$200,0)),"?"))</f>
        <v/>
      </c>
      <c r="E47">
        <f>IF(A47="","",IFERROR(INDEX(Attempts!$L$2:$L$200,MATCH(A47,Attempts!$A$2:$A$200,0)),""))</f>
        <v/>
      </c>
      <c r="F47">
        <f>IF(B47="","",IFERROR(INDEX(Attempts!$L$2:$L$200,MATCH(B47,Attempts!$A$2:$A$200,0)),""))</f>
        <v/>
      </c>
      <c r="G47">
        <f>IF(OR(E47="",F47=""),"",F47-E47)</f>
        <v/>
      </c>
      <c r="H47">
        <f>IF(B47="","",IFERROR(INDEX(Attempts!$D$2:$D$200,MATCH(B47,Attempts!$A$2:$A$200,0)),"?"))</f>
        <v/>
      </c>
      <c r="I47" s="6" t="n"/>
    </row>
    <row r="48">
      <c r="A48" s="6" t="n"/>
      <c r="B48" s="6" t="n"/>
      <c r="C48">
        <f>IF(A48="","",IFERROR(INDEX(Attempts!$B$2:$B$200,MATCH(A48,Attempts!$A$2:$A$200,0)),"?"))</f>
        <v/>
      </c>
      <c r="D48">
        <f>IF(A48="","",IFERROR(INDEX(Attempts!$D$2:$D$200,MATCH(A48,Attempts!$A$2:$A$200,0)),"?"))</f>
        <v/>
      </c>
      <c r="E48">
        <f>IF(A48="","",IFERROR(INDEX(Attempts!$L$2:$L$200,MATCH(A48,Attempts!$A$2:$A$200,0)),""))</f>
        <v/>
      </c>
      <c r="F48">
        <f>IF(B48="","",IFERROR(INDEX(Attempts!$L$2:$L$200,MATCH(B48,Attempts!$A$2:$A$200,0)),""))</f>
        <v/>
      </c>
      <c r="G48">
        <f>IF(OR(E48="",F48=""),"",F48-E48)</f>
        <v/>
      </c>
      <c r="H48">
        <f>IF(B48="","",IFERROR(INDEX(Attempts!$D$2:$D$200,MATCH(B48,Attempts!$A$2:$A$200,0)),"?"))</f>
        <v/>
      </c>
      <c r="I48" s="6" t="n"/>
    </row>
    <row r="49">
      <c r="A49" s="6" t="n"/>
      <c r="B49" s="6" t="n"/>
      <c r="C49">
        <f>IF(A49="","",IFERROR(INDEX(Attempts!$B$2:$B$200,MATCH(A49,Attempts!$A$2:$A$200,0)),"?"))</f>
        <v/>
      </c>
      <c r="D49">
        <f>IF(A49="","",IFERROR(INDEX(Attempts!$D$2:$D$200,MATCH(A49,Attempts!$A$2:$A$200,0)),"?"))</f>
        <v/>
      </c>
      <c r="E49">
        <f>IF(A49="","",IFERROR(INDEX(Attempts!$L$2:$L$200,MATCH(A49,Attempts!$A$2:$A$200,0)),""))</f>
        <v/>
      </c>
      <c r="F49">
        <f>IF(B49="","",IFERROR(INDEX(Attempts!$L$2:$L$200,MATCH(B49,Attempts!$A$2:$A$200,0)),""))</f>
        <v/>
      </c>
      <c r="G49">
        <f>IF(OR(E49="",F49=""),"",F49-E49)</f>
        <v/>
      </c>
      <c r="H49">
        <f>IF(B49="","",IFERROR(INDEX(Attempts!$D$2:$D$200,MATCH(B49,Attempts!$A$2:$A$200,0)),"?"))</f>
        <v/>
      </c>
      <c r="I49" s="6" t="n"/>
    </row>
    <row r="50">
      <c r="A50" s="6" t="n"/>
      <c r="B50" s="6" t="n"/>
      <c r="C50">
        <f>IF(A50="","",IFERROR(INDEX(Attempts!$B$2:$B$200,MATCH(A50,Attempts!$A$2:$A$200,0)),"?"))</f>
        <v/>
      </c>
      <c r="D50">
        <f>IF(A50="","",IFERROR(INDEX(Attempts!$D$2:$D$200,MATCH(A50,Attempts!$A$2:$A$200,0)),"?"))</f>
        <v/>
      </c>
      <c r="E50">
        <f>IF(A50="","",IFERROR(INDEX(Attempts!$L$2:$L$200,MATCH(A50,Attempts!$A$2:$A$200,0)),""))</f>
        <v/>
      </c>
      <c r="F50">
        <f>IF(B50="","",IFERROR(INDEX(Attempts!$L$2:$L$200,MATCH(B50,Attempts!$A$2:$A$200,0)),""))</f>
        <v/>
      </c>
      <c r="G50">
        <f>IF(OR(E50="",F50=""),"",F50-E50)</f>
        <v/>
      </c>
      <c r="H50">
        <f>IF(B50="","",IFERROR(INDEX(Attempts!$D$2:$D$200,MATCH(B50,Attempts!$A$2:$A$200,0)),"?"))</f>
        <v/>
      </c>
      <c r="I50" s="6" t="n"/>
    </row>
    <row r="51">
      <c r="A51" s="6" t="n"/>
      <c r="B51" s="6" t="n"/>
      <c r="C51">
        <f>IF(A51="","",IFERROR(INDEX(Attempts!$B$2:$B$200,MATCH(A51,Attempts!$A$2:$A$200,0)),"?"))</f>
        <v/>
      </c>
      <c r="D51">
        <f>IF(A51="","",IFERROR(INDEX(Attempts!$D$2:$D$200,MATCH(A51,Attempts!$A$2:$A$200,0)),"?"))</f>
        <v/>
      </c>
      <c r="E51">
        <f>IF(A51="","",IFERROR(INDEX(Attempts!$L$2:$L$200,MATCH(A51,Attempts!$A$2:$A$200,0)),""))</f>
        <v/>
      </c>
      <c r="F51">
        <f>IF(B51="","",IFERROR(INDEX(Attempts!$L$2:$L$200,MATCH(B51,Attempts!$A$2:$A$200,0)),""))</f>
        <v/>
      </c>
      <c r="G51">
        <f>IF(OR(E51="",F51=""),"",F51-E51)</f>
        <v/>
      </c>
      <c r="H51">
        <f>IF(B51="","",IFERROR(INDEX(Attempts!$D$2:$D$200,MATCH(B51,Attempts!$A$2:$A$200,0)),"?"))</f>
        <v/>
      </c>
      <c r="I51" s="6" t="n"/>
    </row>
    <row r="52">
      <c r="A52" s="6" t="n"/>
      <c r="B52" s="6" t="n"/>
      <c r="C52">
        <f>IF(A52="","",IFERROR(INDEX(Attempts!$B$2:$B$200,MATCH(A52,Attempts!$A$2:$A$200,0)),"?"))</f>
        <v/>
      </c>
      <c r="D52">
        <f>IF(A52="","",IFERROR(INDEX(Attempts!$D$2:$D$200,MATCH(A52,Attempts!$A$2:$A$200,0)),"?"))</f>
        <v/>
      </c>
      <c r="E52">
        <f>IF(A52="","",IFERROR(INDEX(Attempts!$L$2:$L$200,MATCH(A52,Attempts!$A$2:$A$200,0)),""))</f>
        <v/>
      </c>
      <c r="F52">
        <f>IF(B52="","",IFERROR(INDEX(Attempts!$L$2:$L$200,MATCH(B52,Attempts!$A$2:$A$200,0)),""))</f>
        <v/>
      </c>
      <c r="G52">
        <f>IF(OR(E52="",F52=""),"",F52-E52)</f>
        <v/>
      </c>
      <c r="H52">
        <f>IF(B52="","",IFERROR(INDEX(Attempts!$D$2:$D$200,MATCH(B52,Attempts!$A$2:$A$200,0)),"?"))</f>
        <v/>
      </c>
      <c r="I52" s="6" t="n"/>
    </row>
    <row r="53">
      <c r="A53" s="6" t="n"/>
      <c r="B53" s="6" t="n"/>
      <c r="C53">
        <f>IF(A53="","",IFERROR(INDEX(Attempts!$B$2:$B$200,MATCH(A53,Attempts!$A$2:$A$200,0)),"?"))</f>
        <v/>
      </c>
      <c r="D53">
        <f>IF(A53="","",IFERROR(INDEX(Attempts!$D$2:$D$200,MATCH(A53,Attempts!$A$2:$A$200,0)),"?"))</f>
        <v/>
      </c>
      <c r="E53">
        <f>IF(A53="","",IFERROR(INDEX(Attempts!$L$2:$L$200,MATCH(A53,Attempts!$A$2:$A$200,0)),""))</f>
        <v/>
      </c>
      <c r="F53">
        <f>IF(B53="","",IFERROR(INDEX(Attempts!$L$2:$L$200,MATCH(B53,Attempts!$A$2:$A$200,0)),""))</f>
        <v/>
      </c>
      <c r="G53">
        <f>IF(OR(E53="",F53=""),"",F53-E53)</f>
        <v/>
      </c>
      <c r="H53">
        <f>IF(B53="","",IFERROR(INDEX(Attempts!$D$2:$D$200,MATCH(B53,Attempts!$A$2:$A$200,0)),"?"))</f>
        <v/>
      </c>
      <c r="I53" s="6" t="n"/>
    </row>
    <row r="54">
      <c r="A54" s="6" t="n"/>
      <c r="B54" s="6" t="n"/>
      <c r="C54">
        <f>IF(A54="","",IFERROR(INDEX(Attempts!$B$2:$B$200,MATCH(A54,Attempts!$A$2:$A$200,0)),"?"))</f>
        <v/>
      </c>
      <c r="D54">
        <f>IF(A54="","",IFERROR(INDEX(Attempts!$D$2:$D$200,MATCH(A54,Attempts!$A$2:$A$200,0)),"?"))</f>
        <v/>
      </c>
      <c r="E54">
        <f>IF(A54="","",IFERROR(INDEX(Attempts!$L$2:$L$200,MATCH(A54,Attempts!$A$2:$A$200,0)),""))</f>
        <v/>
      </c>
      <c r="F54">
        <f>IF(B54="","",IFERROR(INDEX(Attempts!$L$2:$L$200,MATCH(B54,Attempts!$A$2:$A$200,0)),""))</f>
        <v/>
      </c>
      <c r="G54">
        <f>IF(OR(E54="",F54=""),"",F54-E54)</f>
        <v/>
      </c>
      <c r="H54">
        <f>IF(B54="","",IFERROR(INDEX(Attempts!$D$2:$D$200,MATCH(B54,Attempts!$A$2:$A$200,0)),"?"))</f>
        <v/>
      </c>
      <c r="I54" s="6" t="n"/>
    </row>
    <row r="55">
      <c r="A55" s="6" t="n"/>
      <c r="B55" s="6" t="n"/>
      <c r="C55">
        <f>IF(A55="","",IFERROR(INDEX(Attempts!$B$2:$B$200,MATCH(A55,Attempts!$A$2:$A$200,0)),"?"))</f>
        <v/>
      </c>
      <c r="D55">
        <f>IF(A55="","",IFERROR(INDEX(Attempts!$D$2:$D$200,MATCH(A55,Attempts!$A$2:$A$200,0)),"?"))</f>
        <v/>
      </c>
      <c r="E55">
        <f>IF(A55="","",IFERROR(INDEX(Attempts!$L$2:$L$200,MATCH(A55,Attempts!$A$2:$A$200,0)),""))</f>
        <v/>
      </c>
      <c r="F55">
        <f>IF(B55="","",IFERROR(INDEX(Attempts!$L$2:$L$200,MATCH(B55,Attempts!$A$2:$A$200,0)),""))</f>
        <v/>
      </c>
      <c r="G55">
        <f>IF(OR(E55="",F55=""),"",F55-E55)</f>
        <v/>
      </c>
      <c r="H55">
        <f>IF(B55="","",IFERROR(INDEX(Attempts!$D$2:$D$200,MATCH(B55,Attempts!$A$2:$A$200,0)),"?"))</f>
        <v/>
      </c>
      <c r="I55" s="6" t="n"/>
    </row>
    <row r="56">
      <c r="A56" s="6" t="n"/>
      <c r="B56" s="6" t="n"/>
      <c r="C56">
        <f>IF(A56="","",IFERROR(INDEX(Attempts!$B$2:$B$200,MATCH(A56,Attempts!$A$2:$A$200,0)),"?"))</f>
        <v/>
      </c>
      <c r="D56">
        <f>IF(A56="","",IFERROR(INDEX(Attempts!$D$2:$D$200,MATCH(A56,Attempts!$A$2:$A$200,0)),"?"))</f>
        <v/>
      </c>
      <c r="E56">
        <f>IF(A56="","",IFERROR(INDEX(Attempts!$L$2:$L$200,MATCH(A56,Attempts!$A$2:$A$200,0)),""))</f>
        <v/>
      </c>
      <c r="F56">
        <f>IF(B56="","",IFERROR(INDEX(Attempts!$L$2:$L$200,MATCH(B56,Attempts!$A$2:$A$200,0)),""))</f>
        <v/>
      </c>
      <c r="G56">
        <f>IF(OR(E56="",F56=""),"",F56-E56)</f>
        <v/>
      </c>
      <c r="H56">
        <f>IF(B56="","",IFERROR(INDEX(Attempts!$D$2:$D$200,MATCH(B56,Attempts!$A$2:$A$200,0)),"?"))</f>
        <v/>
      </c>
      <c r="I56" s="6" t="n"/>
    </row>
    <row r="57">
      <c r="A57" s="6" t="n"/>
      <c r="B57" s="6" t="n"/>
      <c r="C57">
        <f>IF(A57="","",IFERROR(INDEX(Attempts!$B$2:$B$200,MATCH(A57,Attempts!$A$2:$A$200,0)),"?"))</f>
        <v/>
      </c>
      <c r="D57">
        <f>IF(A57="","",IFERROR(INDEX(Attempts!$D$2:$D$200,MATCH(A57,Attempts!$A$2:$A$200,0)),"?"))</f>
        <v/>
      </c>
      <c r="E57">
        <f>IF(A57="","",IFERROR(INDEX(Attempts!$L$2:$L$200,MATCH(A57,Attempts!$A$2:$A$200,0)),""))</f>
        <v/>
      </c>
      <c r="F57">
        <f>IF(B57="","",IFERROR(INDEX(Attempts!$L$2:$L$200,MATCH(B57,Attempts!$A$2:$A$200,0)),""))</f>
        <v/>
      </c>
      <c r="G57">
        <f>IF(OR(E57="",F57=""),"",F57-E57)</f>
        <v/>
      </c>
      <c r="H57">
        <f>IF(B57="","",IFERROR(INDEX(Attempts!$D$2:$D$200,MATCH(B57,Attempts!$A$2:$A$200,0)),"?"))</f>
        <v/>
      </c>
      <c r="I57" s="6" t="n"/>
    </row>
    <row r="58">
      <c r="A58" s="6" t="n"/>
      <c r="B58" s="6" t="n"/>
      <c r="C58">
        <f>IF(A58="","",IFERROR(INDEX(Attempts!$B$2:$B$200,MATCH(A58,Attempts!$A$2:$A$200,0)),"?"))</f>
        <v/>
      </c>
      <c r="D58">
        <f>IF(A58="","",IFERROR(INDEX(Attempts!$D$2:$D$200,MATCH(A58,Attempts!$A$2:$A$200,0)),"?"))</f>
        <v/>
      </c>
      <c r="E58">
        <f>IF(A58="","",IFERROR(INDEX(Attempts!$L$2:$L$200,MATCH(A58,Attempts!$A$2:$A$200,0)),""))</f>
        <v/>
      </c>
      <c r="F58">
        <f>IF(B58="","",IFERROR(INDEX(Attempts!$L$2:$L$200,MATCH(B58,Attempts!$A$2:$A$200,0)),""))</f>
        <v/>
      </c>
      <c r="G58">
        <f>IF(OR(E58="",F58=""),"",F58-E58)</f>
        <v/>
      </c>
      <c r="H58">
        <f>IF(B58="","",IFERROR(INDEX(Attempts!$D$2:$D$200,MATCH(B58,Attempts!$A$2:$A$200,0)),"?"))</f>
        <v/>
      </c>
      <c r="I58" s="6" t="n"/>
    </row>
    <row r="59">
      <c r="A59" s="6" t="n"/>
      <c r="B59" s="6" t="n"/>
      <c r="C59">
        <f>IF(A59="","",IFERROR(INDEX(Attempts!$B$2:$B$200,MATCH(A59,Attempts!$A$2:$A$200,0)),"?"))</f>
        <v/>
      </c>
      <c r="D59">
        <f>IF(A59="","",IFERROR(INDEX(Attempts!$D$2:$D$200,MATCH(A59,Attempts!$A$2:$A$200,0)),"?"))</f>
        <v/>
      </c>
      <c r="E59">
        <f>IF(A59="","",IFERROR(INDEX(Attempts!$L$2:$L$200,MATCH(A59,Attempts!$A$2:$A$200,0)),""))</f>
        <v/>
      </c>
      <c r="F59">
        <f>IF(B59="","",IFERROR(INDEX(Attempts!$L$2:$L$200,MATCH(B59,Attempts!$A$2:$A$200,0)),""))</f>
        <v/>
      </c>
      <c r="G59">
        <f>IF(OR(E59="",F59=""),"",F59-E59)</f>
        <v/>
      </c>
      <c r="H59">
        <f>IF(B59="","",IFERROR(INDEX(Attempts!$D$2:$D$200,MATCH(B59,Attempts!$A$2:$A$200,0)),"?"))</f>
        <v/>
      </c>
      <c r="I59" s="6" t="n"/>
    </row>
    <row r="60">
      <c r="A60" s="6" t="n"/>
      <c r="B60" s="6" t="n"/>
      <c r="C60">
        <f>IF(A60="","",IFERROR(INDEX(Attempts!$B$2:$B$200,MATCH(A60,Attempts!$A$2:$A$200,0)),"?"))</f>
        <v/>
      </c>
      <c r="D60">
        <f>IF(A60="","",IFERROR(INDEX(Attempts!$D$2:$D$200,MATCH(A60,Attempts!$A$2:$A$200,0)),"?"))</f>
        <v/>
      </c>
      <c r="E60">
        <f>IF(A60="","",IFERROR(INDEX(Attempts!$L$2:$L$200,MATCH(A60,Attempts!$A$2:$A$200,0)),""))</f>
        <v/>
      </c>
      <c r="F60">
        <f>IF(B60="","",IFERROR(INDEX(Attempts!$L$2:$L$200,MATCH(B60,Attempts!$A$2:$A$200,0)),""))</f>
        <v/>
      </c>
      <c r="G60">
        <f>IF(OR(E60="",F60=""),"",F60-E60)</f>
        <v/>
      </c>
      <c r="H60">
        <f>IF(B60="","",IFERROR(INDEX(Attempts!$D$2:$D$200,MATCH(B60,Attempts!$A$2:$A$200,0)),"?"))</f>
        <v/>
      </c>
      <c r="I60" s="6" t="n"/>
    </row>
    <row r="61">
      <c r="A61" s="6" t="n"/>
      <c r="B61" s="6" t="n"/>
      <c r="C61">
        <f>IF(A61="","",IFERROR(INDEX(Attempts!$B$2:$B$200,MATCH(A61,Attempts!$A$2:$A$200,0)),"?"))</f>
        <v/>
      </c>
      <c r="D61">
        <f>IF(A61="","",IFERROR(INDEX(Attempts!$D$2:$D$200,MATCH(A61,Attempts!$A$2:$A$200,0)),"?"))</f>
        <v/>
      </c>
      <c r="E61">
        <f>IF(A61="","",IFERROR(INDEX(Attempts!$L$2:$L$200,MATCH(A61,Attempts!$A$2:$A$200,0)),""))</f>
        <v/>
      </c>
      <c r="F61">
        <f>IF(B61="","",IFERROR(INDEX(Attempts!$L$2:$L$200,MATCH(B61,Attempts!$A$2:$A$200,0)),""))</f>
        <v/>
      </c>
      <c r="G61">
        <f>IF(OR(E61="",F61=""),"",F61-E61)</f>
        <v/>
      </c>
      <c r="H61">
        <f>IF(B61="","",IFERROR(INDEX(Attempts!$D$2:$D$200,MATCH(B61,Attempts!$A$2:$A$200,0)),"?"))</f>
        <v/>
      </c>
      <c r="I61" s="6" t="n"/>
    </row>
    <row r="62">
      <c r="A62" s="6" t="n"/>
      <c r="B62" s="6" t="n"/>
      <c r="C62">
        <f>IF(A62="","",IFERROR(INDEX(Attempts!$B$2:$B$200,MATCH(A62,Attempts!$A$2:$A$200,0)),"?"))</f>
        <v/>
      </c>
      <c r="D62">
        <f>IF(A62="","",IFERROR(INDEX(Attempts!$D$2:$D$200,MATCH(A62,Attempts!$A$2:$A$200,0)),"?"))</f>
        <v/>
      </c>
      <c r="E62">
        <f>IF(A62="","",IFERROR(INDEX(Attempts!$L$2:$L$200,MATCH(A62,Attempts!$A$2:$A$200,0)),""))</f>
        <v/>
      </c>
      <c r="F62">
        <f>IF(B62="","",IFERROR(INDEX(Attempts!$L$2:$L$200,MATCH(B62,Attempts!$A$2:$A$200,0)),""))</f>
        <v/>
      </c>
      <c r="G62">
        <f>IF(OR(E62="",F62=""),"",F62-E62)</f>
        <v/>
      </c>
      <c r="H62">
        <f>IF(B62="","",IFERROR(INDEX(Attempts!$D$2:$D$200,MATCH(B62,Attempts!$A$2:$A$200,0)),"?"))</f>
        <v/>
      </c>
      <c r="I62" s="6" t="n"/>
    </row>
    <row r="63">
      <c r="A63" s="6" t="n"/>
      <c r="B63" s="6" t="n"/>
      <c r="C63">
        <f>IF(A63="","",IFERROR(INDEX(Attempts!$B$2:$B$200,MATCH(A63,Attempts!$A$2:$A$200,0)),"?"))</f>
        <v/>
      </c>
      <c r="D63">
        <f>IF(A63="","",IFERROR(INDEX(Attempts!$D$2:$D$200,MATCH(A63,Attempts!$A$2:$A$200,0)),"?"))</f>
        <v/>
      </c>
      <c r="E63">
        <f>IF(A63="","",IFERROR(INDEX(Attempts!$L$2:$L$200,MATCH(A63,Attempts!$A$2:$A$200,0)),""))</f>
        <v/>
      </c>
      <c r="F63">
        <f>IF(B63="","",IFERROR(INDEX(Attempts!$L$2:$L$200,MATCH(B63,Attempts!$A$2:$A$200,0)),""))</f>
        <v/>
      </c>
      <c r="G63">
        <f>IF(OR(E63="",F63=""),"",F63-E63)</f>
        <v/>
      </c>
      <c r="H63">
        <f>IF(B63="","",IFERROR(INDEX(Attempts!$D$2:$D$200,MATCH(B63,Attempts!$A$2:$A$200,0)),"?"))</f>
        <v/>
      </c>
      <c r="I63" s="6" t="n"/>
    </row>
    <row r="64">
      <c r="A64" s="6" t="n"/>
      <c r="B64" s="6" t="n"/>
      <c r="C64">
        <f>IF(A64="","",IFERROR(INDEX(Attempts!$B$2:$B$200,MATCH(A64,Attempts!$A$2:$A$200,0)),"?"))</f>
        <v/>
      </c>
      <c r="D64">
        <f>IF(A64="","",IFERROR(INDEX(Attempts!$D$2:$D$200,MATCH(A64,Attempts!$A$2:$A$200,0)),"?"))</f>
        <v/>
      </c>
      <c r="E64">
        <f>IF(A64="","",IFERROR(INDEX(Attempts!$L$2:$L$200,MATCH(A64,Attempts!$A$2:$A$200,0)),""))</f>
        <v/>
      </c>
      <c r="F64">
        <f>IF(B64="","",IFERROR(INDEX(Attempts!$L$2:$L$200,MATCH(B64,Attempts!$A$2:$A$200,0)),""))</f>
        <v/>
      </c>
      <c r="G64">
        <f>IF(OR(E64="",F64=""),"",F64-E64)</f>
        <v/>
      </c>
      <c r="H64">
        <f>IF(B64="","",IFERROR(INDEX(Attempts!$D$2:$D$200,MATCH(B64,Attempts!$A$2:$A$200,0)),"?"))</f>
        <v/>
      </c>
      <c r="I64" s="6" t="n"/>
    </row>
    <row r="65">
      <c r="A65" s="6" t="n"/>
      <c r="B65" s="6" t="n"/>
      <c r="C65">
        <f>IF(A65="","",IFERROR(INDEX(Attempts!$B$2:$B$200,MATCH(A65,Attempts!$A$2:$A$200,0)),"?"))</f>
        <v/>
      </c>
      <c r="D65">
        <f>IF(A65="","",IFERROR(INDEX(Attempts!$D$2:$D$200,MATCH(A65,Attempts!$A$2:$A$200,0)),"?"))</f>
        <v/>
      </c>
      <c r="E65">
        <f>IF(A65="","",IFERROR(INDEX(Attempts!$L$2:$L$200,MATCH(A65,Attempts!$A$2:$A$200,0)),""))</f>
        <v/>
      </c>
      <c r="F65">
        <f>IF(B65="","",IFERROR(INDEX(Attempts!$L$2:$L$200,MATCH(B65,Attempts!$A$2:$A$200,0)),""))</f>
        <v/>
      </c>
      <c r="G65">
        <f>IF(OR(E65="",F65=""),"",F65-E65)</f>
        <v/>
      </c>
      <c r="H65">
        <f>IF(B65="","",IFERROR(INDEX(Attempts!$D$2:$D$200,MATCH(B65,Attempts!$A$2:$A$200,0)),"?"))</f>
        <v/>
      </c>
      <c r="I65" s="6" t="n"/>
    </row>
    <row r="66">
      <c r="A66" s="6" t="n"/>
      <c r="B66" s="6" t="n"/>
      <c r="C66">
        <f>IF(A66="","",IFERROR(INDEX(Attempts!$B$2:$B$200,MATCH(A66,Attempts!$A$2:$A$200,0)),"?"))</f>
        <v/>
      </c>
      <c r="D66">
        <f>IF(A66="","",IFERROR(INDEX(Attempts!$D$2:$D$200,MATCH(A66,Attempts!$A$2:$A$200,0)),"?"))</f>
        <v/>
      </c>
      <c r="E66">
        <f>IF(A66="","",IFERROR(INDEX(Attempts!$L$2:$L$200,MATCH(A66,Attempts!$A$2:$A$200,0)),""))</f>
        <v/>
      </c>
      <c r="F66">
        <f>IF(B66="","",IFERROR(INDEX(Attempts!$L$2:$L$200,MATCH(B66,Attempts!$A$2:$A$200,0)),""))</f>
        <v/>
      </c>
      <c r="G66">
        <f>IF(OR(E66="",F66=""),"",F66-E66)</f>
        <v/>
      </c>
      <c r="H66">
        <f>IF(B66="","",IFERROR(INDEX(Attempts!$D$2:$D$200,MATCH(B66,Attempts!$A$2:$A$200,0)),"?"))</f>
        <v/>
      </c>
      <c r="I66" s="6" t="n"/>
    </row>
    <row r="67">
      <c r="A67" s="6" t="n"/>
      <c r="B67" s="6" t="n"/>
      <c r="C67">
        <f>IF(A67="","",IFERROR(INDEX(Attempts!$B$2:$B$200,MATCH(A67,Attempts!$A$2:$A$200,0)),"?"))</f>
        <v/>
      </c>
      <c r="D67">
        <f>IF(A67="","",IFERROR(INDEX(Attempts!$D$2:$D$200,MATCH(A67,Attempts!$A$2:$A$200,0)),"?"))</f>
        <v/>
      </c>
      <c r="E67">
        <f>IF(A67="","",IFERROR(INDEX(Attempts!$L$2:$L$200,MATCH(A67,Attempts!$A$2:$A$200,0)),""))</f>
        <v/>
      </c>
      <c r="F67">
        <f>IF(B67="","",IFERROR(INDEX(Attempts!$L$2:$L$200,MATCH(B67,Attempts!$A$2:$A$200,0)),""))</f>
        <v/>
      </c>
      <c r="G67">
        <f>IF(OR(E67="",F67=""),"",F67-E67)</f>
        <v/>
      </c>
      <c r="H67">
        <f>IF(B67="","",IFERROR(INDEX(Attempts!$D$2:$D$200,MATCH(B67,Attempts!$A$2:$A$200,0)),"?"))</f>
        <v/>
      </c>
      <c r="I67" s="6" t="n"/>
    </row>
    <row r="68">
      <c r="A68" s="6" t="n"/>
      <c r="B68" s="6" t="n"/>
      <c r="C68">
        <f>IF(A68="","",IFERROR(INDEX(Attempts!$B$2:$B$200,MATCH(A68,Attempts!$A$2:$A$200,0)),"?"))</f>
        <v/>
      </c>
      <c r="D68">
        <f>IF(A68="","",IFERROR(INDEX(Attempts!$D$2:$D$200,MATCH(A68,Attempts!$A$2:$A$200,0)),"?"))</f>
        <v/>
      </c>
      <c r="E68">
        <f>IF(A68="","",IFERROR(INDEX(Attempts!$L$2:$L$200,MATCH(A68,Attempts!$A$2:$A$200,0)),""))</f>
        <v/>
      </c>
      <c r="F68">
        <f>IF(B68="","",IFERROR(INDEX(Attempts!$L$2:$L$200,MATCH(B68,Attempts!$A$2:$A$200,0)),""))</f>
        <v/>
      </c>
      <c r="G68">
        <f>IF(OR(E68="",F68=""),"",F68-E68)</f>
        <v/>
      </c>
      <c r="H68">
        <f>IF(B68="","",IFERROR(INDEX(Attempts!$D$2:$D$200,MATCH(B68,Attempts!$A$2:$A$200,0)),"?"))</f>
        <v/>
      </c>
      <c r="I68" s="6" t="n"/>
    </row>
    <row r="69">
      <c r="A69" s="6" t="n"/>
      <c r="B69" s="6" t="n"/>
      <c r="C69">
        <f>IF(A69="","",IFERROR(INDEX(Attempts!$B$2:$B$200,MATCH(A69,Attempts!$A$2:$A$200,0)),"?"))</f>
        <v/>
      </c>
      <c r="D69">
        <f>IF(A69="","",IFERROR(INDEX(Attempts!$D$2:$D$200,MATCH(A69,Attempts!$A$2:$A$200,0)),"?"))</f>
        <v/>
      </c>
      <c r="E69">
        <f>IF(A69="","",IFERROR(INDEX(Attempts!$L$2:$L$200,MATCH(A69,Attempts!$A$2:$A$200,0)),""))</f>
        <v/>
      </c>
      <c r="F69">
        <f>IF(B69="","",IFERROR(INDEX(Attempts!$L$2:$L$200,MATCH(B69,Attempts!$A$2:$A$200,0)),""))</f>
        <v/>
      </c>
      <c r="G69">
        <f>IF(OR(E69="",F69=""),"",F69-E69)</f>
        <v/>
      </c>
      <c r="H69">
        <f>IF(B69="","",IFERROR(INDEX(Attempts!$D$2:$D$200,MATCH(B69,Attempts!$A$2:$A$200,0)),"?"))</f>
        <v/>
      </c>
      <c r="I69" s="6" t="n"/>
    </row>
    <row r="70">
      <c r="A70" s="6" t="n"/>
      <c r="B70" s="6" t="n"/>
      <c r="C70">
        <f>IF(A70="","",IFERROR(INDEX(Attempts!$B$2:$B$200,MATCH(A70,Attempts!$A$2:$A$200,0)),"?"))</f>
        <v/>
      </c>
      <c r="D70">
        <f>IF(A70="","",IFERROR(INDEX(Attempts!$D$2:$D$200,MATCH(A70,Attempts!$A$2:$A$200,0)),"?"))</f>
        <v/>
      </c>
      <c r="E70">
        <f>IF(A70="","",IFERROR(INDEX(Attempts!$L$2:$L$200,MATCH(A70,Attempts!$A$2:$A$200,0)),""))</f>
        <v/>
      </c>
      <c r="F70">
        <f>IF(B70="","",IFERROR(INDEX(Attempts!$L$2:$L$200,MATCH(B70,Attempts!$A$2:$A$200,0)),""))</f>
        <v/>
      </c>
      <c r="G70">
        <f>IF(OR(E70="",F70=""),"",F70-E70)</f>
        <v/>
      </c>
      <c r="H70">
        <f>IF(B70="","",IFERROR(INDEX(Attempts!$D$2:$D$200,MATCH(B70,Attempts!$A$2:$A$200,0)),"?"))</f>
        <v/>
      </c>
      <c r="I70" s="6" t="n"/>
    </row>
    <row r="71">
      <c r="A71" s="6" t="n"/>
      <c r="B71" s="6" t="n"/>
      <c r="C71">
        <f>IF(A71="","",IFERROR(INDEX(Attempts!$B$2:$B$200,MATCH(A71,Attempts!$A$2:$A$200,0)),"?"))</f>
        <v/>
      </c>
      <c r="D71">
        <f>IF(A71="","",IFERROR(INDEX(Attempts!$D$2:$D$200,MATCH(A71,Attempts!$A$2:$A$200,0)),"?"))</f>
        <v/>
      </c>
      <c r="E71">
        <f>IF(A71="","",IFERROR(INDEX(Attempts!$L$2:$L$200,MATCH(A71,Attempts!$A$2:$A$200,0)),""))</f>
        <v/>
      </c>
      <c r="F71">
        <f>IF(B71="","",IFERROR(INDEX(Attempts!$L$2:$L$200,MATCH(B71,Attempts!$A$2:$A$200,0)),""))</f>
        <v/>
      </c>
      <c r="G71">
        <f>IF(OR(E71="",F71=""),"",F71-E71)</f>
        <v/>
      </c>
      <c r="H71">
        <f>IF(B71="","",IFERROR(INDEX(Attempts!$D$2:$D$200,MATCH(B71,Attempts!$A$2:$A$200,0)),"?"))</f>
        <v/>
      </c>
      <c r="I71" s="6" t="n"/>
    </row>
    <row r="72">
      <c r="A72" s="6" t="n"/>
      <c r="B72" s="6" t="n"/>
      <c r="C72">
        <f>IF(A72="","",IFERROR(INDEX(Attempts!$B$2:$B$200,MATCH(A72,Attempts!$A$2:$A$200,0)),"?"))</f>
        <v/>
      </c>
      <c r="D72">
        <f>IF(A72="","",IFERROR(INDEX(Attempts!$D$2:$D$200,MATCH(A72,Attempts!$A$2:$A$200,0)),"?"))</f>
        <v/>
      </c>
      <c r="E72">
        <f>IF(A72="","",IFERROR(INDEX(Attempts!$L$2:$L$200,MATCH(A72,Attempts!$A$2:$A$200,0)),""))</f>
        <v/>
      </c>
      <c r="F72">
        <f>IF(B72="","",IFERROR(INDEX(Attempts!$L$2:$L$200,MATCH(B72,Attempts!$A$2:$A$200,0)),""))</f>
        <v/>
      </c>
      <c r="G72">
        <f>IF(OR(E72="",F72=""),"",F72-E72)</f>
        <v/>
      </c>
      <c r="H72">
        <f>IF(B72="","",IFERROR(INDEX(Attempts!$D$2:$D$200,MATCH(B72,Attempts!$A$2:$A$200,0)),"?"))</f>
        <v/>
      </c>
      <c r="I72" s="6" t="n"/>
    </row>
    <row r="73">
      <c r="A73" s="6" t="n"/>
      <c r="B73" s="6" t="n"/>
      <c r="C73">
        <f>IF(A73="","",IFERROR(INDEX(Attempts!$B$2:$B$200,MATCH(A73,Attempts!$A$2:$A$200,0)),"?"))</f>
        <v/>
      </c>
      <c r="D73">
        <f>IF(A73="","",IFERROR(INDEX(Attempts!$D$2:$D$200,MATCH(A73,Attempts!$A$2:$A$200,0)),"?"))</f>
        <v/>
      </c>
      <c r="E73">
        <f>IF(A73="","",IFERROR(INDEX(Attempts!$L$2:$L$200,MATCH(A73,Attempts!$A$2:$A$200,0)),""))</f>
        <v/>
      </c>
      <c r="F73">
        <f>IF(B73="","",IFERROR(INDEX(Attempts!$L$2:$L$200,MATCH(B73,Attempts!$A$2:$A$200,0)),""))</f>
        <v/>
      </c>
      <c r="G73">
        <f>IF(OR(E73="",F73=""),"",F73-E73)</f>
        <v/>
      </c>
      <c r="H73">
        <f>IF(B73="","",IFERROR(INDEX(Attempts!$D$2:$D$200,MATCH(B73,Attempts!$A$2:$A$200,0)),"?"))</f>
        <v/>
      </c>
      <c r="I73" s="6" t="n"/>
    </row>
    <row r="74">
      <c r="A74" s="6" t="n"/>
      <c r="B74" s="6" t="n"/>
      <c r="C74">
        <f>IF(A74="","",IFERROR(INDEX(Attempts!$B$2:$B$200,MATCH(A74,Attempts!$A$2:$A$200,0)),"?"))</f>
        <v/>
      </c>
      <c r="D74">
        <f>IF(A74="","",IFERROR(INDEX(Attempts!$D$2:$D$200,MATCH(A74,Attempts!$A$2:$A$200,0)),"?"))</f>
        <v/>
      </c>
      <c r="E74">
        <f>IF(A74="","",IFERROR(INDEX(Attempts!$L$2:$L$200,MATCH(A74,Attempts!$A$2:$A$200,0)),""))</f>
        <v/>
      </c>
      <c r="F74">
        <f>IF(B74="","",IFERROR(INDEX(Attempts!$L$2:$L$200,MATCH(B74,Attempts!$A$2:$A$200,0)),""))</f>
        <v/>
      </c>
      <c r="G74">
        <f>IF(OR(E74="",F74=""),"",F74-E74)</f>
        <v/>
      </c>
      <c r="H74">
        <f>IF(B74="","",IFERROR(INDEX(Attempts!$D$2:$D$200,MATCH(B74,Attempts!$A$2:$A$200,0)),"?"))</f>
        <v/>
      </c>
      <c r="I74" s="6" t="n"/>
    </row>
    <row r="75">
      <c r="A75" s="6" t="n"/>
      <c r="B75" s="6" t="n"/>
      <c r="C75">
        <f>IF(A75="","",IFERROR(INDEX(Attempts!$B$2:$B$200,MATCH(A75,Attempts!$A$2:$A$200,0)),"?"))</f>
        <v/>
      </c>
      <c r="D75">
        <f>IF(A75="","",IFERROR(INDEX(Attempts!$D$2:$D$200,MATCH(A75,Attempts!$A$2:$A$200,0)),"?"))</f>
        <v/>
      </c>
      <c r="E75">
        <f>IF(A75="","",IFERROR(INDEX(Attempts!$L$2:$L$200,MATCH(A75,Attempts!$A$2:$A$200,0)),""))</f>
        <v/>
      </c>
      <c r="F75">
        <f>IF(B75="","",IFERROR(INDEX(Attempts!$L$2:$L$200,MATCH(B75,Attempts!$A$2:$A$200,0)),""))</f>
        <v/>
      </c>
      <c r="G75">
        <f>IF(OR(E75="",F75=""),"",F75-E75)</f>
        <v/>
      </c>
      <c r="H75">
        <f>IF(B75="","",IFERROR(INDEX(Attempts!$D$2:$D$200,MATCH(B75,Attempts!$A$2:$A$200,0)),"?"))</f>
        <v/>
      </c>
      <c r="I75" s="6" t="n"/>
    </row>
    <row r="76">
      <c r="A76" s="6" t="n"/>
      <c r="B76" s="6" t="n"/>
      <c r="C76">
        <f>IF(A76="","",IFERROR(INDEX(Attempts!$B$2:$B$200,MATCH(A76,Attempts!$A$2:$A$200,0)),"?"))</f>
        <v/>
      </c>
      <c r="D76">
        <f>IF(A76="","",IFERROR(INDEX(Attempts!$D$2:$D$200,MATCH(A76,Attempts!$A$2:$A$200,0)),"?"))</f>
        <v/>
      </c>
      <c r="E76">
        <f>IF(A76="","",IFERROR(INDEX(Attempts!$L$2:$L$200,MATCH(A76,Attempts!$A$2:$A$200,0)),""))</f>
        <v/>
      </c>
      <c r="F76">
        <f>IF(B76="","",IFERROR(INDEX(Attempts!$L$2:$L$200,MATCH(B76,Attempts!$A$2:$A$200,0)),""))</f>
        <v/>
      </c>
      <c r="G76">
        <f>IF(OR(E76="",F76=""),"",F76-E76)</f>
        <v/>
      </c>
      <c r="H76">
        <f>IF(B76="","",IFERROR(INDEX(Attempts!$D$2:$D$200,MATCH(B76,Attempts!$A$2:$A$200,0)),"?"))</f>
        <v/>
      </c>
      <c r="I76" s="6" t="n"/>
    </row>
    <row r="77">
      <c r="A77" s="6" t="n"/>
      <c r="B77" s="6" t="n"/>
      <c r="C77">
        <f>IF(A77="","",IFERROR(INDEX(Attempts!$B$2:$B$200,MATCH(A77,Attempts!$A$2:$A$200,0)),"?"))</f>
        <v/>
      </c>
      <c r="D77">
        <f>IF(A77="","",IFERROR(INDEX(Attempts!$D$2:$D$200,MATCH(A77,Attempts!$A$2:$A$200,0)),"?"))</f>
        <v/>
      </c>
      <c r="E77">
        <f>IF(A77="","",IFERROR(INDEX(Attempts!$L$2:$L$200,MATCH(A77,Attempts!$A$2:$A$200,0)),""))</f>
        <v/>
      </c>
      <c r="F77">
        <f>IF(B77="","",IFERROR(INDEX(Attempts!$L$2:$L$200,MATCH(B77,Attempts!$A$2:$A$200,0)),""))</f>
        <v/>
      </c>
      <c r="G77">
        <f>IF(OR(E77="",F77=""),"",F77-E77)</f>
        <v/>
      </c>
      <c r="H77">
        <f>IF(B77="","",IFERROR(INDEX(Attempts!$D$2:$D$200,MATCH(B77,Attempts!$A$2:$A$200,0)),"?"))</f>
        <v/>
      </c>
      <c r="I77" s="6" t="n"/>
    </row>
    <row r="78">
      <c r="A78" s="6" t="n"/>
      <c r="B78" s="6" t="n"/>
      <c r="C78">
        <f>IF(A78="","",IFERROR(INDEX(Attempts!$B$2:$B$200,MATCH(A78,Attempts!$A$2:$A$200,0)),"?"))</f>
        <v/>
      </c>
      <c r="D78">
        <f>IF(A78="","",IFERROR(INDEX(Attempts!$D$2:$D$200,MATCH(A78,Attempts!$A$2:$A$200,0)),"?"))</f>
        <v/>
      </c>
      <c r="E78">
        <f>IF(A78="","",IFERROR(INDEX(Attempts!$L$2:$L$200,MATCH(A78,Attempts!$A$2:$A$200,0)),""))</f>
        <v/>
      </c>
      <c r="F78">
        <f>IF(B78="","",IFERROR(INDEX(Attempts!$L$2:$L$200,MATCH(B78,Attempts!$A$2:$A$200,0)),""))</f>
        <v/>
      </c>
      <c r="G78">
        <f>IF(OR(E78="",F78=""),"",F78-E78)</f>
        <v/>
      </c>
      <c r="H78">
        <f>IF(B78="","",IFERROR(INDEX(Attempts!$D$2:$D$200,MATCH(B78,Attempts!$A$2:$A$200,0)),"?"))</f>
        <v/>
      </c>
      <c r="I78" s="6" t="n"/>
    </row>
    <row r="79">
      <c r="A79" s="6" t="n"/>
      <c r="B79" s="6" t="n"/>
      <c r="C79">
        <f>IF(A79="","",IFERROR(INDEX(Attempts!$B$2:$B$200,MATCH(A79,Attempts!$A$2:$A$200,0)),"?"))</f>
        <v/>
      </c>
      <c r="D79">
        <f>IF(A79="","",IFERROR(INDEX(Attempts!$D$2:$D$200,MATCH(A79,Attempts!$A$2:$A$200,0)),"?"))</f>
        <v/>
      </c>
      <c r="E79">
        <f>IF(A79="","",IFERROR(INDEX(Attempts!$L$2:$L$200,MATCH(A79,Attempts!$A$2:$A$200,0)),""))</f>
        <v/>
      </c>
      <c r="F79">
        <f>IF(B79="","",IFERROR(INDEX(Attempts!$L$2:$L$200,MATCH(B79,Attempts!$A$2:$A$200,0)),""))</f>
        <v/>
      </c>
      <c r="G79">
        <f>IF(OR(E79="",F79=""),"",F79-E79)</f>
        <v/>
      </c>
      <c r="H79">
        <f>IF(B79="","",IFERROR(INDEX(Attempts!$D$2:$D$200,MATCH(B79,Attempts!$A$2:$A$200,0)),"?"))</f>
        <v/>
      </c>
      <c r="I79" s="6" t="n"/>
    </row>
    <row r="80">
      <c r="A80" s="6" t="n"/>
      <c r="B80" s="6" t="n"/>
      <c r="C80">
        <f>IF(A80="","",IFERROR(INDEX(Attempts!$B$2:$B$200,MATCH(A80,Attempts!$A$2:$A$200,0)),"?"))</f>
        <v/>
      </c>
      <c r="D80">
        <f>IF(A80="","",IFERROR(INDEX(Attempts!$D$2:$D$200,MATCH(A80,Attempts!$A$2:$A$200,0)),"?"))</f>
        <v/>
      </c>
      <c r="E80">
        <f>IF(A80="","",IFERROR(INDEX(Attempts!$L$2:$L$200,MATCH(A80,Attempts!$A$2:$A$200,0)),""))</f>
        <v/>
      </c>
      <c r="F80">
        <f>IF(B80="","",IFERROR(INDEX(Attempts!$L$2:$L$200,MATCH(B80,Attempts!$A$2:$A$200,0)),""))</f>
        <v/>
      </c>
      <c r="G80">
        <f>IF(OR(E80="",F80=""),"",F80-E80)</f>
        <v/>
      </c>
      <c r="H80">
        <f>IF(B80="","",IFERROR(INDEX(Attempts!$D$2:$D$200,MATCH(B80,Attempts!$A$2:$A$200,0)),"?"))</f>
        <v/>
      </c>
      <c r="I80" s="6" t="n"/>
    </row>
    <row r="81">
      <c r="A81" s="6" t="n"/>
      <c r="B81" s="6" t="n"/>
      <c r="C81">
        <f>IF(A81="","",IFERROR(INDEX(Attempts!$B$2:$B$200,MATCH(A81,Attempts!$A$2:$A$200,0)),"?"))</f>
        <v/>
      </c>
      <c r="D81">
        <f>IF(A81="","",IFERROR(INDEX(Attempts!$D$2:$D$200,MATCH(A81,Attempts!$A$2:$A$200,0)),"?"))</f>
        <v/>
      </c>
      <c r="E81">
        <f>IF(A81="","",IFERROR(INDEX(Attempts!$L$2:$L$200,MATCH(A81,Attempts!$A$2:$A$200,0)),""))</f>
        <v/>
      </c>
      <c r="F81">
        <f>IF(B81="","",IFERROR(INDEX(Attempts!$L$2:$L$200,MATCH(B81,Attempts!$A$2:$A$200,0)),""))</f>
        <v/>
      </c>
      <c r="G81">
        <f>IF(OR(E81="",F81=""),"",F81-E81)</f>
        <v/>
      </c>
      <c r="H81">
        <f>IF(B81="","",IFERROR(INDEX(Attempts!$D$2:$D$200,MATCH(B81,Attempts!$A$2:$A$200,0)),"?"))</f>
        <v/>
      </c>
      <c r="I81" s="6" t="n"/>
    </row>
    <row r="82">
      <c r="A82" s="6" t="n"/>
      <c r="B82" s="6" t="n"/>
      <c r="C82">
        <f>IF(A82="","",IFERROR(INDEX(Attempts!$B$2:$B$200,MATCH(A82,Attempts!$A$2:$A$200,0)),"?"))</f>
        <v/>
      </c>
      <c r="D82">
        <f>IF(A82="","",IFERROR(INDEX(Attempts!$D$2:$D$200,MATCH(A82,Attempts!$A$2:$A$200,0)),"?"))</f>
        <v/>
      </c>
      <c r="E82">
        <f>IF(A82="","",IFERROR(INDEX(Attempts!$L$2:$L$200,MATCH(A82,Attempts!$A$2:$A$200,0)),""))</f>
        <v/>
      </c>
      <c r="F82">
        <f>IF(B82="","",IFERROR(INDEX(Attempts!$L$2:$L$200,MATCH(B82,Attempts!$A$2:$A$200,0)),""))</f>
        <v/>
      </c>
      <c r="G82">
        <f>IF(OR(E82="",F82=""),"",F82-E82)</f>
        <v/>
      </c>
      <c r="H82">
        <f>IF(B82="","",IFERROR(INDEX(Attempts!$D$2:$D$200,MATCH(B82,Attempts!$A$2:$A$200,0)),"?"))</f>
        <v/>
      </c>
      <c r="I82" s="6" t="n"/>
    </row>
    <row r="83">
      <c r="A83" s="6" t="n"/>
      <c r="B83" s="6" t="n"/>
      <c r="C83">
        <f>IF(A83="","",IFERROR(INDEX(Attempts!$B$2:$B$200,MATCH(A83,Attempts!$A$2:$A$200,0)),"?"))</f>
        <v/>
      </c>
      <c r="D83">
        <f>IF(A83="","",IFERROR(INDEX(Attempts!$D$2:$D$200,MATCH(A83,Attempts!$A$2:$A$200,0)),"?"))</f>
        <v/>
      </c>
      <c r="E83">
        <f>IF(A83="","",IFERROR(INDEX(Attempts!$L$2:$L$200,MATCH(A83,Attempts!$A$2:$A$200,0)),""))</f>
        <v/>
      </c>
      <c r="F83">
        <f>IF(B83="","",IFERROR(INDEX(Attempts!$L$2:$L$200,MATCH(B83,Attempts!$A$2:$A$200,0)),""))</f>
        <v/>
      </c>
      <c r="G83">
        <f>IF(OR(E83="",F83=""),"",F83-E83)</f>
        <v/>
      </c>
      <c r="H83">
        <f>IF(B83="","",IFERROR(INDEX(Attempts!$D$2:$D$200,MATCH(B83,Attempts!$A$2:$A$200,0)),"?"))</f>
        <v/>
      </c>
      <c r="I83" s="6" t="n"/>
    </row>
    <row r="84">
      <c r="A84" s="6" t="n"/>
      <c r="B84" s="6" t="n"/>
      <c r="C84">
        <f>IF(A84="","",IFERROR(INDEX(Attempts!$B$2:$B$200,MATCH(A84,Attempts!$A$2:$A$200,0)),"?"))</f>
        <v/>
      </c>
      <c r="D84">
        <f>IF(A84="","",IFERROR(INDEX(Attempts!$D$2:$D$200,MATCH(A84,Attempts!$A$2:$A$200,0)),"?"))</f>
        <v/>
      </c>
      <c r="E84">
        <f>IF(A84="","",IFERROR(INDEX(Attempts!$L$2:$L$200,MATCH(A84,Attempts!$A$2:$A$200,0)),""))</f>
        <v/>
      </c>
      <c r="F84">
        <f>IF(B84="","",IFERROR(INDEX(Attempts!$L$2:$L$200,MATCH(B84,Attempts!$A$2:$A$200,0)),""))</f>
        <v/>
      </c>
      <c r="G84">
        <f>IF(OR(E84="",F84=""),"",F84-E84)</f>
        <v/>
      </c>
      <c r="H84">
        <f>IF(B84="","",IFERROR(INDEX(Attempts!$D$2:$D$200,MATCH(B84,Attempts!$A$2:$A$200,0)),"?"))</f>
        <v/>
      </c>
      <c r="I84" s="6" t="n"/>
    </row>
    <row r="85">
      <c r="A85" s="6" t="n"/>
      <c r="B85" s="6" t="n"/>
      <c r="C85">
        <f>IF(A85="","",IFERROR(INDEX(Attempts!$B$2:$B$200,MATCH(A85,Attempts!$A$2:$A$200,0)),"?"))</f>
        <v/>
      </c>
      <c r="D85">
        <f>IF(A85="","",IFERROR(INDEX(Attempts!$D$2:$D$200,MATCH(A85,Attempts!$A$2:$A$200,0)),"?"))</f>
        <v/>
      </c>
      <c r="E85">
        <f>IF(A85="","",IFERROR(INDEX(Attempts!$L$2:$L$200,MATCH(A85,Attempts!$A$2:$A$200,0)),""))</f>
        <v/>
      </c>
      <c r="F85">
        <f>IF(B85="","",IFERROR(INDEX(Attempts!$L$2:$L$200,MATCH(B85,Attempts!$A$2:$A$200,0)),""))</f>
        <v/>
      </c>
      <c r="G85">
        <f>IF(OR(E85="",F85=""),"",F85-E85)</f>
        <v/>
      </c>
      <c r="H85">
        <f>IF(B85="","",IFERROR(INDEX(Attempts!$D$2:$D$200,MATCH(B85,Attempts!$A$2:$A$200,0)),"?"))</f>
        <v/>
      </c>
      <c r="I85" s="6" t="n"/>
    </row>
    <row r="86">
      <c r="A86" s="6" t="n"/>
      <c r="B86" s="6" t="n"/>
      <c r="C86">
        <f>IF(A86="","",IFERROR(INDEX(Attempts!$B$2:$B$200,MATCH(A86,Attempts!$A$2:$A$200,0)),"?"))</f>
        <v/>
      </c>
      <c r="D86">
        <f>IF(A86="","",IFERROR(INDEX(Attempts!$D$2:$D$200,MATCH(A86,Attempts!$A$2:$A$200,0)),"?"))</f>
        <v/>
      </c>
      <c r="E86">
        <f>IF(A86="","",IFERROR(INDEX(Attempts!$L$2:$L$200,MATCH(A86,Attempts!$A$2:$A$200,0)),""))</f>
        <v/>
      </c>
      <c r="F86">
        <f>IF(B86="","",IFERROR(INDEX(Attempts!$L$2:$L$200,MATCH(B86,Attempts!$A$2:$A$200,0)),""))</f>
        <v/>
      </c>
      <c r="G86">
        <f>IF(OR(E86="",F86=""),"",F86-E86)</f>
        <v/>
      </c>
      <c r="H86">
        <f>IF(B86="","",IFERROR(INDEX(Attempts!$D$2:$D$200,MATCH(B86,Attempts!$A$2:$A$200,0)),"?"))</f>
        <v/>
      </c>
      <c r="I86" s="6" t="n"/>
    </row>
    <row r="87">
      <c r="A87" s="6" t="n"/>
      <c r="B87" s="6" t="n"/>
      <c r="C87">
        <f>IF(A87="","",IFERROR(INDEX(Attempts!$B$2:$B$200,MATCH(A87,Attempts!$A$2:$A$200,0)),"?"))</f>
        <v/>
      </c>
      <c r="D87">
        <f>IF(A87="","",IFERROR(INDEX(Attempts!$D$2:$D$200,MATCH(A87,Attempts!$A$2:$A$200,0)),"?"))</f>
        <v/>
      </c>
      <c r="E87">
        <f>IF(A87="","",IFERROR(INDEX(Attempts!$L$2:$L$200,MATCH(A87,Attempts!$A$2:$A$200,0)),""))</f>
        <v/>
      </c>
      <c r="F87">
        <f>IF(B87="","",IFERROR(INDEX(Attempts!$L$2:$L$200,MATCH(B87,Attempts!$A$2:$A$200,0)),""))</f>
        <v/>
      </c>
      <c r="G87">
        <f>IF(OR(E87="",F87=""),"",F87-E87)</f>
        <v/>
      </c>
      <c r="H87">
        <f>IF(B87="","",IFERROR(INDEX(Attempts!$D$2:$D$200,MATCH(B87,Attempts!$A$2:$A$200,0)),"?"))</f>
        <v/>
      </c>
      <c r="I87" s="6" t="n"/>
    </row>
    <row r="88">
      <c r="A88" s="6" t="n"/>
      <c r="B88" s="6" t="n"/>
      <c r="C88">
        <f>IF(A88="","",IFERROR(INDEX(Attempts!$B$2:$B$200,MATCH(A88,Attempts!$A$2:$A$200,0)),"?"))</f>
        <v/>
      </c>
      <c r="D88">
        <f>IF(A88="","",IFERROR(INDEX(Attempts!$D$2:$D$200,MATCH(A88,Attempts!$A$2:$A$200,0)),"?"))</f>
        <v/>
      </c>
      <c r="E88">
        <f>IF(A88="","",IFERROR(INDEX(Attempts!$L$2:$L$200,MATCH(A88,Attempts!$A$2:$A$200,0)),""))</f>
        <v/>
      </c>
      <c r="F88">
        <f>IF(B88="","",IFERROR(INDEX(Attempts!$L$2:$L$200,MATCH(B88,Attempts!$A$2:$A$200,0)),""))</f>
        <v/>
      </c>
      <c r="G88">
        <f>IF(OR(E88="",F88=""),"",F88-E88)</f>
        <v/>
      </c>
      <c r="H88">
        <f>IF(B88="","",IFERROR(INDEX(Attempts!$D$2:$D$200,MATCH(B88,Attempts!$A$2:$A$200,0)),"?"))</f>
        <v/>
      </c>
      <c r="I88" s="6" t="n"/>
    </row>
    <row r="89">
      <c r="A89" s="6" t="n"/>
      <c r="B89" s="6" t="n"/>
      <c r="C89">
        <f>IF(A89="","",IFERROR(INDEX(Attempts!$B$2:$B$200,MATCH(A89,Attempts!$A$2:$A$200,0)),"?"))</f>
        <v/>
      </c>
      <c r="D89">
        <f>IF(A89="","",IFERROR(INDEX(Attempts!$D$2:$D$200,MATCH(A89,Attempts!$A$2:$A$200,0)),"?"))</f>
        <v/>
      </c>
      <c r="E89">
        <f>IF(A89="","",IFERROR(INDEX(Attempts!$L$2:$L$200,MATCH(A89,Attempts!$A$2:$A$200,0)),""))</f>
        <v/>
      </c>
      <c r="F89">
        <f>IF(B89="","",IFERROR(INDEX(Attempts!$L$2:$L$200,MATCH(B89,Attempts!$A$2:$A$200,0)),""))</f>
        <v/>
      </c>
      <c r="G89">
        <f>IF(OR(E89="",F89=""),"",F89-E89)</f>
        <v/>
      </c>
      <c r="H89">
        <f>IF(B89="","",IFERROR(INDEX(Attempts!$D$2:$D$200,MATCH(B89,Attempts!$A$2:$A$200,0)),"?"))</f>
        <v/>
      </c>
      <c r="I89" s="6" t="n"/>
    </row>
    <row r="90">
      <c r="A90" s="6" t="n"/>
      <c r="B90" s="6" t="n"/>
      <c r="C90">
        <f>IF(A90="","",IFERROR(INDEX(Attempts!$B$2:$B$200,MATCH(A90,Attempts!$A$2:$A$200,0)),"?"))</f>
        <v/>
      </c>
      <c r="D90">
        <f>IF(A90="","",IFERROR(INDEX(Attempts!$D$2:$D$200,MATCH(A90,Attempts!$A$2:$A$200,0)),"?"))</f>
        <v/>
      </c>
      <c r="E90">
        <f>IF(A90="","",IFERROR(INDEX(Attempts!$L$2:$L$200,MATCH(A90,Attempts!$A$2:$A$200,0)),""))</f>
        <v/>
      </c>
      <c r="F90">
        <f>IF(B90="","",IFERROR(INDEX(Attempts!$L$2:$L$200,MATCH(B90,Attempts!$A$2:$A$200,0)),""))</f>
        <v/>
      </c>
      <c r="G90">
        <f>IF(OR(E90="",F90=""),"",F90-E90)</f>
        <v/>
      </c>
      <c r="H90">
        <f>IF(B90="","",IFERROR(INDEX(Attempts!$D$2:$D$200,MATCH(B90,Attempts!$A$2:$A$200,0)),"?"))</f>
        <v/>
      </c>
      <c r="I90" s="6" t="n"/>
    </row>
    <row r="91">
      <c r="A91" s="6" t="n"/>
      <c r="B91" s="6" t="n"/>
      <c r="C91">
        <f>IF(A91="","",IFERROR(INDEX(Attempts!$B$2:$B$200,MATCH(A91,Attempts!$A$2:$A$200,0)),"?"))</f>
        <v/>
      </c>
      <c r="D91">
        <f>IF(A91="","",IFERROR(INDEX(Attempts!$D$2:$D$200,MATCH(A91,Attempts!$A$2:$A$200,0)),"?"))</f>
        <v/>
      </c>
      <c r="E91">
        <f>IF(A91="","",IFERROR(INDEX(Attempts!$L$2:$L$200,MATCH(A91,Attempts!$A$2:$A$200,0)),""))</f>
        <v/>
      </c>
      <c r="F91">
        <f>IF(B91="","",IFERROR(INDEX(Attempts!$L$2:$L$200,MATCH(B91,Attempts!$A$2:$A$200,0)),""))</f>
        <v/>
      </c>
      <c r="G91">
        <f>IF(OR(E91="",F91=""),"",F91-E91)</f>
        <v/>
      </c>
      <c r="H91">
        <f>IF(B91="","",IFERROR(INDEX(Attempts!$D$2:$D$200,MATCH(B91,Attempts!$A$2:$A$200,0)),"?"))</f>
        <v/>
      </c>
      <c r="I91" s="6" t="n"/>
    </row>
    <row r="92">
      <c r="A92" s="6" t="n"/>
      <c r="B92" s="6" t="n"/>
      <c r="C92">
        <f>IF(A92="","",IFERROR(INDEX(Attempts!$B$2:$B$200,MATCH(A92,Attempts!$A$2:$A$200,0)),"?"))</f>
        <v/>
      </c>
      <c r="D92">
        <f>IF(A92="","",IFERROR(INDEX(Attempts!$D$2:$D$200,MATCH(A92,Attempts!$A$2:$A$200,0)),"?"))</f>
        <v/>
      </c>
      <c r="E92">
        <f>IF(A92="","",IFERROR(INDEX(Attempts!$L$2:$L$200,MATCH(A92,Attempts!$A$2:$A$200,0)),""))</f>
        <v/>
      </c>
      <c r="F92">
        <f>IF(B92="","",IFERROR(INDEX(Attempts!$L$2:$L$200,MATCH(B92,Attempts!$A$2:$A$200,0)),""))</f>
        <v/>
      </c>
      <c r="G92">
        <f>IF(OR(E92="",F92=""),"",F92-E92)</f>
        <v/>
      </c>
      <c r="H92">
        <f>IF(B92="","",IFERROR(INDEX(Attempts!$D$2:$D$200,MATCH(B92,Attempts!$A$2:$A$200,0)),"?"))</f>
        <v/>
      </c>
      <c r="I92" s="6" t="n"/>
    </row>
    <row r="93">
      <c r="A93" s="6" t="n"/>
      <c r="B93" s="6" t="n"/>
      <c r="C93">
        <f>IF(A93="","",IFERROR(INDEX(Attempts!$B$2:$B$200,MATCH(A93,Attempts!$A$2:$A$200,0)),"?"))</f>
        <v/>
      </c>
      <c r="D93">
        <f>IF(A93="","",IFERROR(INDEX(Attempts!$D$2:$D$200,MATCH(A93,Attempts!$A$2:$A$200,0)),"?"))</f>
        <v/>
      </c>
      <c r="E93">
        <f>IF(A93="","",IFERROR(INDEX(Attempts!$L$2:$L$200,MATCH(A93,Attempts!$A$2:$A$200,0)),""))</f>
        <v/>
      </c>
      <c r="F93">
        <f>IF(B93="","",IFERROR(INDEX(Attempts!$L$2:$L$200,MATCH(B93,Attempts!$A$2:$A$200,0)),""))</f>
        <v/>
      </c>
      <c r="G93">
        <f>IF(OR(E93="",F93=""),"",F93-E93)</f>
        <v/>
      </c>
      <c r="H93">
        <f>IF(B93="","",IFERROR(INDEX(Attempts!$D$2:$D$200,MATCH(B93,Attempts!$A$2:$A$200,0)),"?"))</f>
        <v/>
      </c>
      <c r="I93" s="6" t="n"/>
    </row>
    <row r="94">
      <c r="A94" s="6" t="n"/>
      <c r="B94" s="6" t="n"/>
      <c r="C94">
        <f>IF(A94="","",IFERROR(INDEX(Attempts!$B$2:$B$200,MATCH(A94,Attempts!$A$2:$A$200,0)),"?"))</f>
        <v/>
      </c>
      <c r="D94">
        <f>IF(A94="","",IFERROR(INDEX(Attempts!$D$2:$D$200,MATCH(A94,Attempts!$A$2:$A$200,0)),"?"))</f>
        <v/>
      </c>
      <c r="E94">
        <f>IF(A94="","",IFERROR(INDEX(Attempts!$L$2:$L$200,MATCH(A94,Attempts!$A$2:$A$200,0)),""))</f>
        <v/>
      </c>
      <c r="F94">
        <f>IF(B94="","",IFERROR(INDEX(Attempts!$L$2:$L$200,MATCH(B94,Attempts!$A$2:$A$200,0)),""))</f>
        <v/>
      </c>
      <c r="G94">
        <f>IF(OR(E94="",F94=""),"",F94-E94)</f>
        <v/>
      </c>
      <c r="H94">
        <f>IF(B94="","",IFERROR(INDEX(Attempts!$D$2:$D$200,MATCH(B94,Attempts!$A$2:$A$200,0)),"?"))</f>
        <v/>
      </c>
      <c r="I94" s="6" t="n"/>
    </row>
    <row r="95">
      <c r="A95" s="6" t="n"/>
      <c r="B95" s="6" t="n"/>
      <c r="C95">
        <f>IF(A95="","",IFERROR(INDEX(Attempts!$B$2:$B$200,MATCH(A95,Attempts!$A$2:$A$200,0)),"?"))</f>
        <v/>
      </c>
      <c r="D95">
        <f>IF(A95="","",IFERROR(INDEX(Attempts!$D$2:$D$200,MATCH(A95,Attempts!$A$2:$A$200,0)),"?"))</f>
        <v/>
      </c>
      <c r="E95">
        <f>IF(A95="","",IFERROR(INDEX(Attempts!$L$2:$L$200,MATCH(A95,Attempts!$A$2:$A$200,0)),""))</f>
        <v/>
      </c>
      <c r="F95">
        <f>IF(B95="","",IFERROR(INDEX(Attempts!$L$2:$L$200,MATCH(B95,Attempts!$A$2:$A$200,0)),""))</f>
        <v/>
      </c>
      <c r="G95">
        <f>IF(OR(E95="",F95=""),"",F95-E95)</f>
        <v/>
      </c>
      <c r="H95">
        <f>IF(B95="","",IFERROR(INDEX(Attempts!$D$2:$D$200,MATCH(B95,Attempts!$A$2:$A$200,0)),"?"))</f>
        <v/>
      </c>
      <c r="I95" s="6" t="n"/>
    </row>
    <row r="96">
      <c r="A96" s="6" t="n"/>
      <c r="B96" s="6" t="n"/>
      <c r="C96">
        <f>IF(A96="","",IFERROR(INDEX(Attempts!$B$2:$B$200,MATCH(A96,Attempts!$A$2:$A$200,0)),"?"))</f>
        <v/>
      </c>
      <c r="D96">
        <f>IF(A96="","",IFERROR(INDEX(Attempts!$D$2:$D$200,MATCH(A96,Attempts!$A$2:$A$200,0)),"?"))</f>
        <v/>
      </c>
      <c r="E96">
        <f>IF(A96="","",IFERROR(INDEX(Attempts!$L$2:$L$200,MATCH(A96,Attempts!$A$2:$A$200,0)),""))</f>
        <v/>
      </c>
      <c r="F96">
        <f>IF(B96="","",IFERROR(INDEX(Attempts!$L$2:$L$200,MATCH(B96,Attempts!$A$2:$A$200,0)),""))</f>
        <v/>
      </c>
      <c r="G96">
        <f>IF(OR(E96="",F96=""),"",F96-E96)</f>
        <v/>
      </c>
      <c r="H96">
        <f>IF(B96="","",IFERROR(INDEX(Attempts!$D$2:$D$200,MATCH(B96,Attempts!$A$2:$A$200,0)),"?"))</f>
        <v/>
      </c>
      <c r="I96" s="6" t="n"/>
    </row>
    <row r="97">
      <c r="A97" s="6" t="n"/>
      <c r="B97" s="6" t="n"/>
      <c r="C97">
        <f>IF(A97="","",IFERROR(INDEX(Attempts!$B$2:$B$200,MATCH(A97,Attempts!$A$2:$A$200,0)),"?"))</f>
        <v/>
      </c>
      <c r="D97">
        <f>IF(A97="","",IFERROR(INDEX(Attempts!$D$2:$D$200,MATCH(A97,Attempts!$A$2:$A$200,0)),"?"))</f>
        <v/>
      </c>
      <c r="E97">
        <f>IF(A97="","",IFERROR(INDEX(Attempts!$L$2:$L$200,MATCH(A97,Attempts!$A$2:$A$200,0)),""))</f>
        <v/>
      </c>
      <c r="F97">
        <f>IF(B97="","",IFERROR(INDEX(Attempts!$L$2:$L$200,MATCH(B97,Attempts!$A$2:$A$200,0)),""))</f>
        <v/>
      </c>
      <c r="G97">
        <f>IF(OR(E97="",F97=""),"",F97-E97)</f>
        <v/>
      </c>
      <c r="H97">
        <f>IF(B97="","",IFERROR(INDEX(Attempts!$D$2:$D$200,MATCH(B97,Attempts!$A$2:$A$200,0)),"?"))</f>
        <v/>
      </c>
      <c r="I97" s="6" t="n"/>
    </row>
    <row r="98">
      <c r="A98" s="6" t="n"/>
      <c r="B98" s="6" t="n"/>
      <c r="C98">
        <f>IF(A98="","",IFERROR(INDEX(Attempts!$B$2:$B$200,MATCH(A98,Attempts!$A$2:$A$200,0)),"?"))</f>
        <v/>
      </c>
      <c r="D98">
        <f>IF(A98="","",IFERROR(INDEX(Attempts!$D$2:$D$200,MATCH(A98,Attempts!$A$2:$A$200,0)),"?"))</f>
        <v/>
      </c>
      <c r="E98">
        <f>IF(A98="","",IFERROR(INDEX(Attempts!$L$2:$L$200,MATCH(A98,Attempts!$A$2:$A$200,0)),""))</f>
        <v/>
      </c>
      <c r="F98">
        <f>IF(B98="","",IFERROR(INDEX(Attempts!$L$2:$L$200,MATCH(B98,Attempts!$A$2:$A$200,0)),""))</f>
        <v/>
      </c>
      <c r="G98">
        <f>IF(OR(E98="",F98=""),"",F98-E98)</f>
        <v/>
      </c>
      <c r="H98">
        <f>IF(B98="","",IFERROR(INDEX(Attempts!$D$2:$D$200,MATCH(B98,Attempts!$A$2:$A$200,0)),"?"))</f>
        <v/>
      </c>
      <c r="I98" s="6" t="n"/>
    </row>
    <row r="99">
      <c r="A99" s="6" t="n"/>
      <c r="B99" s="6" t="n"/>
      <c r="C99">
        <f>IF(A99="","",IFERROR(INDEX(Attempts!$B$2:$B$200,MATCH(A99,Attempts!$A$2:$A$200,0)),"?"))</f>
        <v/>
      </c>
      <c r="D99">
        <f>IF(A99="","",IFERROR(INDEX(Attempts!$D$2:$D$200,MATCH(A99,Attempts!$A$2:$A$200,0)),"?"))</f>
        <v/>
      </c>
      <c r="E99">
        <f>IF(A99="","",IFERROR(INDEX(Attempts!$L$2:$L$200,MATCH(A99,Attempts!$A$2:$A$200,0)),""))</f>
        <v/>
      </c>
      <c r="F99">
        <f>IF(B99="","",IFERROR(INDEX(Attempts!$L$2:$L$200,MATCH(B99,Attempts!$A$2:$A$200,0)),""))</f>
        <v/>
      </c>
      <c r="G99">
        <f>IF(OR(E99="",F99=""),"",F99-E99)</f>
        <v/>
      </c>
      <c r="H99">
        <f>IF(B99="","",IFERROR(INDEX(Attempts!$D$2:$D$200,MATCH(B99,Attempts!$A$2:$A$200,0)),"?"))</f>
        <v/>
      </c>
      <c r="I99" s="6" t="n"/>
    </row>
    <row r="100">
      <c r="A100" s="6" t="n"/>
      <c r="B100" s="6" t="n"/>
      <c r="C100">
        <f>IF(A100="","",IFERROR(INDEX(Attempts!$B$2:$B$200,MATCH(A100,Attempts!$A$2:$A$200,0)),"?"))</f>
        <v/>
      </c>
      <c r="D100">
        <f>IF(A100="","",IFERROR(INDEX(Attempts!$D$2:$D$200,MATCH(A100,Attempts!$A$2:$A$200,0)),"?"))</f>
        <v/>
      </c>
      <c r="E100">
        <f>IF(A100="","",IFERROR(INDEX(Attempts!$L$2:$L$200,MATCH(A100,Attempts!$A$2:$A$200,0)),""))</f>
        <v/>
      </c>
      <c r="F100">
        <f>IF(B100="","",IFERROR(INDEX(Attempts!$L$2:$L$200,MATCH(B100,Attempts!$A$2:$A$200,0)),""))</f>
        <v/>
      </c>
      <c r="G100">
        <f>IF(OR(E100="",F100=""),"",F100-E100)</f>
        <v/>
      </c>
      <c r="H100">
        <f>IF(B100="","",IFERROR(INDEX(Attempts!$D$2:$D$200,MATCH(B100,Attempts!$A$2:$A$200,0)),"?"))</f>
        <v/>
      </c>
      <c r="I100" s="6" t="n"/>
    </row>
    <row r="101">
      <c r="A101" s="6" t="n"/>
      <c r="B101" s="6" t="n"/>
      <c r="C101">
        <f>IF(A101="","",IFERROR(INDEX(Attempts!$B$2:$B$200,MATCH(A101,Attempts!$A$2:$A$200,0)),"?"))</f>
        <v/>
      </c>
      <c r="D101">
        <f>IF(A101="","",IFERROR(INDEX(Attempts!$D$2:$D$200,MATCH(A101,Attempts!$A$2:$A$200,0)),"?"))</f>
        <v/>
      </c>
      <c r="E101">
        <f>IF(A101="","",IFERROR(INDEX(Attempts!$L$2:$L$200,MATCH(A101,Attempts!$A$2:$A$200,0)),""))</f>
        <v/>
      </c>
      <c r="F101">
        <f>IF(B101="","",IFERROR(INDEX(Attempts!$L$2:$L$200,MATCH(B101,Attempts!$A$2:$A$200,0)),""))</f>
        <v/>
      </c>
      <c r="G101">
        <f>IF(OR(E101="",F101=""),"",F101-E101)</f>
        <v/>
      </c>
      <c r="H101">
        <f>IF(B101="","",IFERROR(INDEX(Attempts!$D$2:$D$200,MATCH(B101,Attempts!$A$2:$A$200,0)),"?"))</f>
        <v/>
      </c>
      <c r="I101" s="6" t="n"/>
    </row>
    <row r="102">
      <c r="A102" s="6" t="n"/>
      <c r="B102" s="6" t="n"/>
      <c r="C102">
        <f>IF(A102="","",IFERROR(INDEX(Attempts!$B$2:$B$200,MATCH(A102,Attempts!$A$2:$A$200,0)),"?"))</f>
        <v/>
      </c>
      <c r="D102">
        <f>IF(A102="","",IFERROR(INDEX(Attempts!$D$2:$D$200,MATCH(A102,Attempts!$A$2:$A$200,0)),"?"))</f>
        <v/>
      </c>
      <c r="E102">
        <f>IF(A102="","",IFERROR(INDEX(Attempts!$L$2:$L$200,MATCH(A102,Attempts!$A$2:$A$200,0)),""))</f>
        <v/>
      </c>
      <c r="F102">
        <f>IF(B102="","",IFERROR(INDEX(Attempts!$L$2:$L$200,MATCH(B102,Attempts!$A$2:$A$200,0)),""))</f>
        <v/>
      </c>
      <c r="G102">
        <f>IF(OR(E102="",F102=""),"",F102-E102)</f>
        <v/>
      </c>
      <c r="H102">
        <f>IF(B102="","",IFERROR(INDEX(Attempts!$D$2:$D$200,MATCH(B102,Attempts!$A$2:$A$200,0)),"?"))</f>
        <v/>
      </c>
      <c r="I102" s="6" t="n"/>
    </row>
    <row r="103">
      <c r="A103" s="6" t="n"/>
      <c r="B103" s="6" t="n"/>
      <c r="C103">
        <f>IF(A103="","",IFERROR(INDEX(Attempts!$B$2:$B$200,MATCH(A103,Attempts!$A$2:$A$200,0)),"?"))</f>
        <v/>
      </c>
      <c r="D103">
        <f>IF(A103="","",IFERROR(INDEX(Attempts!$D$2:$D$200,MATCH(A103,Attempts!$A$2:$A$200,0)),"?"))</f>
        <v/>
      </c>
      <c r="E103">
        <f>IF(A103="","",IFERROR(INDEX(Attempts!$L$2:$L$200,MATCH(A103,Attempts!$A$2:$A$200,0)),""))</f>
        <v/>
      </c>
      <c r="F103">
        <f>IF(B103="","",IFERROR(INDEX(Attempts!$L$2:$L$200,MATCH(B103,Attempts!$A$2:$A$200,0)),""))</f>
        <v/>
      </c>
      <c r="G103">
        <f>IF(OR(E103="",F103=""),"",F103-E103)</f>
        <v/>
      </c>
      <c r="H103">
        <f>IF(B103="","",IFERROR(INDEX(Attempts!$D$2:$D$200,MATCH(B103,Attempts!$A$2:$A$200,0)),"?"))</f>
        <v/>
      </c>
      <c r="I103" s="6" t="n"/>
    </row>
    <row r="104">
      <c r="A104" s="6" t="n"/>
      <c r="B104" s="6" t="n"/>
      <c r="C104">
        <f>IF(A104="","",IFERROR(INDEX(Attempts!$B$2:$B$200,MATCH(A104,Attempts!$A$2:$A$200,0)),"?"))</f>
        <v/>
      </c>
      <c r="D104">
        <f>IF(A104="","",IFERROR(INDEX(Attempts!$D$2:$D$200,MATCH(A104,Attempts!$A$2:$A$200,0)),"?"))</f>
        <v/>
      </c>
      <c r="E104">
        <f>IF(A104="","",IFERROR(INDEX(Attempts!$L$2:$L$200,MATCH(A104,Attempts!$A$2:$A$200,0)),""))</f>
        <v/>
      </c>
      <c r="F104">
        <f>IF(B104="","",IFERROR(INDEX(Attempts!$L$2:$L$200,MATCH(B104,Attempts!$A$2:$A$200,0)),""))</f>
        <v/>
      </c>
      <c r="G104">
        <f>IF(OR(E104="",F104=""),"",F104-E104)</f>
        <v/>
      </c>
      <c r="H104">
        <f>IF(B104="","",IFERROR(INDEX(Attempts!$D$2:$D$200,MATCH(B104,Attempts!$A$2:$A$200,0)),"?"))</f>
        <v/>
      </c>
      <c r="I104" s="6" t="n"/>
    </row>
    <row r="105">
      <c r="A105" s="6" t="n"/>
      <c r="B105" s="6" t="n"/>
      <c r="C105">
        <f>IF(A105="","",IFERROR(INDEX(Attempts!$B$2:$B$200,MATCH(A105,Attempts!$A$2:$A$200,0)),"?"))</f>
        <v/>
      </c>
      <c r="D105">
        <f>IF(A105="","",IFERROR(INDEX(Attempts!$D$2:$D$200,MATCH(A105,Attempts!$A$2:$A$200,0)),"?"))</f>
        <v/>
      </c>
      <c r="E105">
        <f>IF(A105="","",IFERROR(INDEX(Attempts!$L$2:$L$200,MATCH(A105,Attempts!$A$2:$A$200,0)),""))</f>
        <v/>
      </c>
      <c r="F105">
        <f>IF(B105="","",IFERROR(INDEX(Attempts!$L$2:$L$200,MATCH(B105,Attempts!$A$2:$A$200,0)),""))</f>
        <v/>
      </c>
      <c r="G105">
        <f>IF(OR(E105="",F105=""),"",F105-E105)</f>
        <v/>
      </c>
      <c r="H105">
        <f>IF(B105="","",IFERROR(INDEX(Attempts!$D$2:$D$200,MATCH(B105,Attempts!$A$2:$A$200,0)),"?"))</f>
        <v/>
      </c>
      <c r="I105" s="6" t="n"/>
    </row>
    <row r="106">
      <c r="A106" s="6" t="n"/>
      <c r="B106" s="6" t="n"/>
      <c r="C106">
        <f>IF(A106="","",IFERROR(INDEX(Attempts!$B$2:$B$200,MATCH(A106,Attempts!$A$2:$A$200,0)),"?"))</f>
        <v/>
      </c>
      <c r="D106">
        <f>IF(A106="","",IFERROR(INDEX(Attempts!$D$2:$D$200,MATCH(A106,Attempts!$A$2:$A$200,0)),"?"))</f>
        <v/>
      </c>
      <c r="E106">
        <f>IF(A106="","",IFERROR(INDEX(Attempts!$L$2:$L$200,MATCH(A106,Attempts!$A$2:$A$200,0)),""))</f>
        <v/>
      </c>
      <c r="F106">
        <f>IF(B106="","",IFERROR(INDEX(Attempts!$L$2:$L$200,MATCH(B106,Attempts!$A$2:$A$200,0)),""))</f>
        <v/>
      </c>
      <c r="G106">
        <f>IF(OR(E106="",F106=""),"",F106-E106)</f>
        <v/>
      </c>
      <c r="H106">
        <f>IF(B106="","",IFERROR(INDEX(Attempts!$D$2:$D$200,MATCH(B106,Attempts!$A$2:$A$200,0)),"?"))</f>
        <v/>
      </c>
      <c r="I106" s="6" t="n"/>
    </row>
    <row r="107">
      <c r="A107" s="6" t="n"/>
      <c r="B107" s="6" t="n"/>
      <c r="C107">
        <f>IF(A107="","",IFERROR(INDEX(Attempts!$B$2:$B$200,MATCH(A107,Attempts!$A$2:$A$200,0)),"?"))</f>
        <v/>
      </c>
      <c r="D107">
        <f>IF(A107="","",IFERROR(INDEX(Attempts!$D$2:$D$200,MATCH(A107,Attempts!$A$2:$A$200,0)),"?"))</f>
        <v/>
      </c>
      <c r="E107">
        <f>IF(A107="","",IFERROR(INDEX(Attempts!$L$2:$L$200,MATCH(A107,Attempts!$A$2:$A$200,0)),""))</f>
        <v/>
      </c>
      <c r="F107">
        <f>IF(B107="","",IFERROR(INDEX(Attempts!$L$2:$L$200,MATCH(B107,Attempts!$A$2:$A$200,0)),""))</f>
        <v/>
      </c>
      <c r="G107">
        <f>IF(OR(E107="",F107=""),"",F107-E107)</f>
        <v/>
      </c>
      <c r="H107">
        <f>IF(B107="","",IFERROR(INDEX(Attempts!$D$2:$D$200,MATCH(B107,Attempts!$A$2:$A$200,0)),"?"))</f>
        <v/>
      </c>
      <c r="I107" s="6" t="n"/>
    </row>
    <row r="108">
      <c r="A108" s="6" t="n"/>
      <c r="B108" s="6" t="n"/>
      <c r="C108">
        <f>IF(A108="","",IFERROR(INDEX(Attempts!$B$2:$B$200,MATCH(A108,Attempts!$A$2:$A$200,0)),"?"))</f>
        <v/>
      </c>
      <c r="D108">
        <f>IF(A108="","",IFERROR(INDEX(Attempts!$D$2:$D$200,MATCH(A108,Attempts!$A$2:$A$200,0)),"?"))</f>
        <v/>
      </c>
      <c r="E108">
        <f>IF(A108="","",IFERROR(INDEX(Attempts!$L$2:$L$200,MATCH(A108,Attempts!$A$2:$A$200,0)),""))</f>
        <v/>
      </c>
      <c r="F108">
        <f>IF(B108="","",IFERROR(INDEX(Attempts!$L$2:$L$200,MATCH(B108,Attempts!$A$2:$A$200,0)),""))</f>
        <v/>
      </c>
      <c r="G108">
        <f>IF(OR(E108="",F108=""),"",F108-E108)</f>
        <v/>
      </c>
      <c r="H108">
        <f>IF(B108="","",IFERROR(INDEX(Attempts!$D$2:$D$200,MATCH(B108,Attempts!$A$2:$A$200,0)),"?"))</f>
        <v/>
      </c>
      <c r="I108" s="6" t="n"/>
    </row>
    <row r="109">
      <c r="A109" s="6" t="n"/>
      <c r="B109" s="6" t="n"/>
      <c r="C109">
        <f>IF(A109="","",IFERROR(INDEX(Attempts!$B$2:$B$200,MATCH(A109,Attempts!$A$2:$A$200,0)),"?"))</f>
        <v/>
      </c>
      <c r="D109">
        <f>IF(A109="","",IFERROR(INDEX(Attempts!$D$2:$D$200,MATCH(A109,Attempts!$A$2:$A$200,0)),"?"))</f>
        <v/>
      </c>
      <c r="E109">
        <f>IF(A109="","",IFERROR(INDEX(Attempts!$L$2:$L$200,MATCH(A109,Attempts!$A$2:$A$200,0)),""))</f>
        <v/>
      </c>
      <c r="F109">
        <f>IF(B109="","",IFERROR(INDEX(Attempts!$L$2:$L$200,MATCH(B109,Attempts!$A$2:$A$200,0)),""))</f>
        <v/>
      </c>
      <c r="G109">
        <f>IF(OR(E109="",F109=""),"",F109-E109)</f>
        <v/>
      </c>
      <c r="H109">
        <f>IF(B109="","",IFERROR(INDEX(Attempts!$D$2:$D$200,MATCH(B109,Attempts!$A$2:$A$200,0)),"?"))</f>
        <v/>
      </c>
      <c r="I109" s="6" t="n"/>
    </row>
    <row r="110">
      <c r="A110" s="6" t="n"/>
      <c r="B110" s="6" t="n"/>
      <c r="C110">
        <f>IF(A110="","",IFERROR(INDEX(Attempts!$B$2:$B$200,MATCH(A110,Attempts!$A$2:$A$200,0)),"?"))</f>
        <v/>
      </c>
      <c r="D110">
        <f>IF(A110="","",IFERROR(INDEX(Attempts!$D$2:$D$200,MATCH(A110,Attempts!$A$2:$A$200,0)),"?"))</f>
        <v/>
      </c>
      <c r="E110">
        <f>IF(A110="","",IFERROR(INDEX(Attempts!$L$2:$L$200,MATCH(A110,Attempts!$A$2:$A$200,0)),""))</f>
        <v/>
      </c>
      <c r="F110">
        <f>IF(B110="","",IFERROR(INDEX(Attempts!$L$2:$L$200,MATCH(B110,Attempts!$A$2:$A$200,0)),""))</f>
        <v/>
      </c>
      <c r="G110">
        <f>IF(OR(E110="",F110=""),"",F110-E110)</f>
        <v/>
      </c>
      <c r="H110">
        <f>IF(B110="","",IFERROR(INDEX(Attempts!$D$2:$D$200,MATCH(B110,Attempts!$A$2:$A$200,0)),"?"))</f>
        <v/>
      </c>
      <c r="I110" s="6" t="n"/>
    </row>
    <row r="111">
      <c r="A111" s="6" t="n"/>
      <c r="B111" s="6" t="n"/>
      <c r="C111">
        <f>IF(A111="","",IFERROR(INDEX(Attempts!$B$2:$B$200,MATCH(A111,Attempts!$A$2:$A$200,0)),"?"))</f>
        <v/>
      </c>
      <c r="D111">
        <f>IF(A111="","",IFERROR(INDEX(Attempts!$D$2:$D$200,MATCH(A111,Attempts!$A$2:$A$200,0)),"?"))</f>
        <v/>
      </c>
      <c r="E111">
        <f>IF(A111="","",IFERROR(INDEX(Attempts!$L$2:$L$200,MATCH(A111,Attempts!$A$2:$A$200,0)),""))</f>
        <v/>
      </c>
      <c r="F111">
        <f>IF(B111="","",IFERROR(INDEX(Attempts!$L$2:$L$200,MATCH(B111,Attempts!$A$2:$A$200,0)),""))</f>
        <v/>
      </c>
      <c r="G111">
        <f>IF(OR(E111="",F111=""),"",F111-E111)</f>
        <v/>
      </c>
      <c r="H111">
        <f>IF(B111="","",IFERROR(INDEX(Attempts!$D$2:$D$200,MATCH(B111,Attempts!$A$2:$A$200,0)),"?"))</f>
        <v/>
      </c>
      <c r="I111" s="6" t="n"/>
    </row>
    <row r="112">
      <c r="A112" s="6" t="n"/>
      <c r="B112" s="6" t="n"/>
      <c r="C112">
        <f>IF(A112="","",IFERROR(INDEX(Attempts!$B$2:$B$200,MATCH(A112,Attempts!$A$2:$A$200,0)),"?"))</f>
        <v/>
      </c>
      <c r="D112">
        <f>IF(A112="","",IFERROR(INDEX(Attempts!$D$2:$D$200,MATCH(A112,Attempts!$A$2:$A$200,0)),"?"))</f>
        <v/>
      </c>
      <c r="E112">
        <f>IF(A112="","",IFERROR(INDEX(Attempts!$L$2:$L$200,MATCH(A112,Attempts!$A$2:$A$200,0)),""))</f>
        <v/>
      </c>
      <c r="F112">
        <f>IF(B112="","",IFERROR(INDEX(Attempts!$L$2:$L$200,MATCH(B112,Attempts!$A$2:$A$200,0)),""))</f>
        <v/>
      </c>
      <c r="G112">
        <f>IF(OR(E112="",F112=""),"",F112-E112)</f>
        <v/>
      </c>
      <c r="H112">
        <f>IF(B112="","",IFERROR(INDEX(Attempts!$D$2:$D$200,MATCH(B112,Attempts!$A$2:$A$200,0)),"?"))</f>
        <v/>
      </c>
      <c r="I112" s="6" t="n"/>
    </row>
    <row r="113">
      <c r="A113" s="6" t="n"/>
      <c r="B113" s="6" t="n"/>
      <c r="C113">
        <f>IF(A113="","",IFERROR(INDEX(Attempts!$B$2:$B$200,MATCH(A113,Attempts!$A$2:$A$200,0)),"?"))</f>
        <v/>
      </c>
      <c r="D113">
        <f>IF(A113="","",IFERROR(INDEX(Attempts!$D$2:$D$200,MATCH(A113,Attempts!$A$2:$A$200,0)),"?"))</f>
        <v/>
      </c>
      <c r="E113">
        <f>IF(A113="","",IFERROR(INDEX(Attempts!$L$2:$L$200,MATCH(A113,Attempts!$A$2:$A$200,0)),""))</f>
        <v/>
      </c>
      <c r="F113">
        <f>IF(B113="","",IFERROR(INDEX(Attempts!$L$2:$L$200,MATCH(B113,Attempts!$A$2:$A$200,0)),""))</f>
        <v/>
      </c>
      <c r="G113">
        <f>IF(OR(E113="",F113=""),"",F113-E113)</f>
        <v/>
      </c>
      <c r="H113">
        <f>IF(B113="","",IFERROR(INDEX(Attempts!$D$2:$D$200,MATCH(B113,Attempts!$A$2:$A$200,0)),"?"))</f>
        <v/>
      </c>
      <c r="I113" s="6" t="n"/>
    </row>
    <row r="114">
      <c r="A114" s="6" t="n"/>
      <c r="B114" s="6" t="n"/>
      <c r="C114">
        <f>IF(A114="","",IFERROR(INDEX(Attempts!$B$2:$B$200,MATCH(A114,Attempts!$A$2:$A$200,0)),"?"))</f>
        <v/>
      </c>
      <c r="D114">
        <f>IF(A114="","",IFERROR(INDEX(Attempts!$D$2:$D$200,MATCH(A114,Attempts!$A$2:$A$200,0)),"?"))</f>
        <v/>
      </c>
      <c r="E114">
        <f>IF(A114="","",IFERROR(INDEX(Attempts!$L$2:$L$200,MATCH(A114,Attempts!$A$2:$A$200,0)),""))</f>
        <v/>
      </c>
      <c r="F114">
        <f>IF(B114="","",IFERROR(INDEX(Attempts!$L$2:$L$200,MATCH(B114,Attempts!$A$2:$A$200,0)),""))</f>
        <v/>
      </c>
      <c r="G114">
        <f>IF(OR(E114="",F114=""),"",F114-E114)</f>
        <v/>
      </c>
      <c r="H114">
        <f>IF(B114="","",IFERROR(INDEX(Attempts!$D$2:$D$200,MATCH(B114,Attempts!$A$2:$A$200,0)),"?"))</f>
        <v/>
      </c>
      <c r="I114" s="6" t="n"/>
    </row>
    <row r="115">
      <c r="A115" s="6" t="n"/>
      <c r="B115" s="6" t="n"/>
      <c r="C115">
        <f>IF(A115="","",IFERROR(INDEX(Attempts!$B$2:$B$200,MATCH(A115,Attempts!$A$2:$A$200,0)),"?"))</f>
        <v/>
      </c>
      <c r="D115">
        <f>IF(A115="","",IFERROR(INDEX(Attempts!$D$2:$D$200,MATCH(A115,Attempts!$A$2:$A$200,0)),"?"))</f>
        <v/>
      </c>
      <c r="E115">
        <f>IF(A115="","",IFERROR(INDEX(Attempts!$L$2:$L$200,MATCH(A115,Attempts!$A$2:$A$200,0)),""))</f>
        <v/>
      </c>
      <c r="F115">
        <f>IF(B115="","",IFERROR(INDEX(Attempts!$L$2:$L$200,MATCH(B115,Attempts!$A$2:$A$200,0)),""))</f>
        <v/>
      </c>
      <c r="G115">
        <f>IF(OR(E115="",F115=""),"",F115-E115)</f>
        <v/>
      </c>
      <c r="H115">
        <f>IF(B115="","",IFERROR(INDEX(Attempts!$D$2:$D$200,MATCH(B115,Attempts!$A$2:$A$200,0)),"?"))</f>
        <v/>
      </c>
      <c r="I115" s="6" t="n"/>
    </row>
    <row r="116">
      <c r="A116" s="6" t="n"/>
      <c r="B116" s="6" t="n"/>
      <c r="C116">
        <f>IF(A116="","",IFERROR(INDEX(Attempts!$B$2:$B$200,MATCH(A116,Attempts!$A$2:$A$200,0)),"?"))</f>
        <v/>
      </c>
      <c r="D116">
        <f>IF(A116="","",IFERROR(INDEX(Attempts!$D$2:$D$200,MATCH(A116,Attempts!$A$2:$A$200,0)),"?"))</f>
        <v/>
      </c>
      <c r="E116">
        <f>IF(A116="","",IFERROR(INDEX(Attempts!$L$2:$L$200,MATCH(A116,Attempts!$A$2:$A$200,0)),""))</f>
        <v/>
      </c>
      <c r="F116">
        <f>IF(B116="","",IFERROR(INDEX(Attempts!$L$2:$L$200,MATCH(B116,Attempts!$A$2:$A$200,0)),""))</f>
        <v/>
      </c>
      <c r="G116">
        <f>IF(OR(E116="",F116=""),"",F116-E116)</f>
        <v/>
      </c>
      <c r="H116">
        <f>IF(B116="","",IFERROR(INDEX(Attempts!$D$2:$D$200,MATCH(B116,Attempts!$A$2:$A$200,0)),"?"))</f>
        <v/>
      </c>
      <c r="I116" s="6" t="n"/>
    </row>
    <row r="117">
      <c r="A117" s="6" t="n"/>
      <c r="B117" s="6" t="n"/>
      <c r="C117">
        <f>IF(A117="","",IFERROR(INDEX(Attempts!$B$2:$B$200,MATCH(A117,Attempts!$A$2:$A$200,0)),"?"))</f>
        <v/>
      </c>
      <c r="D117">
        <f>IF(A117="","",IFERROR(INDEX(Attempts!$D$2:$D$200,MATCH(A117,Attempts!$A$2:$A$200,0)),"?"))</f>
        <v/>
      </c>
      <c r="E117">
        <f>IF(A117="","",IFERROR(INDEX(Attempts!$L$2:$L$200,MATCH(A117,Attempts!$A$2:$A$200,0)),""))</f>
        <v/>
      </c>
      <c r="F117">
        <f>IF(B117="","",IFERROR(INDEX(Attempts!$L$2:$L$200,MATCH(B117,Attempts!$A$2:$A$200,0)),""))</f>
        <v/>
      </c>
      <c r="G117">
        <f>IF(OR(E117="",F117=""),"",F117-E117)</f>
        <v/>
      </c>
      <c r="H117">
        <f>IF(B117="","",IFERROR(INDEX(Attempts!$D$2:$D$200,MATCH(B117,Attempts!$A$2:$A$200,0)),"?"))</f>
        <v/>
      </c>
      <c r="I117" s="6" t="n"/>
    </row>
    <row r="118">
      <c r="A118" s="6" t="n"/>
      <c r="B118" s="6" t="n"/>
      <c r="C118">
        <f>IF(A118="","",IFERROR(INDEX(Attempts!$B$2:$B$200,MATCH(A118,Attempts!$A$2:$A$200,0)),"?"))</f>
        <v/>
      </c>
      <c r="D118">
        <f>IF(A118="","",IFERROR(INDEX(Attempts!$D$2:$D$200,MATCH(A118,Attempts!$A$2:$A$200,0)),"?"))</f>
        <v/>
      </c>
      <c r="E118">
        <f>IF(A118="","",IFERROR(INDEX(Attempts!$L$2:$L$200,MATCH(A118,Attempts!$A$2:$A$200,0)),""))</f>
        <v/>
      </c>
      <c r="F118">
        <f>IF(B118="","",IFERROR(INDEX(Attempts!$L$2:$L$200,MATCH(B118,Attempts!$A$2:$A$200,0)),""))</f>
        <v/>
      </c>
      <c r="G118">
        <f>IF(OR(E118="",F118=""),"",F118-E118)</f>
        <v/>
      </c>
      <c r="H118">
        <f>IF(B118="","",IFERROR(INDEX(Attempts!$D$2:$D$200,MATCH(B118,Attempts!$A$2:$A$200,0)),"?"))</f>
        <v/>
      </c>
      <c r="I118" s="6" t="n"/>
    </row>
    <row r="119">
      <c r="A119" s="6" t="n"/>
      <c r="B119" s="6" t="n"/>
      <c r="C119">
        <f>IF(A119="","",IFERROR(INDEX(Attempts!$B$2:$B$200,MATCH(A119,Attempts!$A$2:$A$200,0)),"?"))</f>
        <v/>
      </c>
      <c r="D119">
        <f>IF(A119="","",IFERROR(INDEX(Attempts!$D$2:$D$200,MATCH(A119,Attempts!$A$2:$A$200,0)),"?"))</f>
        <v/>
      </c>
      <c r="E119">
        <f>IF(A119="","",IFERROR(INDEX(Attempts!$L$2:$L$200,MATCH(A119,Attempts!$A$2:$A$200,0)),""))</f>
        <v/>
      </c>
      <c r="F119">
        <f>IF(B119="","",IFERROR(INDEX(Attempts!$L$2:$L$200,MATCH(B119,Attempts!$A$2:$A$200,0)),""))</f>
        <v/>
      </c>
      <c r="G119">
        <f>IF(OR(E119="",F119=""),"",F119-E119)</f>
        <v/>
      </c>
      <c r="H119">
        <f>IF(B119="","",IFERROR(INDEX(Attempts!$D$2:$D$200,MATCH(B119,Attempts!$A$2:$A$200,0)),"?"))</f>
        <v/>
      </c>
      <c r="I119" s="6" t="n"/>
    </row>
    <row r="120">
      <c r="A120" s="6" t="n"/>
      <c r="B120" s="6" t="n"/>
      <c r="C120">
        <f>IF(A120="","",IFERROR(INDEX(Attempts!$B$2:$B$200,MATCH(A120,Attempts!$A$2:$A$200,0)),"?"))</f>
        <v/>
      </c>
      <c r="D120">
        <f>IF(A120="","",IFERROR(INDEX(Attempts!$D$2:$D$200,MATCH(A120,Attempts!$A$2:$A$200,0)),"?"))</f>
        <v/>
      </c>
      <c r="E120">
        <f>IF(A120="","",IFERROR(INDEX(Attempts!$L$2:$L$200,MATCH(A120,Attempts!$A$2:$A$200,0)),""))</f>
        <v/>
      </c>
      <c r="F120">
        <f>IF(B120="","",IFERROR(INDEX(Attempts!$L$2:$L$200,MATCH(B120,Attempts!$A$2:$A$200,0)),""))</f>
        <v/>
      </c>
      <c r="G120">
        <f>IF(OR(E120="",F120=""),"",F120-E120)</f>
        <v/>
      </c>
      <c r="H120">
        <f>IF(B120="","",IFERROR(INDEX(Attempts!$D$2:$D$200,MATCH(B120,Attempts!$A$2:$A$200,0)),"?"))</f>
        <v/>
      </c>
      <c r="I120" s="6" t="n"/>
    </row>
    <row r="121">
      <c r="A121" s="6" t="n"/>
      <c r="B121" s="6" t="n"/>
      <c r="C121">
        <f>IF(A121="","",IFERROR(INDEX(Attempts!$B$2:$B$200,MATCH(A121,Attempts!$A$2:$A$200,0)),"?"))</f>
        <v/>
      </c>
      <c r="D121">
        <f>IF(A121="","",IFERROR(INDEX(Attempts!$D$2:$D$200,MATCH(A121,Attempts!$A$2:$A$200,0)),"?"))</f>
        <v/>
      </c>
      <c r="E121">
        <f>IF(A121="","",IFERROR(INDEX(Attempts!$L$2:$L$200,MATCH(A121,Attempts!$A$2:$A$200,0)),""))</f>
        <v/>
      </c>
      <c r="F121">
        <f>IF(B121="","",IFERROR(INDEX(Attempts!$L$2:$L$200,MATCH(B121,Attempts!$A$2:$A$200,0)),""))</f>
        <v/>
      </c>
      <c r="G121">
        <f>IF(OR(E121="",F121=""),"",F121-E121)</f>
        <v/>
      </c>
      <c r="H121">
        <f>IF(B121="","",IFERROR(INDEX(Attempts!$D$2:$D$200,MATCH(B121,Attempts!$A$2:$A$200,0)),"?"))</f>
        <v/>
      </c>
      <c r="I121" s="6" t="n"/>
    </row>
    <row r="122">
      <c r="A122" s="6" t="n"/>
      <c r="B122" s="6" t="n"/>
      <c r="C122">
        <f>IF(A122="","",IFERROR(INDEX(Attempts!$B$2:$B$200,MATCH(A122,Attempts!$A$2:$A$200,0)),"?"))</f>
        <v/>
      </c>
      <c r="D122">
        <f>IF(A122="","",IFERROR(INDEX(Attempts!$D$2:$D$200,MATCH(A122,Attempts!$A$2:$A$200,0)),"?"))</f>
        <v/>
      </c>
      <c r="E122">
        <f>IF(A122="","",IFERROR(INDEX(Attempts!$L$2:$L$200,MATCH(A122,Attempts!$A$2:$A$200,0)),""))</f>
        <v/>
      </c>
      <c r="F122">
        <f>IF(B122="","",IFERROR(INDEX(Attempts!$L$2:$L$200,MATCH(B122,Attempts!$A$2:$A$200,0)),""))</f>
        <v/>
      </c>
      <c r="G122">
        <f>IF(OR(E122="",F122=""),"",F122-E122)</f>
        <v/>
      </c>
      <c r="H122">
        <f>IF(B122="","",IFERROR(INDEX(Attempts!$D$2:$D$200,MATCH(B122,Attempts!$A$2:$A$200,0)),"?"))</f>
        <v/>
      </c>
      <c r="I122" s="6" t="n"/>
    </row>
    <row r="123">
      <c r="A123" s="6" t="n"/>
      <c r="B123" s="6" t="n"/>
      <c r="C123">
        <f>IF(A123="","",IFERROR(INDEX(Attempts!$B$2:$B$200,MATCH(A123,Attempts!$A$2:$A$200,0)),"?"))</f>
        <v/>
      </c>
      <c r="D123">
        <f>IF(A123="","",IFERROR(INDEX(Attempts!$D$2:$D$200,MATCH(A123,Attempts!$A$2:$A$200,0)),"?"))</f>
        <v/>
      </c>
      <c r="E123">
        <f>IF(A123="","",IFERROR(INDEX(Attempts!$L$2:$L$200,MATCH(A123,Attempts!$A$2:$A$200,0)),""))</f>
        <v/>
      </c>
      <c r="F123">
        <f>IF(B123="","",IFERROR(INDEX(Attempts!$L$2:$L$200,MATCH(B123,Attempts!$A$2:$A$200,0)),""))</f>
        <v/>
      </c>
      <c r="G123">
        <f>IF(OR(E123="",F123=""),"",F123-E123)</f>
        <v/>
      </c>
      <c r="H123">
        <f>IF(B123="","",IFERROR(INDEX(Attempts!$D$2:$D$200,MATCH(B123,Attempts!$A$2:$A$200,0)),"?"))</f>
        <v/>
      </c>
      <c r="I123" s="6" t="n"/>
    </row>
    <row r="124">
      <c r="A124" s="6" t="n"/>
      <c r="B124" s="6" t="n"/>
      <c r="C124">
        <f>IF(A124="","",IFERROR(INDEX(Attempts!$B$2:$B$200,MATCH(A124,Attempts!$A$2:$A$200,0)),"?"))</f>
        <v/>
      </c>
      <c r="D124">
        <f>IF(A124="","",IFERROR(INDEX(Attempts!$D$2:$D$200,MATCH(A124,Attempts!$A$2:$A$200,0)),"?"))</f>
        <v/>
      </c>
      <c r="E124">
        <f>IF(A124="","",IFERROR(INDEX(Attempts!$L$2:$L$200,MATCH(A124,Attempts!$A$2:$A$200,0)),""))</f>
        <v/>
      </c>
      <c r="F124">
        <f>IF(B124="","",IFERROR(INDEX(Attempts!$L$2:$L$200,MATCH(B124,Attempts!$A$2:$A$200,0)),""))</f>
        <v/>
      </c>
      <c r="G124">
        <f>IF(OR(E124="",F124=""),"",F124-E124)</f>
        <v/>
      </c>
      <c r="H124">
        <f>IF(B124="","",IFERROR(INDEX(Attempts!$D$2:$D$200,MATCH(B124,Attempts!$A$2:$A$200,0)),"?"))</f>
        <v/>
      </c>
      <c r="I124" s="6" t="n"/>
    </row>
    <row r="125">
      <c r="A125" s="6" t="n"/>
      <c r="B125" s="6" t="n"/>
      <c r="C125">
        <f>IF(A125="","",IFERROR(INDEX(Attempts!$B$2:$B$200,MATCH(A125,Attempts!$A$2:$A$200,0)),"?"))</f>
        <v/>
      </c>
      <c r="D125">
        <f>IF(A125="","",IFERROR(INDEX(Attempts!$D$2:$D$200,MATCH(A125,Attempts!$A$2:$A$200,0)),"?"))</f>
        <v/>
      </c>
      <c r="E125">
        <f>IF(A125="","",IFERROR(INDEX(Attempts!$L$2:$L$200,MATCH(A125,Attempts!$A$2:$A$200,0)),""))</f>
        <v/>
      </c>
      <c r="F125">
        <f>IF(B125="","",IFERROR(INDEX(Attempts!$L$2:$L$200,MATCH(B125,Attempts!$A$2:$A$200,0)),""))</f>
        <v/>
      </c>
      <c r="G125">
        <f>IF(OR(E125="",F125=""),"",F125-E125)</f>
        <v/>
      </c>
      <c r="H125">
        <f>IF(B125="","",IFERROR(INDEX(Attempts!$D$2:$D$200,MATCH(B125,Attempts!$A$2:$A$200,0)),"?"))</f>
        <v/>
      </c>
      <c r="I125" s="6" t="n"/>
    </row>
    <row r="126">
      <c r="A126" s="6" t="n"/>
      <c r="B126" s="6" t="n"/>
      <c r="C126">
        <f>IF(A126="","",IFERROR(INDEX(Attempts!$B$2:$B$200,MATCH(A126,Attempts!$A$2:$A$200,0)),"?"))</f>
        <v/>
      </c>
      <c r="D126">
        <f>IF(A126="","",IFERROR(INDEX(Attempts!$D$2:$D$200,MATCH(A126,Attempts!$A$2:$A$200,0)),"?"))</f>
        <v/>
      </c>
      <c r="E126">
        <f>IF(A126="","",IFERROR(INDEX(Attempts!$L$2:$L$200,MATCH(A126,Attempts!$A$2:$A$200,0)),""))</f>
        <v/>
      </c>
      <c r="F126">
        <f>IF(B126="","",IFERROR(INDEX(Attempts!$L$2:$L$200,MATCH(B126,Attempts!$A$2:$A$200,0)),""))</f>
        <v/>
      </c>
      <c r="G126">
        <f>IF(OR(E126="",F126=""),"",F126-E126)</f>
        <v/>
      </c>
      <c r="H126">
        <f>IF(B126="","",IFERROR(INDEX(Attempts!$D$2:$D$200,MATCH(B126,Attempts!$A$2:$A$200,0)),"?"))</f>
        <v/>
      </c>
      <c r="I126" s="6" t="n"/>
    </row>
    <row r="127">
      <c r="A127" s="6" t="n"/>
      <c r="B127" s="6" t="n"/>
      <c r="C127">
        <f>IF(A127="","",IFERROR(INDEX(Attempts!$B$2:$B$200,MATCH(A127,Attempts!$A$2:$A$200,0)),"?"))</f>
        <v/>
      </c>
      <c r="D127">
        <f>IF(A127="","",IFERROR(INDEX(Attempts!$D$2:$D$200,MATCH(A127,Attempts!$A$2:$A$200,0)),"?"))</f>
        <v/>
      </c>
      <c r="E127">
        <f>IF(A127="","",IFERROR(INDEX(Attempts!$L$2:$L$200,MATCH(A127,Attempts!$A$2:$A$200,0)),""))</f>
        <v/>
      </c>
      <c r="F127">
        <f>IF(B127="","",IFERROR(INDEX(Attempts!$L$2:$L$200,MATCH(B127,Attempts!$A$2:$A$200,0)),""))</f>
        <v/>
      </c>
      <c r="G127">
        <f>IF(OR(E127="",F127=""),"",F127-E127)</f>
        <v/>
      </c>
      <c r="H127">
        <f>IF(B127="","",IFERROR(INDEX(Attempts!$D$2:$D$200,MATCH(B127,Attempts!$A$2:$A$200,0)),"?"))</f>
        <v/>
      </c>
      <c r="I127" s="6" t="n"/>
    </row>
    <row r="128">
      <c r="A128" s="6" t="n"/>
      <c r="B128" s="6" t="n"/>
      <c r="C128">
        <f>IF(A128="","",IFERROR(INDEX(Attempts!$B$2:$B$200,MATCH(A128,Attempts!$A$2:$A$200,0)),"?"))</f>
        <v/>
      </c>
      <c r="D128">
        <f>IF(A128="","",IFERROR(INDEX(Attempts!$D$2:$D$200,MATCH(A128,Attempts!$A$2:$A$200,0)),"?"))</f>
        <v/>
      </c>
      <c r="E128">
        <f>IF(A128="","",IFERROR(INDEX(Attempts!$L$2:$L$200,MATCH(A128,Attempts!$A$2:$A$200,0)),""))</f>
        <v/>
      </c>
      <c r="F128">
        <f>IF(B128="","",IFERROR(INDEX(Attempts!$L$2:$L$200,MATCH(B128,Attempts!$A$2:$A$200,0)),""))</f>
        <v/>
      </c>
      <c r="G128">
        <f>IF(OR(E128="",F128=""),"",F128-E128)</f>
        <v/>
      </c>
      <c r="H128">
        <f>IF(B128="","",IFERROR(INDEX(Attempts!$D$2:$D$200,MATCH(B128,Attempts!$A$2:$A$200,0)),"?"))</f>
        <v/>
      </c>
      <c r="I128" s="6" t="n"/>
    </row>
    <row r="129">
      <c r="A129" s="6" t="n"/>
      <c r="B129" s="6" t="n"/>
      <c r="C129">
        <f>IF(A129="","",IFERROR(INDEX(Attempts!$B$2:$B$200,MATCH(A129,Attempts!$A$2:$A$200,0)),"?"))</f>
        <v/>
      </c>
      <c r="D129">
        <f>IF(A129="","",IFERROR(INDEX(Attempts!$D$2:$D$200,MATCH(A129,Attempts!$A$2:$A$200,0)),"?"))</f>
        <v/>
      </c>
      <c r="E129">
        <f>IF(A129="","",IFERROR(INDEX(Attempts!$L$2:$L$200,MATCH(A129,Attempts!$A$2:$A$200,0)),""))</f>
        <v/>
      </c>
      <c r="F129">
        <f>IF(B129="","",IFERROR(INDEX(Attempts!$L$2:$L$200,MATCH(B129,Attempts!$A$2:$A$200,0)),""))</f>
        <v/>
      </c>
      <c r="G129">
        <f>IF(OR(E129="",F129=""),"",F129-E129)</f>
        <v/>
      </c>
      <c r="H129">
        <f>IF(B129="","",IFERROR(INDEX(Attempts!$D$2:$D$200,MATCH(B129,Attempts!$A$2:$A$200,0)),"?"))</f>
        <v/>
      </c>
      <c r="I129" s="6" t="n"/>
    </row>
    <row r="130">
      <c r="A130" s="6" t="n"/>
      <c r="B130" s="6" t="n"/>
      <c r="C130">
        <f>IF(A130="","",IFERROR(INDEX(Attempts!$B$2:$B$200,MATCH(A130,Attempts!$A$2:$A$200,0)),"?"))</f>
        <v/>
      </c>
      <c r="D130">
        <f>IF(A130="","",IFERROR(INDEX(Attempts!$D$2:$D$200,MATCH(A130,Attempts!$A$2:$A$200,0)),"?"))</f>
        <v/>
      </c>
      <c r="E130">
        <f>IF(A130="","",IFERROR(INDEX(Attempts!$L$2:$L$200,MATCH(A130,Attempts!$A$2:$A$200,0)),""))</f>
        <v/>
      </c>
      <c r="F130">
        <f>IF(B130="","",IFERROR(INDEX(Attempts!$L$2:$L$200,MATCH(B130,Attempts!$A$2:$A$200,0)),""))</f>
        <v/>
      </c>
      <c r="G130">
        <f>IF(OR(E130="",F130=""),"",F130-E130)</f>
        <v/>
      </c>
      <c r="H130">
        <f>IF(B130="","",IFERROR(INDEX(Attempts!$D$2:$D$200,MATCH(B130,Attempts!$A$2:$A$200,0)),"?"))</f>
        <v/>
      </c>
      <c r="I130" s="6" t="n"/>
    </row>
    <row r="131">
      <c r="A131" s="6" t="n"/>
      <c r="B131" s="6" t="n"/>
      <c r="C131">
        <f>IF(A131="","",IFERROR(INDEX(Attempts!$B$2:$B$200,MATCH(A131,Attempts!$A$2:$A$200,0)),"?"))</f>
        <v/>
      </c>
      <c r="D131">
        <f>IF(A131="","",IFERROR(INDEX(Attempts!$D$2:$D$200,MATCH(A131,Attempts!$A$2:$A$200,0)),"?"))</f>
        <v/>
      </c>
      <c r="E131">
        <f>IF(A131="","",IFERROR(INDEX(Attempts!$L$2:$L$200,MATCH(A131,Attempts!$A$2:$A$200,0)),""))</f>
        <v/>
      </c>
      <c r="F131">
        <f>IF(B131="","",IFERROR(INDEX(Attempts!$L$2:$L$200,MATCH(B131,Attempts!$A$2:$A$200,0)),""))</f>
        <v/>
      </c>
      <c r="G131">
        <f>IF(OR(E131="",F131=""),"",F131-E131)</f>
        <v/>
      </c>
      <c r="H131">
        <f>IF(B131="","",IFERROR(INDEX(Attempts!$D$2:$D$200,MATCH(B131,Attempts!$A$2:$A$200,0)),"?"))</f>
        <v/>
      </c>
      <c r="I131" s="6" t="n"/>
    </row>
    <row r="132">
      <c r="A132" s="6" t="n"/>
      <c r="B132" s="6" t="n"/>
      <c r="C132">
        <f>IF(A132="","",IFERROR(INDEX(Attempts!$B$2:$B$200,MATCH(A132,Attempts!$A$2:$A$200,0)),"?"))</f>
        <v/>
      </c>
      <c r="D132">
        <f>IF(A132="","",IFERROR(INDEX(Attempts!$D$2:$D$200,MATCH(A132,Attempts!$A$2:$A$200,0)),"?"))</f>
        <v/>
      </c>
      <c r="E132">
        <f>IF(A132="","",IFERROR(INDEX(Attempts!$L$2:$L$200,MATCH(A132,Attempts!$A$2:$A$200,0)),""))</f>
        <v/>
      </c>
      <c r="F132">
        <f>IF(B132="","",IFERROR(INDEX(Attempts!$L$2:$L$200,MATCH(B132,Attempts!$A$2:$A$200,0)),""))</f>
        <v/>
      </c>
      <c r="G132">
        <f>IF(OR(E132="",F132=""),"",F132-E132)</f>
        <v/>
      </c>
      <c r="H132">
        <f>IF(B132="","",IFERROR(INDEX(Attempts!$D$2:$D$200,MATCH(B132,Attempts!$A$2:$A$200,0)),"?"))</f>
        <v/>
      </c>
      <c r="I132" s="6" t="n"/>
    </row>
    <row r="133">
      <c r="A133" s="6" t="n"/>
      <c r="B133" s="6" t="n"/>
      <c r="C133">
        <f>IF(A133="","",IFERROR(INDEX(Attempts!$B$2:$B$200,MATCH(A133,Attempts!$A$2:$A$200,0)),"?"))</f>
        <v/>
      </c>
      <c r="D133">
        <f>IF(A133="","",IFERROR(INDEX(Attempts!$D$2:$D$200,MATCH(A133,Attempts!$A$2:$A$200,0)),"?"))</f>
        <v/>
      </c>
      <c r="E133">
        <f>IF(A133="","",IFERROR(INDEX(Attempts!$L$2:$L$200,MATCH(A133,Attempts!$A$2:$A$200,0)),""))</f>
        <v/>
      </c>
      <c r="F133">
        <f>IF(B133="","",IFERROR(INDEX(Attempts!$L$2:$L$200,MATCH(B133,Attempts!$A$2:$A$200,0)),""))</f>
        <v/>
      </c>
      <c r="G133">
        <f>IF(OR(E133="",F133=""),"",F133-E133)</f>
        <v/>
      </c>
      <c r="H133">
        <f>IF(B133="","",IFERROR(INDEX(Attempts!$D$2:$D$200,MATCH(B133,Attempts!$A$2:$A$200,0)),"?"))</f>
        <v/>
      </c>
      <c r="I133" s="6" t="n"/>
    </row>
    <row r="134">
      <c r="A134" s="6" t="n"/>
      <c r="B134" s="6" t="n"/>
      <c r="C134">
        <f>IF(A134="","",IFERROR(INDEX(Attempts!$B$2:$B$200,MATCH(A134,Attempts!$A$2:$A$200,0)),"?"))</f>
        <v/>
      </c>
      <c r="D134">
        <f>IF(A134="","",IFERROR(INDEX(Attempts!$D$2:$D$200,MATCH(A134,Attempts!$A$2:$A$200,0)),"?"))</f>
        <v/>
      </c>
      <c r="E134">
        <f>IF(A134="","",IFERROR(INDEX(Attempts!$L$2:$L$200,MATCH(A134,Attempts!$A$2:$A$200,0)),""))</f>
        <v/>
      </c>
      <c r="F134">
        <f>IF(B134="","",IFERROR(INDEX(Attempts!$L$2:$L$200,MATCH(B134,Attempts!$A$2:$A$200,0)),""))</f>
        <v/>
      </c>
      <c r="G134">
        <f>IF(OR(E134="",F134=""),"",F134-E134)</f>
        <v/>
      </c>
      <c r="H134">
        <f>IF(B134="","",IFERROR(INDEX(Attempts!$D$2:$D$200,MATCH(B134,Attempts!$A$2:$A$200,0)),"?"))</f>
        <v/>
      </c>
      <c r="I134" s="6" t="n"/>
    </row>
    <row r="135">
      <c r="A135" s="6" t="n"/>
      <c r="B135" s="6" t="n"/>
      <c r="C135">
        <f>IF(A135="","",IFERROR(INDEX(Attempts!$B$2:$B$200,MATCH(A135,Attempts!$A$2:$A$200,0)),"?"))</f>
        <v/>
      </c>
      <c r="D135">
        <f>IF(A135="","",IFERROR(INDEX(Attempts!$D$2:$D$200,MATCH(A135,Attempts!$A$2:$A$200,0)),"?"))</f>
        <v/>
      </c>
      <c r="E135">
        <f>IF(A135="","",IFERROR(INDEX(Attempts!$L$2:$L$200,MATCH(A135,Attempts!$A$2:$A$200,0)),""))</f>
        <v/>
      </c>
      <c r="F135">
        <f>IF(B135="","",IFERROR(INDEX(Attempts!$L$2:$L$200,MATCH(B135,Attempts!$A$2:$A$200,0)),""))</f>
        <v/>
      </c>
      <c r="G135">
        <f>IF(OR(E135="",F135=""),"",F135-E135)</f>
        <v/>
      </c>
      <c r="H135">
        <f>IF(B135="","",IFERROR(INDEX(Attempts!$D$2:$D$200,MATCH(B135,Attempts!$A$2:$A$200,0)),"?"))</f>
        <v/>
      </c>
      <c r="I135" s="6" t="n"/>
    </row>
    <row r="136">
      <c r="A136" s="6" t="n"/>
      <c r="B136" s="6" t="n"/>
      <c r="C136">
        <f>IF(A136="","",IFERROR(INDEX(Attempts!$B$2:$B$200,MATCH(A136,Attempts!$A$2:$A$200,0)),"?"))</f>
        <v/>
      </c>
      <c r="D136">
        <f>IF(A136="","",IFERROR(INDEX(Attempts!$D$2:$D$200,MATCH(A136,Attempts!$A$2:$A$200,0)),"?"))</f>
        <v/>
      </c>
      <c r="E136">
        <f>IF(A136="","",IFERROR(INDEX(Attempts!$L$2:$L$200,MATCH(A136,Attempts!$A$2:$A$200,0)),""))</f>
        <v/>
      </c>
      <c r="F136">
        <f>IF(B136="","",IFERROR(INDEX(Attempts!$L$2:$L$200,MATCH(B136,Attempts!$A$2:$A$200,0)),""))</f>
        <v/>
      </c>
      <c r="G136">
        <f>IF(OR(E136="",F136=""),"",F136-E136)</f>
        <v/>
      </c>
      <c r="H136">
        <f>IF(B136="","",IFERROR(INDEX(Attempts!$D$2:$D$200,MATCH(B136,Attempts!$A$2:$A$200,0)),"?"))</f>
        <v/>
      </c>
      <c r="I136" s="6" t="n"/>
    </row>
    <row r="137">
      <c r="A137" s="6" t="n"/>
      <c r="B137" s="6" t="n"/>
      <c r="C137">
        <f>IF(A137="","",IFERROR(INDEX(Attempts!$B$2:$B$200,MATCH(A137,Attempts!$A$2:$A$200,0)),"?"))</f>
        <v/>
      </c>
      <c r="D137">
        <f>IF(A137="","",IFERROR(INDEX(Attempts!$D$2:$D$200,MATCH(A137,Attempts!$A$2:$A$200,0)),"?"))</f>
        <v/>
      </c>
      <c r="E137">
        <f>IF(A137="","",IFERROR(INDEX(Attempts!$L$2:$L$200,MATCH(A137,Attempts!$A$2:$A$200,0)),""))</f>
        <v/>
      </c>
      <c r="F137">
        <f>IF(B137="","",IFERROR(INDEX(Attempts!$L$2:$L$200,MATCH(B137,Attempts!$A$2:$A$200,0)),""))</f>
        <v/>
      </c>
      <c r="G137">
        <f>IF(OR(E137="",F137=""),"",F137-E137)</f>
        <v/>
      </c>
      <c r="H137">
        <f>IF(B137="","",IFERROR(INDEX(Attempts!$D$2:$D$200,MATCH(B137,Attempts!$A$2:$A$200,0)),"?"))</f>
        <v/>
      </c>
      <c r="I137" s="6" t="n"/>
    </row>
    <row r="138">
      <c r="A138" s="6" t="n"/>
      <c r="B138" s="6" t="n"/>
      <c r="C138">
        <f>IF(A138="","",IFERROR(INDEX(Attempts!$B$2:$B$200,MATCH(A138,Attempts!$A$2:$A$200,0)),"?"))</f>
        <v/>
      </c>
      <c r="D138">
        <f>IF(A138="","",IFERROR(INDEX(Attempts!$D$2:$D$200,MATCH(A138,Attempts!$A$2:$A$200,0)),"?"))</f>
        <v/>
      </c>
      <c r="E138">
        <f>IF(A138="","",IFERROR(INDEX(Attempts!$L$2:$L$200,MATCH(A138,Attempts!$A$2:$A$200,0)),""))</f>
        <v/>
      </c>
      <c r="F138">
        <f>IF(B138="","",IFERROR(INDEX(Attempts!$L$2:$L$200,MATCH(B138,Attempts!$A$2:$A$200,0)),""))</f>
        <v/>
      </c>
      <c r="G138">
        <f>IF(OR(E138="",F138=""),"",F138-E138)</f>
        <v/>
      </c>
      <c r="H138">
        <f>IF(B138="","",IFERROR(INDEX(Attempts!$D$2:$D$200,MATCH(B138,Attempts!$A$2:$A$200,0)),"?"))</f>
        <v/>
      </c>
      <c r="I138" s="6" t="n"/>
    </row>
    <row r="139">
      <c r="A139" s="6" t="n"/>
      <c r="B139" s="6" t="n"/>
      <c r="C139">
        <f>IF(A139="","",IFERROR(INDEX(Attempts!$B$2:$B$200,MATCH(A139,Attempts!$A$2:$A$200,0)),"?"))</f>
        <v/>
      </c>
      <c r="D139">
        <f>IF(A139="","",IFERROR(INDEX(Attempts!$D$2:$D$200,MATCH(A139,Attempts!$A$2:$A$200,0)),"?"))</f>
        <v/>
      </c>
      <c r="E139">
        <f>IF(A139="","",IFERROR(INDEX(Attempts!$L$2:$L$200,MATCH(A139,Attempts!$A$2:$A$200,0)),""))</f>
        <v/>
      </c>
      <c r="F139">
        <f>IF(B139="","",IFERROR(INDEX(Attempts!$L$2:$L$200,MATCH(B139,Attempts!$A$2:$A$200,0)),""))</f>
        <v/>
      </c>
      <c r="G139">
        <f>IF(OR(E139="",F139=""),"",F139-E139)</f>
        <v/>
      </c>
      <c r="H139">
        <f>IF(B139="","",IFERROR(INDEX(Attempts!$D$2:$D$200,MATCH(B139,Attempts!$A$2:$A$200,0)),"?"))</f>
        <v/>
      </c>
      <c r="I139" s="6" t="n"/>
    </row>
    <row r="140">
      <c r="A140" s="6" t="n"/>
      <c r="B140" s="6" t="n"/>
      <c r="C140">
        <f>IF(A140="","",IFERROR(INDEX(Attempts!$B$2:$B$200,MATCH(A140,Attempts!$A$2:$A$200,0)),"?"))</f>
        <v/>
      </c>
      <c r="D140">
        <f>IF(A140="","",IFERROR(INDEX(Attempts!$D$2:$D$200,MATCH(A140,Attempts!$A$2:$A$200,0)),"?"))</f>
        <v/>
      </c>
      <c r="E140">
        <f>IF(A140="","",IFERROR(INDEX(Attempts!$L$2:$L$200,MATCH(A140,Attempts!$A$2:$A$200,0)),""))</f>
        <v/>
      </c>
      <c r="F140">
        <f>IF(B140="","",IFERROR(INDEX(Attempts!$L$2:$L$200,MATCH(B140,Attempts!$A$2:$A$200,0)),""))</f>
        <v/>
      </c>
      <c r="G140">
        <f>IF(OR(E140="",F140=""),"",F140-E140)</f>
        <v/>
      </c>
      <c r="H140">
        <f>IF(B140="","",IFERROR(INDEX(Attempts!$D$2:$D$200,MATCH(B140,Attempts!$A$2:$A$200,0)),"?"))</f>
        <v/>
      </c>
      <c r="I140" s="6" t="n"/>
    </row>
    <row r="141">
      <c r="A141" s="6" t="n"/>
      <c r="B141" s="6" t="n"/>
      <c r="C141">
        <f>IF(A141="","",IFERROR(INDEX(Attempts!$B$2:$B$200,MATCH(A141,Attempts!$A$2:$A$200,0)),"?"))</f>
        <v/>
      </c>
      <c r="D141">
        <f>IF(A141="","",IFERROR(INDEX(Attempts!$D$2:$D$200,MATCH(A141,Attempts!$A$2:$A$200,0)),"?"))</f>
        <v/>
      </c>
      <c r="E141">
        <f>IF(A141="","",IFERROR(INDEX(Attempts!$L$2:$L$200,MATCH(A141,Attempts!$A$2:$A$200,0)),""))</f>
        <v/>
      </c>
      <c r="F141">
        <f>IF(B141="","",IFERROR(INDEX(Attempts!$L$2:$L$200,MATCH(B141,Attempts!$A$2:$A$200,0)),""))</f>
        <v/>
      </c>
      <c r="G141">
        <f>IF(OR(E141="",F141=""),"",F141-E141)</f>
        <v/>
      </c>
      <c r="H141">
        <f>IF(B141="","",IFERROR(INDEX(Attempts!$D$2:$D$200,MATCH(B141,Attempts!$A$2:$A$200,0)),"?"))</f>
        <v/>
      </c>
      <c r="I141" s="6" t="n"/>
    </row>
    <row r="142">
      <c r="A142" s="6" t="n"/>
      <c r="B142" s="6" t="n"/>
      <c r="C142">
        <f>IF(A142="","",IFERROR(INDEX(Attempts!$B$2:$B$200,MATCH(A142,Attempts!$A$2:$A$200,0)),"?"))</f>
        <v/>
      </c>
      <c r="D142">
        <f>IF(A142="","",IFERROR(INDEX(Attempts!$D$2:$D$200,MATCH(A142,Attempts!$A$2:$A$200,0)),"?"))</f>
        <v/>
      </c>
      <c r="E142">
        <f>IF(A142="","",IFERROR(INDEX(Attempts!$L$2:$L$200,MATCH(A142,Attempts!$A$2:$A$200,0)),""))</f>
        <v/>
      </c>
      <c r="F142">
        <f>IF(B142="","",IFERROR(INDEX(Attempts!$L$2:$L$200,MATCH(B142,Attempts!$A$2:$A$200,0)),""))</f>
        <v/>
      </c>
      <c r="G142">
        <f>IF(OR(E142="",F142=""),"",F142-E142)</f>
        <v/>
      </c>
      <c r="H142">
        <f>IF(B142="","",IFERROR(INDEX(Attempts!$D$2:$D$200,MATCH(B142,Attempts!$A$2:$A$200,0)),"?"))</f>
        <v/>
      </c>
      <c r="I142" s="6" t="n"/>
    </row>
    <row r="143">
      <c r="A143" s="6" t="n"/>
      <c r="B143" s="6" t="n"/>
      <c r="C143">
        <f>IF(A143="","",IFERROR(INDEX(Attempts!$B$2:$B$200,MATCH(A143,Attempts!$A$2:$A$200,0)),"?"))</f>
        <v/>
      </c>
      <c r="D143">
        <f>IF(A143="","",IFERROR(INDEX(Attempts!$D$2:$D$200,MATCH(A143,Attempts!$A$2:$A$200,0)),"?"))</f>
        <v/>
      </c>
      <c r="E143">
        <f>IF(A143="","",IFERROR(INDEX(Attempts!$L$2:$L$200,MATCH(A143,Attempts!$A$2:$A$200,0)),""))</f>
        <v/>
      </c>
      <c r="F143">
        <f>IF(B143="","",IFERROR(INDEX(Attempts!$L$2:$L$200,MATCH(B143,Attempts!$A$2:$A$200,0)),""))</f>
        <v/>
      </c>
      <c r="G143">
        <f>IF(OR(E143="",F143=""),"",F143-E143)</f>
        <v/>
      </c>
      <c r="H143">
        <f>IF(B143="","",IFERROR(INDEX(Attempts!$D$2:$D$200,MATCH(B143,Attempts!$A$2:$A$200,0)),"?"))</f>
        <v/>
      </c>
      <c r="I143" s="6" t="n"/>
    </row>
    <row r="144">
      <c r="A144" s="6" t="n"/>
      <c r="B144" s="6" t="n"/>
      <c r="C144">
        <f>IF(A144="","",IFERROR(INDEX(Attempts!$B$2:$B$200,MATCH(A144,Attempts!$A$2:$A$200,0)),"?"))</f>
        <v/>
      </c>
      <c r="D144">
        <f>IF(A144="","",IFERROR(INDEX(Attempts!$D$2:$D$200,MATCH(A144,Attempts!$A$2:$A$200,0)),"?"))</f>
        <v/>
      </c>
      <c r="E144">
        <f>IF(A144="","",IFERROR(INDEX(Attempts!$L$2:$L$200,MATCH(A144,Attempts!$A$2:$A$200,0)),""))</f>
        <v/>
      </c>
      <c r="F144">
        <f>IF(B144="","",IFERROR(INDEX(Attempts!$L$2:$L$200,MATCH(B144,Attempts!$A$2:$A$200,0)),""))</f>
        <v/>
      </c>
      <c r="G144">
        <f>IF(OR(E144="",F144=""),"",F144-E144)</f>
        <v/>
      </c>
      <c r="H144">
        <f>IF(B144="","",IFERROR(INDEX(Attempts!$D$2:$D$200,MATCH(B144,Attempts!$A$2:$A$200,0)),"?"))</f>
        <v/>
      </c>
      <c r="I144" s="6" t="n"/>
    </row>
    <row r="145">
      <c r="A145" s="6" t="n"/>
      <c r="B145" s="6" t="n"/>
      <c r="C145">
        <f>IF(A145="","",IFERROR(INDEX(Attempts!$B$2:$B$200,MATCH(A145,Attempts!$A$2:$A$200,0)),"?"))</f>
        <v/>
      </c>
      <c r="D145">
        <f>IF(A145="","",IFERROR(INDEX(Attempts!$D$2:$D$200,MATCH(A145,Attempts!$A$2:$A$200,0)),"?"))</f>
        <v/>
      </c>
      <c r="E145">
        <f>IF(A145="","",IFERROR(INDEX(Attempts!$L$2:$L$200,MATCH(A145,Attempts!$A$2:$A$200,0)),""))</f>
        <v/>
      </c>
      <c r="F145">
        <f>IF(B145="","",IFERROR(INDEX(Attempts!$L$2:$L$200,MATCH(B145,Attempts!$A$2:$A$200,0)),""))</f>
        <v/>
      </c>
      <c r="G145">
        <f>IF(OR(E145="",F145=""),"",F145-E145)</f>
        <v/>
      </c>
      <c r="H145">
        <f>IF(B145="","",IFERROR(INDEX(Attempts!$D$2:$D$200,MATCH(B145,Attempts!$A$2:$A$200,0)),"?"))</f>
        <v/>
      </c>
      <c r="I145" s="6" t="n"/>
    </row>
    <row r="146">
      <c r="A146" s="6" t="n"/>
      <c r="B146" s="6" t="n"/>
      <c r="C146">
        <f>IF(A146="","",IFERROR(INDEX(Attempts!$B$2:$B$200,MATCH(A146,Attempts!$A$2:$A$200,0)),"?"))</f>
        <v/>
      </c>
      <c r="D146">
        <f>IF(A146="","",IFERROR(INDEX(Attempts!$D$2:$D$200,MATCH(A146,Attempts!$A$2:$A$200,0)),"?"))</f>
        <v/>
      </c>
      <c r="E146">
        <f>IF(A146="","",IFERROR(INDEX(Attempts!$L$2:$L$200,MATCH(A146,Attempts!$A$2:$A$200,0)),""))</f>
        <v/>
      </c>
      <c r="F146">
        <f>IF(B146="","",IFERROR(INDEX(Attempts!$L$2:$L$200,MATCH(B146,Attempts!$A$2:$A$200,0)),""))</f>
        <v/>
      </c>
      <c r="G146">
        <f>IF(OR(E146="",F146=""),"",F146-E146)</f>
        <v/>
      </c>
      <c r="H146">
        <f>IF(B146="","",IFERROR(INDEX(Attempts!$D$2:$D$200,MATCH(B146,Attempts!$A$2:$A$200,0)),"?"))</f>
        <v/>
      </c>
      <c r="I146" s="6" t="n"/>
    </row>
    <row r="147">
      <c r="A147" s="6" t="n"/>
      <c r="B147" s="6" t="n"/>
      <c r="C147">
        <f>IF(A147="","",IFERROR(INDEX(Attempts!$B$2:$B$200,MATCH(A147,Attempts!$A$2:$A$200,0)),"?"))</f>
        <v/>
      </c>
      <c r="D147">
        <f>IF(A147="","",IFERROR(INDEX(Attempts!$D$2:$D$200,MATCH(A147,Attempts!$A$2:$A$200,0)),"?"))</f>
        <v/>
      </c>
      <c r="E147">
        <f>IF(A147="","",IFERROR(INDEX(Attempts!$L$2:$L$200,MATCH(A147,Attempts!$A$2:$A$200,0)),""))</f>
        <v/>
      </c>
      <c r="F147">
        <f>IF(B147="","",IFERROR(INDEX(Attempts!$L$2:$L$200,MATCH(B147,Attempts!$A$2:$A$200,0)),""))</f>
        <v/>
      </c>
      <c r="G147">
        <f>IF(OR(E147="",F147=""),"",F147-E147)</f>
        <v/>
      </c>
      <c r="H147">
        <f>IF(B147="","",IFERROR(INDEX(Attempts!$D$2:$D$200,MATCH(B147,Attempts!$A$2:$A$200,0)),"?"))</f>
        <v/>
      </c>
      <c r="I147" s="6" t="n"/>
    </row>
    <row r="148">
      <c r="A148" s="6" t="n"/>
      <c r="B148" s="6" t="n"/>
      <c r="C148">
        <f>IF(A148="","",IFERROR(INDEX(Attempts!$B$2:$B$200,MATCH(A148,Attempts!$A$2:$A$200,0)),"?"))</f>
        <v/>
      </c>
      <c r="D148">
        <f>IF(A148="","",IFERROR(INDEX(Attempts!$D$2:$D$200,MATCH(A148,Attempts!$A$2:$A$200,0)),"?"))</f>
        <v/>
      </c>
      <c r="E148">
        <f>IF(A148="","",IFERROR(INDEX(Attempts!$L$2:$L$200,MATCH(A148,Attempts!$A$2:$A$200,0)),""))</f>
        <v/>
      </c>
      <c r="F148">
        <f>IF(B148="","",IFERROR(INDEX(Attempts!$L$2:$L$200,MATCH(B148,Attempts!$A$2:$A$200,0)),""))</f>
        <v/>
      </c>
      <c r="G148">
        <f>IF(OR(E148="",F148=""),"",F148-E148)</f>
        <v/>
      </c>
      <c r="H148">
        <f>IF(B148="","",IFERROR(INDEX(Attempts!$D$2:$D$200,MATCH(B148,Attempts!$A$2:$A$200,0)),"?"))</f>
        <v/>
      </c>
      <c r="I148" s="6" t="n"/>
    </row>
    <row r="149">
      <c r="A149" s="6" t="n"/>
      <c r="B149" s="6" t="n"/>
      <c r="C149">
        <f>IF(A149="","",IFERROR(INDEX(Attempts!$B$2:$B$200,MATCH(A149,Attempts!$A$2:$A$200,0)),"?"))</f>
        <v/>
      </c>
      <c r="D149">
        <f>IF(A149="","",IFERROR(INDEX(Attempts!$D$2:$D$200,MATCH(A149,Attempts!$A$2:$A$200,0)),"?"))</f>
        <v/>
      </c>
      <c r="E149">
        <f>IF(A149="","",IFERROR(INDEX(Attempts!$L$2:$L$200,MATCH(A149,Attempts!$A$2:$A$200,0)),""))</f>
        <v/>
      </c>
      <c r="F149">
        <f>IF(B149="","",IFERROR(INDEX(Attempts!$L$2:$L$200,MATCH(B149,Attempts!$A$2:$A$200,0)),""))</f>
        <v/>
      </c>
      <c r="G149">
        <f>IF(OR(E149="",F149=""),"",F149-E149)</f>
        <v/>
      </c>
      <c r="H149">
        <f>IF(B149="","",IFERROR(INDEX(Attempts!$D$2:$D$200,MATCH(B149,Attempts!$A$2:$A$200,0)),"?"))</f>
        <v/>
      </c>
      <c r="I149" s="6" t="n"/>
    </row>
    <row r="150">
      <c r="A150" s="6" t="n"/>
      <c r="B150" s="6" t="n"/>
      <c r="C150">
        <f>IF(A150="","",IFERROR(INDEX(Attempts!$B$2:$B$200,MATCH(A150,Attempts!$A$2:$A$200,0)),"?"))</f>
        <v/>
      </c>
      <c r="D150">
        <f>IF(A150="","",IFERROR(INDEX(Attempts!$D$2:$D$200,MATCH(A150,Attempts!$A$2:$A$200,0)),"?"))</f>
        <v/>
      </c>
      <c r="E150">
        <f>IF(A150="","",IFERROR(INDEX(Attempts!$L$2:$L$200,MATCH(A150,Attempts!$A$2:$A$200,0)),""))</f>
        <v/>
      </c>
      <c r="F150">
        <f>IF(B150="","",IFERROR(INDEX(Attempts!$L$2:$L$200,MATCH(B150,Attempts!$A$2:$A$200,0)),""))</f>
        <v/>
      </c>
      <c r="G150">
        <f>IF(OR(E150="",F150=""),"",F150-E150)</f>
        <v/>
      </c>
      <c r="H150">
        <f>IF(B150="","",IFERROR(INDEX(Attempts!$D$2:$D$200,MATCH(B150,Attempts!$A$2:$A$200,0)),"?"))</f>
        <v/>
      </c>
      <c r="I150" s="6" t="n"/>
    </row>
    <row r="151">
      <c r="A151" s="6" t="n"/>
      <c r="B151" s="6" t="n"/>
      <c r="C151">
        <f>IF(A151="","",IFERROR(INDEX(Attempts!$B$2:$B$200,MATCH(A151,Attempts!$A$2:$A$200,0)),"?"))</f>
        <v/>
      </c>
      <c r="D151">
        <f>IF(A151="","",IFERROR(INDEX(Attempts!$D$2:$D$200,MATCH(A151,Attempts!$A$2:$A$200,0)),"?"))</f>
        <v/>
      </c>
      <c r="E151">
        <f>IF(A151="","",IFERROR(INDEX(Attempts!$L$2:$L$200,MATCH(A151,Attempts!$A$2:$A$200,0)),""))</f>
        <v/>
      </c>
      <c r="F151">
        <f>IF(B151="","",IFERROR(INDEX(Attempts!$L$2:$L$200,MATCH(B151,Attempts!$A$2:$A$200,0)),""))</f>
        <v/>
      </c>
      <c r="G151">
        <f>IF(OR(E151="",F151=""),"",F151-E151)</f>
        <v/>
      </c>
      <c r="H151">
        <f>IF(B151="","",IFERROR(INDEX(Attempts!$D$2:$D$200,MATCH(B151,Attempts!$A$2:$A$200,0)),"?"))</f>
        <v/>
      </c>
      <c r="I151" s="6" t="n"/>
    </row>
    <row r="152">
      <c r="A152" s="6" t="n"/>
      <c r="B152" s="6" t="n"/>
      <c r="C152">
        <f>IF(A152="","",IFERROR(INDEX(Attempts!$B$2:$B$200,MATCH(A152,Attempts!$A$2:$A$200,0)),"?"))</f>
        <v/>
      </c>
      <c r="D152">
        <f>IF(A152="","",IFERROR(INDEX(Attempts!$D$2:$D$200,MATCH(A152,Attempts!$A$2:$A$200,0)),"?"))</f>
        <v/>
      </c>
      <c r="E152">
        <f>IF(A152="","",IFERROR(INDEX(Attempts!$L$2:$L$200,MATCH(A152,Attempts!$A$2:$A$200,0)),""))</f>
        <v/>
      </c>
      <c r="F152">
        <f>IF(B152="","",IFERROR(INDEX(Attempts!$L$2:$L$200,MATCH(B152,Attempts!$A$2:$A$200,0)),""))</f>
        <v/>
      </c>
      <c r="G152">
        <f>IF(OR(E152="",F152=""),"",F152-E152)</f>
        <v/>
      </c>
      <c r="H152">
        <f>IF(B152="","",IFERROR(INDEX(Attempts!$D$2:$D$200,MATCH(B152,Attempts!$A$2:$A$200,0)),"?"))</f>
        <v/>
      </c>
      <c r="I152" s="6" t="n"/>
    </row>
    <row r="153">
      <c r="A153" s="6" t="n"/>
      <c r="B153" s="6" t="n"/>
      <c r="C153">
        <f>IF(A153="","",IFERROR(INDEX(Attempts!$B$2:$B$200,MATCH(A153,Attempts!$A$2:$A$200,0)),"?"))</f>
        <v/>
      </c>
      <c r="D153">
        <f>IF(A153="","",IFERROR(INDEX(Attempts!$D$2:$D$200,MATCH(A153,Attempts!$A$2:$A$200,0)),"?"))</f>
        <v/>
      </c>
      <c r="E153">
        <f>IF(A153="","",IFERROR(INDEX(Attempts!$L$2:$L$200,MATCH(A153,Attempts!$A$2:$A$200,0)),""))</f>
        <v/>
      </c>
      <c r="F153">
        <f>IF(B153="","",IFERROR(INDEX(Attempts!$L$2:$L$200,MATCH(B153,Attempts!$A$2:$A$200,0)),""))</f>
        <v/>
      </c>
      <c r="G153">
        <f>IF(OR(E153="",F153=""),"",F153-E153)</f>
        <v/>
      </c>
      <c r="H153">
        <f>IF(B153="","",IFERROR(INDEX(Attempts!$D$2:$D$200,MATCH(B153,Attempts!$A$2:$A$200,0)),"?"))</f>
        <v/>
      </c>
      <c r="I153" s="6" t="n"/>
    </row>
    <row r="154">
      <c r="A154" s="6" t="n"/>
      <c r="B154" s="6" t="n"/>
      <c r="C154">
        <f>IF(A154="","",IFERROR(INDEX(Attempts!$B$2:$B$200,MATCH(A154,Attempts!$A$2:$A$200,0)),"?"))</f>
        <v/>
      </c>
      <c r="D154">
        <f>IF(A154="","",IFERROR(INDEX(Attempts!$D$2:$D$200,MATCH(A154,Attempts!$A$2:$A$200,0)),"?"))</f>
        <v/>
      </c>
      <c r="E154">
        <f>IF(A154="","",IFERROR(INDEX(Attempts!$L$2:$L$200,MATCH(A154,Attempts!$A$2:$A$200,0)),""))</f>
        <v/>
      </c>
      <c r="F154">
        <f>IF(B154="","",IFERROR(INDEX(Attempts!$L$2:$L$200,MATCH(B154,Attempts!$A$2:$A$200,0)),""))</f>
        <v/>
      </c>
      <c r="G154">
        <f>IF(OR(E154="",F154=""),"",F154-E154)</f>
        <v/>
      </c>
      <c r="H154">
        <f>IF(B154="","",IFERROR(INDEX(Attempts!$D$2:$D$200,MATCH(B154,Attempts!$A$2:$A$200,0)),"?"))</f>
        <v/>
      </c>
      <c r="I154" s="6" t="n"/>
    </row>
    <row r="155">
      <c r="A155" s="6" t="n"/>
      <c r="B155" s="6" t="n"/>
      <c r="C155">
        <f>IF(A155="","",IFERROR(INDEX(Attempts!$B$2:$B$200,MATCH(A155,Attempts!$A$2:$A$200,0)),"?"))</f>
        <v/>
      </c>
      <c r="D155">
        <f>IF(A155="","",IFERROR(INDEX(Attempts!$D$2:$D$200,MATCH(A155,Attempts!$A$2:$A$200,0)),"?"))</f>
        <v/>
      </c>
      <c r="E155">
        <f>IF(A155="","",IFERROR(INDEX(Attempts!$L$2:$L$200,MATCH(A155,Attempts!$A$2:$A$200,0)),""))</f>
        <v/>
      </c>
      <c r="F155">
        <f>IF(B155="","",IFERROR(INDEX(Attempts!$L$2:$L$200,MATCH(B155,Attempts!$A$2:$A$200,0)),""))</f>
        <v/>
      </c>
      <c r="G155">
        <f>IF(OR(E155="",F155=""),"",F155-E155)</f>
        <v/>
      </c>
      <c r="H155">
        <f>IF(B155="","",IFERROR(INDEX(Attempts!$D$2:$D$200,MATCH(B155,Attempts!$A$2:$A$200,0)),"?"))</f>
        <v/>
      </c>
      <c r="I155" s="6" t="n"/>
    </row>
    <row r="156">
      <c r="A156" s="6" t="n"/>
      <c r="B156" s="6" t="n"/>
      <c r="C156">
        <f>IF(A156="","",IFERROR(INDEX(Attempts!$B$2:$B$200,MATCH(A156,Attempts!$A$2:$A$200,0)),"?"))</f>
        <v/>
      </c>
      <c r="D156">
        <f>IF(A156="","",IFERROR(INDEX(Attempts!$D$2:$D$200,MATCH(A156,Attempts!$A$2:$A$200,0)),"?"))</f>
        <v/>
      </c>
      <c r="E156">
        <f>IF(A156="","",IFERROR(INDEX(Attempts!$L$2:$L$200,MATCH(A156,Attempts!$A$2:$A$200,0)),""))</f>
        <v/>
      </c>
      <c r="F156">
        <f>IF(B156="","",IFERROR(INDEX(Attempts!$L$2:$L$200,MATCH(B156,Attempts!$A$2:$A$200,0)),""))</f>
        <v/>
      </c>
      <c r="G156">
        <f>IF(OR(E156="",F156=""),"",F156-E156)</f>
        <v/>
      </c>
      <c r="H156">
        <f>IF(B156="","",IFERROR(INDEX(Attempts!$D$2:$D$200,MATCH(B156,Attempts!$A$2:$A$200,0)),"?"))</f>
        <v/>
      </c>
      <c r="I156" s="6" t="n"/>
    </row>
    <row r="157">
      <c r="A157" s="6" t="n"/>
      <c r="B157" s="6" t="n"/>
      <c r="C157">
        <f>IF(A157="","",IFERROR(INDEX(Attempts!$B$2:$B$200,MATCH(A157,Attempts!$A$2:$A$200,0)),"?"))</f>
        <v/>
      </c>
      <c r="D157">
        <f>IF(A157="","",IFERROR(INDEX(Attempts!$D$2:$D$200,MATCH(A157,Attempts!$A$2:$A$200,0)),"?"))</f>
        <v/>
      </c>
      <c r="E157">
        <f>IF(A157="","",IFERROR(INDEX(Attempts!$L$2:$L$200,MATCH(A157,Attempts!$A$2:$A$200,0)),""))</f>
        <v/>
      </c>
      <c r="F157">
        <f>IF(B157="","",IFERROR(INDEX(Attempts!$L$2:$L$200,MATCH(B157,Attempts!$A$2:$A$200,0)),""))</f>
        <v/>
      </c>
      <c r="G157">
        <f>IF(OR(E157="",F157=""),"",F157-E157)</f>
        <v/>
      </c>
      <c r="H157">
        <f>IF(B157="","",IFERROR(INDEX(Attempts!$D$2:$D$200,MATCH(B157,Attempts!$A$2:$A$200,0)),"?"))</f>
        <v/>
      </c>
      <c r="I157" s="6" t="n"/>
    </row>
    <row r="158">
      <c r="A158" s="6" t="n"/>
      <c r="B158" s="6" t="n"/>
      <c r="C158">
        <f>IF(A158="","",IFERROR(INDEX(Attempts!$B$2:$B$200,MATCH(A158,Attempts!$A$2:$A$200,0)),"?"))</f>
        <v/>
      </c>
      <c r="D158">
        <f>IF(A158="","",IFERROR(INDEX(Attempts!$D$2:$D$200,MATCH(A158,Attempts!$A$2:$A$200,0)),"?"))</f>
        <v/>
      </c>
      <c r="E158">
        <f>IF(A158="","",IFERROR(INDEX(Attempts!$L$2:$L$200,MATCH(A158,Attempts!$A$2:$A$200,0)),""))</f>
        <v/>
      </c>
      <c r="F158">
        <f>IF(B158="","",IFERROR(INDEX(Attempts!$L$2:$L$200,MATCH(B158,Attempts!$A$2:$A$200,0)),""))</f>
        <v/>
      </c>
      <c r="G158">
        <f>IF(OR(E158="",F158=""),"",F158-E158)</f>
        <v/>
      </c>
      <c r="H158">
        <f>IF(B158="","",IFERROR(INDEX(Attempts!$D$2:$D$200,MATCH(B158,Attempts!$A$2:$A$200,0)),"?"))</f>
        <v/>
      </c>
      <c r="I158" s="6" t="n"/>
    </row>
    <row r="159">
      <c r="A159" s="6" t="n"/>
      <c r="B159" s="6" t="n"/>
      <c r="C159">
        <f>IF(A159="","",IFERROR(INDEX(Attempts!$B$2:$B$200,MATCH(A159,Attempts!$A$2:$A$200,0)),"?"))</f>
        <v/>
      </c>
      <c r="D159">
        <f>IF(A159="","",IFERROR(INDEX(Attempts!$D$2:$D$200,MATCH(A159,Attempts!$A$2:$A$200,0)),"?"))</f>
        <v/>
      </c>
      <c r="E159">
        <f>IF(A159="","",IFERROR(INDEX(Attempts!$L$2:$L$200,MATCH(A159,Attempts!$A$2:$A$200,0)),""))</f>
        <v/>
      </c>
      <c r="F159">
        <f>IF(B159="","",IFERROR(INDEX(Attempts!$L$2:$L$200,MATCH(B159,Attempts!$A$2:$A$200,0)),""))</f>
        <v/>
      </c>
      <c r="G159">
        <f>IF(OR(E159="",F159=""),"",F159-E159)</f>
        <v/>
      </c>
      <c r="H159">
        <f>IF(B159="","",IFERROR(INDEX(Attempts!$D$2:$D$200,MATCH(B159,Attempts!$A$2:$A$200,0)),"?"))</f>
        <v/>
      </c>
      <c r="I159" s="6" t="n"/>
    </row>
    <row r="160">
      <c r="A160" s="6" t="n"/>
      <c r="B160" s="6" t="n"/>
      <c r="C160">
        <f>IF(A160="","",IFERROR(INDEX(Attempts!$B$2:$B$200,MATCH(A160,Attempts!$A$2:$A$200,0)),"?"))</f>
        <v/>
      </c>
      <c r="D160">
        <f>IF(A160="","",IFERROR(INDEX(Attempts!$D$2:$D$200,MATCH(A160,Attempts!$A$2:$A$200,0)),"?"))</f>
        <v/>
      </c>
      <c r="E160">
        <f>IF(A160="","",IFERROR(INDEX(Attempts!$L$2:$L$200,MATCH(A160,Attempts!$A$2:$A$200,0)),""))</f>
        <v/>
      </c>
      <c r="F160">
        <f>IF(B160="","",IFERROR(INDEX(Attempts!$L$2:$L$200,MATCH(B160,Attempts!$A$2:$A$200,0)),""))</f>
        <v/>
      </c>
      <c r="G160">
        <f>IF(OR(E160="",F160=""),"",F160-E160)</f>
        <v/>
      </c>
      <c r="H160">
        <f>IF(B160="","",IFERROR(INDEX(Attempts!$D$2:$D$200,MATCH(B160,Attempts!$A$2:$A$200,0)),"?"))</f>
        <v/>
      </c>
      <c r="I160" s="6" t="n"/>
    </row>
    <row r="161">
      <c r="A161" s="6" t="n"/>
      <c r="B161" s="6" t="n"/>
      <c r="C161">
        <f>IF(A161="","",IFERROR(INDEX(Attempts!$B$2:$B$200,MATCH(A161,Attempts!$A$2:$A$200,0)),"?"))</f>
        <v/>
      </c>
      <c r="D161">
        <f>IF(A161="","",IFERROR(INDEX(Attempts!$D$2:$D$200,MATCH(A161,Attempts!$A$2:$A$200,0)),"?"))</f>
        <v/>
      </c>
      <c r="E161">
        <f>IF(A161="","",IFERROR(INDEX(Attempts!$L$2:$L$200,MATCH(A161,Attempts!$A$2:$A$200,0)),""))</f>
        <v/>
      </c>
      <c r="F161">
        <f>IF(B161="","",IFERROR(INDEX(Attempts!$L$2:$L$200,MATCH(B161,Attempts!$A$2:$A$200,0)),""))</f>
        <v/>
      </c>
      <c r="G161">
        <f>IF(OR(E161="",F161=""),"",F161-E161)</f>
        <v/>
      </c>
      <c r="H161">
        <f>IF(B161="","",IFERROR(INDEX(Attempts!$D$2:$D$200,MATCH(B161,Attempts!$A$2:$A$200,0)),"?"))</f>
        <v/>
      </c>
      <c r="I161" s="6" t="n"/>
    </row>
    <row r="162">
      <c r="A162" s="6" t="n"/>
      <c r="B162" s="6" t="n"/>
      <c r="C162">
        <f>IF(A162="","",IFERROR(INDEX(Attempts!$B$2:$B$200,MATCH(A162,Attempts!$A$2:$A$200,0)),"?"))</f>
        <v/>
      </c>
      <c r="D162">
        <f>IF(A162="","",IFERROR(INDEX(Attempts!$D$2:$D$200,MATCH(A162,Attempts!$A$2:$A$200,0)),"?"))</f>
        <v/>
      </c>
      <c r="E162">
        <f>IF(A162="","",IFERROR(INDEX(Attempts!$L$2:$L$200,MATCH(A162,Attempts!$A$2:$A$200,0)),""))</f>
        <v/>
      </c>
      <c r="F162">
        <f>IF(B162="","",IFERROR(INDEX(Attempts!$L$2:$L$200,MATCH(B162,Attempts!$A$2:$A$200,0)),""))</f>
        <v/>
      </c>
      <c r="G162">
        <f>IF(OR(E162="",F162=""),"",F162-E162)</f>
        <v/>
      </c>
      <c r="H162">
        <f>IF(B162="","",IFERROR(INDEX(Attempts!$D$2:$D$200,MATCH(B162,Attempts!$A$2:$A$200,0)),"?"))</f>
        <v/>
      </c>
      <c r="I162" s="6" t="n"/>
    </row>
    <row r="163">
      <c r="A163" s="6" t="n"/>
      <c r="B163" s="6" t="n"/>
      <c r="C163">
        <f>IF(A163="","",IFERROR(INDEX(Attempts!$B$2:$B$200,MATCH(A163,Attempts!$A$2:$A$200,0)),"?"))</f>
        <v/>
      </c>
      <c r="D163">
        <f>IF(A163="","",IFERROR(INDEX(Attempts!$D$2:$D$200,MATCH(A163,Attempts!$A$2:$A$200,0)),"?"))</f>
        <v/>
      </c>
      <c r="E163">
        <f>IF(A163="","",IFERROR(INDEX(Attempts!$L$2:$L$200,MATCH(A163,Attempts!$A$2:$A$200,0)),""))</f>
        <v/>
      </c>
      <c r="F163">
        <f>IF(B163="","",IFERROR(INDEX(Attempts!$L$2:$L$200,MATCH(B163,Attempts!$A$2:$A$200,0)),""))</f>
        <v/>
      </c>
      <c r="G163">
        <f>IF(OR(E163="",F163=""),"",F163-E163)</f>
        <v/>
      </c>
      <c r="H163">
        <f>IF(B163="","",IFERROR(INDEX(Attempts!$D$2:$D$200,MATCH(B163,Attempts!$A$2:$A$200,0)),"?"))</f>
        <v/>
      </c>
      <c r="I163" s="6" t="n"/>
    </row>
    <row r="164">
      <c r="A164" s="6" t="n"/>
      <c r="B164" s="6" t="n"/>
      <c r="C164">
        <f>IF(A164="","",IFERROR(INDEX(Attempts!$B$2:$B$200,MATCH(A164,Attempts!$A$2:$A$200,0)),"?"))</f>
        <v/>
      </c>
      <c r="D164">
        <f>IF(A164="","",IFERROR(INDEX(Attempts!$D$2:$D$200,MATCH(A164,Attempts!$A$2:$A$200,0)),"?"))</f>
        <v/>
      </c>
      <c r="E164">
        <f>IF(A164="","",IFERROR(INDEX(Attempts!$L$2:$L$200,MATCH(A164,Attempts!$A$2:$A$200,0)),""))</f>
        <v/>
      </c>
      <c r="F164">
        <f>IF(B164="","",IFERROR(INDEX(Attempts!$L$2:$L$200,MATCH(B164,Attempts!$A$2:$A$200,0)),""))</f>
        <v/>
      </c>
      <c r="G164">
        <f>IF(OR(E164="",F164=""),"",F164-E164)</f>
        <v/>
      </c>
      <c r="H164">
        <f>IF(B164="","",IFERROR(INDEX(Attempts!$D$2:$D$200,MATCH(B164,Attempts!$A$2:$A$200,0)),"?"))</f>
        <v/>
      </c>
      <c r="I164" s="6" t="n"/>
    </row>
    <row r="165">
      <c r="A165" s="6" t="n"/>
      <c r="B165" s="6" t="n"/>
      <c r="C165">
        <f>IF(A165="","",IFERROR(INDEX(Attempts!$B$2:$B$200,MATCH(A165,Attempts!$A$2:$A$200,0)),"?"))</f>
        <v/>
      </c>
      <c r="D165">
        <f>IF(A165="","",IFERROR(INDEX(Attempts!$D$2:$D$200,MATCH(A165,Attempts!$A$2:$A$200,0)),"?"))</f>
        <v/>
      </c>
      <c r="E165">
        <f>IF(A165="","",IFERROR(INDEX(Attempts!$L$2:$L$200,MATCH(A165,Attempts!$A$2:$A$200,0)),""))</f>
        <v/>
      </c>
      <c r="F165">
        <f>IF(B165="","",IFERROR(INDEX(Attempts!$L$2:$L$200,MATCH(B165,Attempts!$A$2:$A$200,0)),""))</f>
        <v/>
      </c>
      <c r="G165">
        <f>IF(OR(E165="",F165=""),"",F165-E165)</f>
        <v/>
      </c>
      <c r="H165">
        <f>IF(B165="","",IFERROR(INDEX(Attempts!$D$2:$D$200,MATCH(B165,Attempts!$A$2:$A$200,0)),"?"))</f>
        <v/>
      </c>
      <c r="I165" s="6" t="n"/>
    </row>
    <row r="166">
      <c r="A166" s="6" t="n"/>
      <c r="B166" s="6" t="n"/>
      <c r="C166">
        <f>IF(A166="","",IFERROR(INDEX(Attempts!$B$2:$B$200,MATCH(A166,Attempts!$A$2:$A$200,0)),"?"))</f>
        <v/>
      </c>
      <c r="D166">
        <f>IF(A166="","",IFERROR(INDEX(Attempts!$D$2:$D$200,MATCH(A166,Attempts!$A$2:$A$200,0)),"?"))</f>
        <v/>
      </c>
      <c r="E166">
        <f>IF(A166="","",IFERROR(INDEX(Attempts!$L$2:$L$200,MATCH(A166,Attempts!$A$2:$A$200,0)),""))</f>
        <v/>
      </c>
      <c r="F166">
        <f>IF(B166="","",IFERROR(INDEX(Attempts!$L$2:$L$200,MATCH(B166,Attempts!$A$2:$A$200,0)),""))</f>
        <v/>
      </c>
      <c r="G166">
        <f>IF(OR(E166="",F166=""),"",F166-E166)</f>
        <v/>
      </c>
      <c r="H166">
        <f>IF(B166="","",IFERROR(INDEX(Attempts!$D$2:$D$200,MATCH(B166,Attempts!$A$2:$A$200,0)),"?"))</f>
        <v/>
      </c>
      <c r="I166" s="6" t="n"/>
    </row>
    <row r="167">
      <c r="A167" s="6" t="n"/>
      <c r="B167" s="6" t="n"/>
      <c r="C167">
        <f>IF(A167="","",IFERROR(INDEX(Attempts!$B$2:$B$200,MATCH(A167,Attempts!$A$2:$A$200,0)),"?"))</f>
        <v/>
      </c>
      <c r="D167">
        <f>IF(A167="","",IFERROR(INDEX(Attempts!$D$2:$D$200,MATCH(A167,Attempts!$A$2:$A$200,0)),"?"))</f>
        <v/>
      </c>
      <c r="E167">
        <f>IF(A167="","",IFERROR(INDEX(Attempts!$L$2:$L$200,MATCH(A167,Attempts!$A$2:$A$200,0)),""))</f>
        <v/>
      </c>
      <c r="F167">
        <f>IF(B167="","",IFERROR(INDEX(Attempts!$L$2:$L$200,MATCH(B167,Attempts!$A$2:$A$200,0)),""))</f>
        <v/>
      </c>
      <c r="G167">
        <f>IF(OR(E167="",F167=""),"",F167-E167)</f>
        <v/>
      </c>
      <c r="H167">
        <f>IF(B167="","",IFERROR(INDEX(Attempts!$D$2:$D$200,MATCH(B167,Attempts!$A$2:$A$200,0)),"?"))</f>
        <v/>
      </c>
      <c r="I167" s="6" t="n"/>
    </row>
    <row r="168">
      <c r="A168" s="6" t="n"/>
      <c r="B168" s="6" t="n"/>
      <c r="C168">
        <f>IF(A168="","",IFERROR(INDEX(Attempts!$B$2:$B$200,MATCH(A168,Attempts!$A$2:$A$200,0)),"?"))</f>
        <v/>
      </c>
      <c r="D168">
        <f>IF(A168="","",IFERROR(INDEX(Attempts!$D$2:$D$200,MATCH(A168,Attempts!$A$2:$A$200,0)),"?"))</f>
        <v/>
      </c>
      <c r="E168">
        <f>IF(A168="","",IFERROR(INDEX(Attempts!$L$2:$L$200,MATCH(A168,Attempts!$A$2:$A$200,0)),""))</f>
        <v/>
      </c>
      <c r="F168">
        <f>IF(B168="","",IFERROR(INDEX(Attempts!$L$2:$L$200,MATCH(B168,Attempts!$A$2:$A$200,0)),""))</f>
        <v/>
      </c>
      <c r="G168">
        <f>IF(OR(E168="",F168=""),"",F168-E168)</f>
        <v/>
      </c>
      <c r="H168">
        <f>IF(B168="","",IFERROR(INDEX(Attempts!$D$2:$D$200,MATCH(B168,Attempts!$A$2:$A$200,0)),"?"))</f>
        <v/>
      </c>
      <c r="I168" s="6" t="n"/>
    </row>
    <row r="169">
      <c r="A169" s="6" t="n"/>
      <c r="B169" s="6" t="n"/>
      <c r="C169">
        <f>IF(A169="","",IFERROR(INDEX(Attempts!$B$2:$B$200,MATCH(A169,Attempts!$A$2:$A$200,0)),"?"))</f>
        <v/>
      </c>
      <c r="D169">
        <f>IF(A169="","",IFERROR(INDEX(Attempts!$D$2:$D$200,MATCH(A169,Attempts!$A$2:$A$200,0)),"?"))</f>
        <v/>
      </c>
      <c r="E169">
        <f>IF(A169="","",IFERROR(INDEX(Attempts!$L$2:$L$200,MATCH(A169,Attempts!$A$2:$A$200,0)),""))</f>
        <v/>
      </c>
      <c r="F169">
        <f>IF(B169="","",IFERROR(INDEX(Attempts!$L$2:$L$200,MATCH(B169,Attempts!$A$2:$A$200,0)),""))</f>
        <v/>
      </c>
      <c r="G169">
        <f>IF(OR(E169="",F169=""),"",F169-E169)</f>
        <v/>
      </c>
      <c r="H169">
        <f>IF(B169="","",IFERROR(INDEX(Attempts!$D$2:$D$200,MATCH(B169,Attempts!$A$2:$A$200,0)),"?"))</f>
        <v/>
      </c>
      <c r="I169" s="6" t="n"/>
    </row>
    <row r="170">
      <c r="A170" s="6" t="n"/>
      <c r="B170" s="6" t="n"/>
      <c r="C170">
        <f>IF(A170="","",IFERROR(INDEX(Attempts!$B$2:$B$200,MATCH(A170,Attempts!$A$2:$A$200,0)),"?"))</f>
        <v/>
      </c>
      <c r="D170">
        <f>IF(A170="","",IFERROR(INDEX(Attempts!$D$2:$D$200,MATCH(A170,Attempts!$A$2:$A$200,0)),"?"))</f>
        <v/>
      </c>
      <c r="E170">
        <f>IF(A170="","",IFERROR(INDEX(Attempts!$L$2:$L$200,MATCH(A170,Attempts!$A$2:$A$200,0)),""))</f>
        <v/>
      </c>
      <c r="F170">
        <f>IF(B170="","",IFERROR(INDEX(Attempts!$L$2:$L$200,MATCH(B170,Attempts!$A$2:$A$200,0)),""))</f>
        <v/>
      </c>
      <c r="G170">
        <f>IF(OR(E170="",F170=""),"",F170-E170)</f>
        <v/>
      </c>
      <c r="H170">
        <f>IF(B170="","",IFERROR(INDEX(Attempts!$D$2:$D$200,MATCH(B170,Attempts!$A$2:$A$200,0)),"?"))</f>
        <v/>
      </c>
      <c r="I170" s="6" t="n"/>
    </row>
    <row r="171">
      <c r="A171" s="6" t="n"/>
      <c r="B171" s="6" t="n"/>
      <c r="C171">
        <f>IF(A171="","",IFERROR(INDEX(Attempts!$B$2:$B$200,MATCH(A171,Attempts!$A$2:$A$200,0)),"?"))</f>
        <v/>
      </c>
      <c r="D171">
        <f>IF(A171="","",IFERROR(INDEX(Attempts!$D$2:$D$200,MATCH(A171,Attempts!$A$2:$A$200,0)),"?"))</f>
        <v/>
      </c>
      <c r="E171">
        <f>IF(A171="","",IFERROR(INDEX(Attempts!$L$2:$L$200,MATCH(A171,Attempts!$A$2:$A$200,0)),""))</f>
        <v/>
      </c>
      <c r="F171">
        <f>IF(B171="","",IFERROR(INDEX(Attempts!$L$2:$L$200,MATCH(B171,Attempts!$A$2:$A$200,0)),""))</f>
        <v/>
      </c>
      <c r="G171">
        <f>IF(OR(E171="",F171=""),"",F171-E171)</f>
        <v/>
      </c>
      <c r="H171">
        <f>IF(B171="","",IFERROR(INDEX(Attempts!$D$2:$D$200,MATCH(B171,Attempts!$A$2:$A$200,0)),"?"))</f>
        <v/>
      </c>
      <c r="I171" s="6" t="n"/>
    </row>
    <row r="172">
      <c r="A172" s="6" t="n"/>
      <c r="B172" s="6" t="n"/>
      <c r="C172">
        <f>IF(A172="","",IFERROR(INDEX(Attempts!$B$2:$B$200,MATCH(A172,Attempts!$A$2:$A$200,0)),"?"))</f>
        <v/>
      </c>
      <c r="D172">
        <f>IF(A172="","",IFERROR(INDEX(Attempts!$D$2:$D$200,MATCH(A172,Attempts!$A$2:$A$200,0)),"?"))</f>
        <v/>
      </c>
      <c r="E172">
        <f>IF(A172="","",IFERROR(INDEX(Attempts!$L$2:$L$200,MATCH(A172,Attempts!$A$2:$A$200,0)),""))</f>
        <v/>
      </c>
      <c r="F172">
        <f>IF(B172="","",IFERROR(INDEX(Attempts!$L$2:$L$200,MATCH(B172,Attempts!$A$2:$A$200,0)),""))</f>
        <v/>
      </c>
      <c r="G172">
        <f>IF(OR(E172="",F172=""),"",F172-E172)</f>
        <v/>
      </c>
      <c r="H172">
        <f>IF(B172="","",IFERROR(INDEX(Attempts!$D$2:$D$200,MATCH(B172,Attempts!$A$2:$A$200,0)),"?"))</f>
        <v/>
      </c>
      <c r="I172" s="6" t="n"/>
    </row>
    <row r="173">
      <c r="A173" s="6" t="n"/>
      <c r="B173" s="6" t="n"/>
      <c r="C173">
        <f>IF(A173="","",IFERROR(INDEX(Attempts!$B$2:$B$200,MATCH(A173,Attempts!$A$2:$A$200,0)),"?"))</f>
        <v/>
      </c>
      <c r="D173">
        <f>IF(A173="","",IFERROR(INDEX(Attempts!$D$2:$D$200,MATCH(A173,Attempts!$A$2:$A$200,0)),"?"))</f>
        <v/>
      </c>
      <c r="E173">
        <f>IF(A173="","",IFERROR(INDEX(Attempts!$L$2:$L$200,MATCH(A173,Attempts!$A$2:$A$200,0)),""))</f>
        <v/>
      </c>
      <c r="F173">
        <f>IF(B173="","",IFERROR(INDEX(Attempts!$L$2:$L$200,MATCH(B173,Attempts!$A$2:$A$200,0)),""))</f>
        <v/>
      </c>
      <c r="G173">
        <f>IF(OR(E173="",F173=""),"",F173-E173)</f>
        <v/>
      </c>
      <c r="H173">
        <f>IF(B173="","",IFERROR(INDEX(Attempts!$D$2:$D$200,MATCH(B173,Attempts!$A$2:$A$200,0)),"?"))</f>
        <v/>
      </c>
      <c r="I173" s="6" t="n"/>
    </row>
    <row r="174">
      <c r="A174" s="6" t="n"/>
      <c r="B174" s="6" t="n"/>
      <c r="C174">
        <f>IF(A174="","",IFERROR(INDEX(Attempts!$B$2:$B$200,MATCH(A174,Attempts!$A$2:$A$200,0)),"?"))</f>
        <v/>
      </c>
      <c r="D174">
        <f>IF(A174="","",IFERROR(INDEX(Attempts!$D$2:$D$200,MATCH(A174,Attempts!$A$2:$A$200,0)),"?"))</f>
        <v/>
      </c>
      <c r="E174">
        <f>IF(A174="","",IFERROR(INDEX(Attempts!$L$2:$L$200,MATCH(A174,Attempts!$A$2:$A$200,0)),""))</f>
        <v/>
      </c>
      <c r="F174">
        <f>IF(B174="","",IFERROR(INDEX(Attempts!$L$2:$L$200,MATCH(B174,Attempts!$A$2:$A$200,0)),""))</f>
        <v/>
      </c>
      <c r="G174">
        <f>IF(OR(E174="",F174=""),"",F174-E174)</f>
        <v/>
      </c>
      <c r="H174">
        <f>IF(B174="","",IFERROR(INDEX(Attempts!$D$2:$D$200,MATCH(B174,Attempts!$A$2:$A$200,0)),"?"))</f>
        <v/>
      </c>
      <c r="I174" s="6" t="n"/>
    </row>
    <row r="175">
      <c r="A175" s="6" t="n"/>
      <c r="B175" s="6" t="n"/>
      <c r="C175">
        <f>IF(A175="","",IFERROR(INDEX(Attempts!$B$2:$B$200,MATCH(A175,Attempts!$A$2:$A$200,0)),"?"))</f>
        <v/>
      </c>
      <c r="D175">
        <f>IF(A175="","",IFERROR(INDEX(Attempts!$D$2:$D$200,MATCH(A175,Attempts!$A$2:$A$200,0)),"?"))</f>
        <v/>
      </c>
      <c r="E175">
        <f>IF(A175="","",IFERROR(INDEX(Attempts!$L$2:$L$200,MATCH(A175,Attempts!$A$2:$A$200,0)),""))</f>
        <v/>
      </c>
      <c r="F175">
        <f>IF(B175="","",IFERROR(INDEX(Attempts!$L$2:$L$200,MATCH(B175,Attempts!$A$2:$A$200,0)),""))</f>
        <v/>
      </c>
      <c r="G175">
        <f>IF(OR(E175="",F175=""),"",F175-E175)</f>
        <v/>
      </c>
      <c r="H175">
        <f>IF(B175="","",IFERROR(INDEX(Attempts!$D$2:$D$200,MATCH(B175,Attempts!$A$2:$A$200,0)),"?"))</f>
        <v/>
      </c>
      <c r="I175" s="6" t="n"/>
    </row>
    <row r="176">
      <c r="A176" s="6" t="n"/>
      <c r="B176" s="6" t="n"/>
      <c r="C176">
        <f>IF(A176="","",IFERROR(INDEX(Attempts!$B$2:$B$200,MATCH(A176,Attempts!$A$2:$A$200,0)),"?"))</f>
        <v/>
      </c>
      <c r="D176">
        <f>IF(A176="","",IFERROR(INDEX(Attempts!$D$2:$D$200,MATCH(A176,Attempts!$A$2:$A$200,0)),"?"))</f>
        <v/>
      </c>
      <c r="E176">
        <f>IF(A176="","",IFERROR(INDEX(Attempts!$L$2:$L$200,MATCH(A176,Attempts!$A$2:$A$200,0)),""))</f>
        <v/>
      </c>
      <c r="F176">
        <f>IF(B176="","",IFERROR(INDEX(Attempts!$L$2:$L$200,MATCH(B176,Attempts!$A$2:$A$200,0)),""))</f>
        <v/>
      </c>
      <c r="G176">
        <f>IF(OR(E176="",F176=""),"",F176-E176)</f>
        <v/>
      </c>
      <c r="H176">
        <f>IF(B176="","",IFERROR(INDEX(Attempts!$D$2:$D$200,MATCH(B176,Attempts!$A$2:$A$200,0)),"?"))</f>
        <v/>
      </c>
      <c r="I176" s="6" t="n"/>
    </row>
    <row r="177">
      <c r="A177" s="6" t="n"/>
      <c r="B177" s="6" t="n"/>
      <c r="C177">
        <f>IF(A177="","",IFERROR(INDEX(Attempts!$B$2:$B$200,MATCH(A177,Attempts!$A$2:$A$200,0)),"?"))</f>
        <v/>
      </c>
      <c r="D177">
        <f>IF(A177="","",IFERROR(INDEX(Attempts!$D$2:$D$200,MATCH(A177,Attempts!$A$2:$A$200,0)),"?"))</f>
        <v/>
      </c>
      <c r="E177">
        <f>IF(A177="","",IFERROR(INDEX(Attempts!$L$2:$L$200,MATCH(A177,Attempts!$A$2:$A$200,0)),""))</f>
        <v/>
      </c>
      <c r="F177">
        <f>IF(B177="","",IFERROR(INDEX(Attempts!$L$2:$L$200,MATCH(B177,Attempts!$A$2:$A$200,0)),""))</f>
        <v/>
      </c>
      <c r="G177">
        <f>IF(OR(E177="",F177=""),"",F177-E177)</f>
        <v/>
      </c>
      <c r="H177">
        <f>IF(B177="","",IFERROR(INDEX(Attempts!$D$2:$D$200,MATCH(B177,Attempts!$A$2:$A$200,0)),"?"))</f>
        <v/>
      </c>
      <c r="I177" s="6" t="n"/>
    </row>
    <row r="178">
      <c r="A178" s="6" t="n"/>
      <c r="B178" s="6" t="n"/>
      <c r="C178">
        <f>IF(A178="","",IFERROR(INDEX(Attempts!$B$2:$B$200,MATCH(A178,Attempts!$A$2:$A$200,0)),"?"))</f>
        <v/>
      </c>
      <c r="D178">
        <f>IF(A178="","",IFERROR(INDEX(Attempts!$D$2:$D$200,MATCH(A178,Attempts!$A$2:$A$200,0)),"?"))</f>
        <v/>
      </c>
      <c r="E178">
        <f>IF(A178="","",IFERROR(INDEX(Attempts!$L$2:$L$200,MATCH(A178,Attempts!$A$2:$A$200,0)),""))</f>
        <v/>
      </c>
      <c r="F178">
        <f>IF(B178="","",IFERROR(INDEX(Attempts!$L$2:$L$200,MATCH(B178,Attempts!$A$2:$A$200,0)),""))</f>
        <v/>
      </c>
      <c r="G178">
        <f>IF(OR(E178="",F178=""),"",F178-E178)</f>
        <v/>
      </c>
      <c r="H178">
        <f>IF(B178="","",IFERROR(INDEX(Attempts!$D$2:$D$200,MATCH(B178,Attempts!$A$2:$A$200,0)),"?"))</f>
        <v/>
      </c>
      <c r="I178" s="6" t="n"/>
    </row>
    <row r="179">
      <c r="A179" s="6" t="n"/>
      <c r="B179" s="6" t="n"/>
      <c r="C179">
        <f>IF(A179="","",IFERROR(INDEX(Attempts!$B$2:$B$200,MATCH(A179,Attempts!$A$2:$A$200,0)),"?"))</f>
        <v/>
      </c>
      <c r="D179">
        <f>IF(A179="","",IFERROR(INDEX(Attempts!$D$2:$D$200,MATCH(A179,Attempts!$A$2:$A$200,0)),"?"))</f>
        <v/>
      </c>
      <c r="E179">
        <f>IF(A179="","",IFERROR(INDEX(Attempts!$L$2:$L$200,MATCH(A179,Attempts!$A$2:$A$200,0)),""))</f>
        <v/>
      </c>
      <c r="F179">
        <f>IF(B179="","",IFERROR(INDEX(Attempts!$L$2:$L$200,MATCH(B179,Attempts!$A$2:$A$200,0)),""))</f>
        <v/>
      </c>
      <c r="G179">
        <f>IF(OR(E179="",F179=""),"",F179-E179)</f>
        <v/>
      </c>
      <c r="H179">
        <f>IF(B179="","",IFERROR(INDEX(Attempts!$D$2:$D$200,MATCH(B179,Attempts!$A$2:$A$200,0)),"?"))</f>
        <v/>
      </c>
      <c r="I179" s="6" t="n"/>
    </row>
    <row r="180">
      <c r="A180" s="6" t="n"/>
      <c r="B180" s="6" t="n"/>
      <c r="C180">
        <f>IF(A180="","",IFERROR(INDEX(Attempts!$B$2:$B$200,MATCH(A180,Attempts!$A$2:$A$200,0)),"?"))</f>
        <v/>
      </c>
      <c r="D180">
        <f>IF(A180="","",IFERROR(INDEX(Attempts!$D$2:$D$200,MATCH(A180,Attempts!$A$2:$A$200,0)),"?"))</f>
        <v/>
      </c>
      <c r="E180">
        <f>IF(A180="","",IFERROR(INDEX(Attempts!$L$2:$L$200,MATCH(A180,Attempts!$A$2:$A$200,0)),""))</f>
        <v/>
      </c>
      <c r="F180">
        <f>IF(B180="","",IFERROR(INDEX(Attempts!$L$2:$L$200,MATCH(B180,Attempts!$A$2:$A$200,0)),""))</f>
        <v/>
      </c>
      <c r="G180">
        <f>IF(OR(E180="",F180=""),"",F180-E180)</f>
        <v/>
      </c>
      <c r="H180">
        <f>IF(B180="","",IFERROR(INDEX(Attempts!$D$2:$D$200,MATCH(B180,Attempts!$A$2:$A$200,0)),"?"))</f>
        <v/>
      </c>
      <c r="I180" s="6" t="n"/>
    </row>
    <row r="181">
      <c r="A181" s="6" t="n"/>
      <c r="B181" s="6" t="n"/>
      <c r="C181">
        <f>IF(A181="","",IFERROR(INDEX(Attempts!$B$2:$B$200,MATCH(A181,Attempts!$A$2:$A$200,0)),"?"))</f>
        <v/>
      </c>
      <c r="D181">
        <f>IF(A181="","",IFERROR(INDEX(Attempts!$D$2:$D$200,MATCH(A181,Attempts!$A$2:$A$200,0)),"?"))</f>
        <v/>
      </c>
      <c r="E181">
        <f>IF(A181="","",IFERROR(INDEX(Attempts!$L$2:$L$200,MATCH(A181,Attempts!$A$2:$A$200,0)),""))</f>
        <v/>
      </c>
      <c r="F181">
        <f>IF(B181="","",IFERROR(INDEX(Attempts!$L$2:$L$200,MATCH(B181,Attempts!$A$2:$A$200,0)),""))</f>
        <v/>
      </c>
      <c r="G181">
        <f>IF(OR(E181="",F181=""),"",F181-E181)</f>
        <v/>
      </c>
      <c r="H181">
        <f>IF(B181="","",IFERROR(INDEX(Attempts!$D$2:$D$200,MATCH(B181,Attempts!$A$2:$A$200,0)),"?"))</f>
        <v/>
      </c>
      <c r="I181" s="6" t="n"/>
    </row>
    <row r="182">
      <c r="A182" s="6" t="n"/>
      <c r="B182" s="6" t="n"/>
      <c r="C182">
        <f>IF(A182="","",IFERROR(INDEX(Attempts!$B$2:$B$200,MATCH(A182,Attempts!$A$2:$A$200,0)),"?"))</f>
        <v/>
      </c>
      <c r="D182">
        <f>IF(A182="","",IFERROR(INDEX(Attempts!$D$2:$D$200,MATCH(A182,Attempts!$A$2:$A$200,0)),"?"))</f>
        <v/>
      </c>
      <c r="E182">
        <f>IF(A182="","",IFERROR(INDEX(Attempts!$L$2:$L$200,MATCH(A182,Attempts!$A$2:$A$200,0)),""))</f>
        <v/>
      </c>
      <c r="F182">
        <f>IF(B182="","",IFERROR(INDEX(Attempts!$L$2:$L$200,MATCH(B182,Attempts!$A$2:$A$200,0)),""))</f>
        <v/>
      </c>
      <c r="G182">
        <f>IF(OR(E182="",F182=""),"",F182-E182)</f>
        <v/>
      </c>
      <c r="H182">
        <f>IF(B182="","",IFERROR(INDEX(Attempts!$D$2:$D$200,MATCH(B182,Attempts!$A$2:$A$200,0)),"?"))</f>
        <v/>
      </c>
      <c r="I182" s="6" t="n"/>
    </row>
    <row r="183">
      <c r="A183" s="6" t="n"/>
      <c r="B183" s="6" t="n"/>
      <c r="C183">
        <f>IF(A183="","",IFERROR(INDEX(Attempts!$B$2:$B$200,MATCH(A183,Attempts!$A$2:$A$200,0)),"?"))</f>
        <v/>
      </c>
      <c r="D183">
        <f>IF(A183="","",IFERROR(INDEX(Attempts!$D$2:$D$200,MATCH(A183,Attempts!$A$2:$A$200,0)),"?"))</f>
        <v/>
      </c>
      <c r="E183">
        <f>IF(A183="","",IFERROR(INDEX(Attempts!$L$2:$L$200,MATCH(A183,Attempts!$A$2:$A$200,0)),""))</f>
        <v/>
      </c>
      <c r="F183">
        <f>IF(B183="","",IFERROR(INDEX(Attempts!$L$2:$L$200,MATCH(B183,Attempts!$A$2:$A$200,0)),""))</f>
        <v/>
      </c>
      <c r="G183">
        <f>IF(OR(E183="",F183=""),"",F183-E183)</f>
        <v/>
      </c>
      <c r="H183">
        <f>IF(B183="","",IFERROR(INDEX(Attempts!$D$2:$D$200,MATCH(B183,Attempts!$A$2:$A$200,0)),"?"))</f>
        <v/>
      </c>
      <c r="I183" s="6" t="n"/>
    </row>
    <row r="184">
      <c r="A184" s="6" t="n"/>
      <c r="B184" s="6" t="n"/>
      <c r="C184">
        <f>IF(A184="","",IFERROR(INDEX(Attempts!$B$2:$B$200,MATCH(A184,Attempts!$A$2:$A$200,0)),"?"))</f>
        <v/>
      </c>
      <c r="D184">
        <f>IF(A184="","",IFERROR(INDEX(Attempts!$D$2:$D$200,MATCH(A184,Attempts!$A$2:$A$200,0)),"?"))</f>
        <v/>
      </c>
      <c r="E184">
        <f>IF(A184="","",IFERROR(INDEX(Attempts!$L$2:$L$200,MATCH(A184,Attempts!$A$2:$A$200,0)),""))</f>
        <v/>
      </c>
      <c r="F184">
        <f>IF(B184="","",IFERROR(INDEX(Attempts!$L$2:$L$200,MATCH(B184,Attempts!$A$2:$A$200,0)),""))</f>
        <v/>
      </c>
      <c r="G184">
        <f>IF(OR(E184="",F184=""),"",F184-E184)</f>
        <v/>
      </c>
      <c r="H184">
        <f>IF(B184="","",IFERROR(INDEX(Attempts!$D$2:$D$200,MATCH(B184,Attempts!$A$2:$A$200,0)),"?"))</f>
        <v/>
      </c>
      <c r="I184" s="6" t="n"/>
    </row>
    <row r="185">
      <c r="A185" s="6" t="n"/>
      <c r="B185" s="6" t="n"/>
      <c r="C185">
        <f>IF(A185="","",IFERROR(INDEX(Attempts!$B$2:$B$200,MATCH(A185,Attempts!$A$2:$A$200,0)),"?"))</f>
        <v/>
      </c>
      <c r="D185">
        <f>IF(A185="","",IFERROR(INDEX(Attempts!$D$2:$D$200,MATCH(A185,Attempts!$A$2:$A$200,0)),"?"))</f>
        <v/>
      </c>
      <c r="E185">
        <f>IF(A185="","",IFERROR(INDEX(Attempts!$L$2:$L$200,MATCH(A185,Attempts!$A$2:$A$200,0)),""))</f>
        <v/>
      </c>
      <c r="F185">
        <f>IF(B185="","",IFERROR(INDEX(Attempts!$L$2:$L$200,MATCH(B185,Attempts!$A$2:$A$200,0)),""))</f>
        <v/>
      </c>
      <c r="G185">
        <f>IF(OR(E185="",F185=""),"",F185-E185)</f>
        <v/>
      </c>
      <c r="H185">
        <f>IF(B185="","",IFERROR(INDEX(Attempts!$D$2:$D$200,MATCH(B185,Attempts!$A$2:$A$200,0)),"?"))</f>
        <v/>
      </c>
      <c r="I185" s="6" t="n"/>
    </row>
    <row r="186">
      <c r="A186" s="6" t="n"/>
      <c r="B186" s="6" t="n"/>
      <c r="C186">
        <f>IF(A186="","",IFERROR(INDEX(Attempts!$B$2:$B$200,MATCH(A186,Attempts!$A$2:$A$200,0)),"?"))</f>
        <v/>
      </c>
      <c r="D186">
        <f>IF(A186="","",IFERROR(INDEX(Attempts!$D$2:$D$200,MATCH(A186,Attempts!$A$2:$A$200,0)),"?"))</f>
        <v/>
      </c>
      <c r="E186">
        <f>IF(A186="","",IFERROR(INDEX(Attempts!$L$2:$L$200,MATCH(A186,Attempts!$A$2:$A$200,0)),""))</f>
        <v/>
      </c>
      <c r="F186">
        <f>IF(B186="","",IFERROR(INDEX(Attempts!$L$2:$L$200,MATCH(B186,Attempts!$A$2:$A$200,0)),""))</f>
        <v/>
      </c>
      <c r="G186">
        <f>IF(OR(E186="",F186=""),"",F186-E186)</f>
        <v/>
      </c>
      <c r="H186">
        <f>IF(B186="","",IFERROR(INDEX(Attempts!$D$2:$D$200,MATCH(B186,Attempts!$A$2:$A$200,0)),"?"))</f>
        <v/>
      </c>
      <c r="I186" s="6" t="n"/>
    </row>
    <row r="187">
      <c r="A187" s="6" t="n"/>
      <c r="B187" s="6" t="n"/>
      <c r="C187">
        <f>IF(A187="","",IFERROR(INDEX(Attempts!$B$2:$B$200,MATCH(A187,Attempts!$A$2:$A$200,0)),"?"))</f>
        <v/>
      </c>
      <c r="D187">
        <f>IF(A187="","",IFERROR(INDEX(Attempts!$D$2:$D$200,MATCH(A187,Attempts!$A$2:$A$200,0)),"?"))</f>
        <v/>
      </c>
      <c r="E187">
        <f>IF(A187="","",IFERROR(INDEX(Attempts!$L$2:$L$200,MATCH(A187,Attempts!$A$2:$A$200,0)),""))</f>
        <v/>
      </c>
      <c r="F187">
        <f>IF(B187="","",IFERROR(INDEX(Attempts!$L$2:$L$200,MATCH(B187,Attempts!$A$2:$A$200,0)),""))</f>
        <v/>
      </c>
      <c r="G187">
        <f>IF(OR(E187="",F187=""),"",F187-E187)</f>
        <v/>
      </c>
      <c r="H187">
        <f>IF(B187="","",IFERROR(INDEX(Attempts!$D$2:$D$200,MATCH(B187,Attempts!$A$2:$A$200,0)),"?"))</f>
        <v/>
      </c>
      <c r="I187" s="6" t="n"/>
    </row>
    <row r="188">
      <c r="A188" s="6" t="n"/>
      <c r="B188" s="6" t="n"/>
      <c r="C188">
        <f>IF(A188="","",IFERROR(INDEX(Attempts!$B$2:$B$200,MATCH(A188,Attempts!$A$2:$A$200,0)),"?"))</f>
        <v/>
      </c>
      <c r="D188">
        <f>IF(A188="","",IFERROR(INDEX(Attempts!$D$2:$D$200,MATCH(A188,Attempts!$A$2:$A$200,0)),"?"))</f>
        <v/>
      </c>
      <c r="E188">
        <f>IF(A188="","",IFERROR(INDEX(Attempts!$L$2:$L$200,MATCH(A188,Attempts!$A$2:$A$200,0)),""))</f>
        <v/>
      </c>
      <c r="F188">
        <f>IF(B188="","",IFERROR(INDEX(Attempts!$L$2:$L$200,MATCH(B188,Attempts!$A$2:$A$200,0)),""))</f>
        <v/>
      </c>
      <c r="G188">
        <f>IF(OR(E188="",F188=""),"",F188-E188)</f>
        <v/>
      </c>
      <c r="H188">
        <f>IF(B188="","",IFERROR(INDEX(Attempts!$D$2:$D$200,MATCH(B188,Attempts!$A$2:$A$200,0)),"?"))</f>
        <v/>
      </c>
      <c r="I188" s="6" t="n"/>
    </row>
    <row r="189">
      <c r="A189" s="6" t="n"/>
      <c r="B189" s="6" t="n"/>
      <c r="C189">
        <f>IF(A189="","",IFERROR(INDEX(Attempts!$B$2:$B$200,MATCH(A189,Attempts!$A$2:$A$200,0)),"?"))</f>
        <v/>
      </c>
      <c r="D189">
        <f>IF(A189="","",IFERROR(INDEX(Attempts!$D$2:$D$200,MATCH(A189,Attempts!$A$2:$A$200,0)),"?"))</f>
        <v/>
      </c>
      <c r="E189">
        <f>IF(A189="","",IFERROR(INDEX(Attempts!$L$2:$L$200,MATCH(A189,Attempts!$A$2:$A$200,0)),""))</f>
        <v/>
      </c>
      <c r="F189">
        <f>IF(B189="","",IFERROR(INDEX(Attempts!$L$2:$L$200,MATCH(B189,Attempts!$A$2:$A$200,0)),""))</f>
        <v/>
      </c>
      <c r="G189">
        <f>IF(OR(E189="",F189=""),"",F189-E189)</f>
        <v/>
      </c>
      <c r="H189">
        <f>IF(B189="","",IFERROR(INDEX(Attempts!$D$2:$D$200,MATCH(B189,Attempts!$A$2:$A$200,0)),"?"))</f>
        <v/>
      </c>
      <c r="I189" s="6" t="n"/>
    </row>
    <row r="190">
      <c r="A190" s="6" t="n"/>
      <c r="B190" s="6" t="n"/>
      <c r="C190">
        <f>IF(A190="","",IFERROR(INDEX(Attempts!$B$2:$B$200,MATCH(A190,Attempts!$A$2:$A$200,0)),"?"))</f>
        <v/>
      </c>
      <c r="D190">
        <f>IF(A190="","",IFERROR(INDEX(Attempts!$D$2:$D$200,MATCH(A190,Attempts!$A$2:$A$200,0)),"?"))</f>
        <v/>
      </c>
      <c r="E190">
        <f>IF(A190="","",IFERROR(INDEX(Attempts!$L$2:$L$200,MATCH(A190,Attempts!$A$2:$A$200,0)),""))</f>
        <v/>
      </c>
      <c r="F190">
        <f>IF(B190="","",IFERROR(INDEX(Attempts!$L$2:$L$200,MATCH(B190,Attempts!$A$2:$A$200,0)),""))</f>
        <v/>
      </c>
      <c r="G190">
        <f>IF(OR(E190="",F190=""),"",F190-E190)</f>
        <v/>
      </c>
      <c r="H190">
        <f>IF(B190="","",IFERROR(INDEX(Attempts!$D$2:$D$200,MATCH(B190,Attempts!$A$2:$A$200,0)),"?"))</f>
        <v/>
      </c>
      <c r="I190" s="6" t="n"/>
    </row>
    <row r="191">
      <c r="A191" s="6" t="n"/>
      <c r="B191" s="6" t="n"/>
      <c r="C191">
        <f>IF(A191="","",IFERROR(INDEX(Attempts!$B$2:$B$200,MATCH(A191,Attempts!$A$2:$A$200,0)),"?"))</f>
        <v/>
      </c>
      <c r="D191">
        <f>IF(A191="","",IFERROR(INDEX(Attempts!$D$2:$D$200,MATCH(A191,Attempts!$A$2:$A$200,0)),"?"))</f>
        <v/>
      </c>
      <c r="E191">
        <f>IF(A191="","",IFERROR(INDEX(Attempts!$L$2:$L$200,MATCH(A191,Attempts!$A$2:$A$200,0)),""))</f>
        <v/>
      </c>
      <c r="F191">
        <f>IF(B191="","",IFERROR(INDEX(Attempts!$L$2:$L$200,MATCH(B191,Attempts!$A$2:$A$200,0)),""))</f>
        <v/>
      </c>
      <c r="G191">
        <f>IF(OR(E191="",F191=""),"",F191-E191)</f>
        <v/>
      </c>
      <c r="H191">
        <f>IF(B191="","",IFERROR(INDEX(Attempts!$D$2:$D$200,MATCH(B191,Attempts!$A$2:$A$200,0)),"?"))</f>
        <v/>
      </c>
      <c r="I191" s="6" t="n"/>
    </row>
    <row r="192">
      <c r="A192" s="6" t="n"/>
      <c r="B192" s="6" t="n"/>
      <c r="C192">
        <f>IF(A192="","",IFERROR(INDEX(Attempts!$B$2:$B$200,MATCH(A192,Attempts!$A$2:$A$200,0)),"?"))</f>
        <v/>
      </c>
      <c r="D192">
        <f>IF(A192="","",IFERROR(INDEX(Attempts!$D$2:$D$200,MATCH(A192,Attempts!$A$2:$A$200,0)),"?"))</f>
        <v/>
      </c>
      <c r="E192">
        <f>IF(A192="","",IFERROR(INDEX(Attempts!$L$2:$L$200,MATCH(A192,Attempts!$A$2:$A$200,0)),""))</f>
        <v/>
      </c>
      <c r="F192">
        <f>IF(B192="","",IFERROR(INDEX(Attempts!$L$2:$L$200,MATCH(B192,Attempts!$A$2:$A$200,0)),""))</f>
        <v/>
      </c>
      <c r="G192">
        <f>IF(OR(E192="",F192=""),"",F192-E192)</f>
        <v/>
      </c>
      <c r="H192">
        <f>IF(B192="","",IFERROR(INDEX(Attempts!$D$2:$D$200,MATCH(B192,Attempts!$A$2:$A$200,0)),"?"))</f>
        <v/>
      </c>
      <c r="I192" s="6" t="n"/>
    </row>
    <row r="193">
      <c r="A193" s="6" t="n"/>
      <c r="B193" s="6" t="n"/>
      <c r="C193">
        <f>IF(A193="","",IFERROR(INDEX(Attempts!$B$2:$B$200,MATCH(A193,Attempts!$A$2:$A$200,0)),"?"))</f>
        <v/>
      </c>
      <c r="D193">
        <f>IF(A193="","",IFERROR(INDEX(Attempts!$D$2:$D$200,MATCH(A193,Attempts!$A$2:$A$200,0)),"?"))</f>
        <v/>
      </c>
      <c r="E193">
        <f>IF(A193="","",IFERROR(INDEX(Attempts!$L$2:$L$200,MATCH(A193,Attempts!$A$2:$A$200,0)),""))</f>
        <v/>
      </c>
      <c r="F193">
        <f>IF(B193="","",IFERROR(INDEX(Attempts!$L$2:$L$200,MATCH(B193,Attempts!$A$2:$A$200,0)),""))</f>
        <v/>
      </c>
      <c r="G193">
        <f>IF(OR(E193="",F193=""),"",F193-E193)</f>
        <v/>
      </c>
      <c r="H193">
        <f>IF(B193="","",IFERROR(INDEX(Attempts!$D$2:$D$200,MATCH(B193,Attempts!$A$2:$A$200,0)),"?"))</f>
        <v/>
      </c>
      <c r="I193" s="6" t="n"/>
    </row>
    <row r="194">
      <c r="A194" s="6" t="n"/>
      <c r="B194" s="6" t="n"/>
      <c r="C194">
        <f>IF(A194="","",IFERROR(INDEX(Attempts!$B$2:$B$200,MATCH(A194,Attempts!$A$2:$A$200,0)),"?"))</f>
        <v/>
      </c>
      <c r="D194">
        <f>IF(A194="","",IFERROR(INDEX(Attempts!$D$2:$D$200,MATCH(A194,Attempts!$A$2:$A$200,0)),"?"))</f>
        <v/>
      </c>
      <c r="E194">
        <f>IF(A194="","",IFERROR(INDEX(Attempts!$L$2:$L$200,MATCH(A194,Attempts!$A$2:$A$200,0)),""))</f>
        <v/>
      </c>
      <c r="F194">
        <f>IF(B194="","",IFERROR(INDEX(Attempts!$L$2:$L$200,MATCH(B194,Attempts!$A$2:$A$200,0)),""))</f>
        <v/>
      </c>
      <c r="G194">
        <f>IF(OR(E194="",F194=""),"",F194-E194)</f>
        <v/>
      </c>
      <c r="H194">
        <f>IF(B194="","",IFERROR(INDEX(Attempts!$D$2:$D$200,MATCH(B194,Attempts!$A$2:$A$200,0)),"?"))</f>
        <v/>
      </c>
      <c r="I194" s="6" t="n"/>
    </row>
    <row r="195">
      <c r="A195" s="6" t="n"/>
      <c r="B195" s="6" t="n"/>
      <c r="C195">
        <f>IF(A195="","",IFERROR(INDEX(Attempts!$B$2:$B$200,MATCH(A195,Attempts!$A$2:$A$200,0)),"?"))</f>
        <v/>
      </c>
      <c r="D195">
        <f>IF(A195="","",IFERROR(INDEX(Attempts!$D$2:$D$200,MATCH(A195,Attempts!$A$2:$A$200,0)),"?"))</f>
        <v/>
      </c>
      <c r="E195">
        <f>IF(A195="","",IFERROR(INDEX(Attempts!$L$2:$L$200,MATCH(A195,Attempts!$A$2:$A$200,0)),""))</f>
        <v/>
      </c>
      <c r="F195">
        <f>IF(B195="","",IFERROR(INDEX(Attempts!$L$2:$L$200,MATCH(B195,Attempts!$A$2:$A$200,0)),""))</f>
        <v/>
      </c>
      <c r="G195">
        <f>IF(OR(E195="",F195=""),"",F195-E195)</f>
        <v/>
      </c>
      <c r="H195">
        <f>IF(B195="","",IFERROR(INDEX(Attempts!$D$2:$D$200,MATCH(B195,Attempts!$A$2:$A$200,0)),"?"))</f>
        <v/>
      </c>
      <c r="I195" s="6" t="n"/>
    </row>
    <row r="196">
      <c r="A196" s="6" t="n"/>
      <c r="B196" s="6" t="n"/>
      <c r="C196">
        <f>IF(A196="","",IFERROR(INDEX(Attempts!$B$2:$B$200,MATCH(A196,Attempts!$A$2:$A$200,0)),"?"))</f>
        <v/>
      </c>
      <c r="D196">
        <f>IF(A196="","",IFERROR(INDEX(Attempts!$D$2:$D$200,MATCH(A196,Attempts!$A$2:$A$200,0)),"?"))</f>
        <v/>
      </c>
      <c r="E196">
        <f>IF(A196="","",IFERROR(INDEX(Attempts!$L$2:$L$200,MATCH(A196,Attempts!$A$2:$A$200,0)),""))</f>
        <v/>
      </c>
      <c r="F196">
        <f>IF(B196="","",IFERROR(INDEX(Attempts!$L$2:$L$200,MATCH(B196,Attempts!$A$2:$A$200,0)),""))</f>
        <v/>
      </c>
      <c r="G196">
        <f>IF(OR(E196="",F196=""),"",F196-E196)</f>
        <v/>
      </c>
      <c r="H196">
        <f>IF(B196="","",IFERROR(INDEX(Attempts!$D$2:$D$200,MATCH(B196,Attempts!$A$2:$A$200,0)),"?"))</f>
        <v/>
      </c>
      <c r="I196" s="6" t="n"/>
    </row>
    <row r="197">
      <c r="A197" s="6" t="n"/>
      <c r="B197" s="6" t="n"/>
      <c r="C197">
        <f>IF(A197="","",IFERROR(INDEX(Attempts!$B$2:$B$200,MATCH(A197,Attempts!$A$2:$A$200,0)),"?"))</f>
        <v/>
      </c>
      <c r="D197">
        <f>IF(A197="","",IFERROR(INDEX(Attempts!$D$2:$D$200,MATCH(A197,Attempts!$A$2:$A$200,0)),"?"))</f>
        <v/>
      </c>
      <c r="E197">
        <f>IF(A197="","",IFERROR(INDEX(Attempts!$L$2:$L$200,MATCH(A197,Attempts!$A$2:$A$200,0)),""))</f>
        <v/>
      </c>
      <c r="F197">
        <f>IF(B197="","",IFERROR(INDEX(Attempts!$L$2:$L$200,MATCH(B197,Attempts!$A$2:$A$200,0)),""))</f>
        <v/>
      </c>
      <c r="G197">
        <f>IF(OR(E197="",F197=""),"",F197-E197)</f>
        <v/>
      </c>
      <c r="H197">
        <f>IF(B197="","",IFERROR(INDEX(Attempts!$D$2:$D$200,MATCH(B197,Attempts!$A$2:$A$200,0)),"?"))</f>
        <v/>
      </c>
      <c r="I197" s="6" t="n"/>
    </row>
    <row r="198">
      <c r="A198" s="6" t="n"/>
      <c r="B198" s="6" t="n"/>
      <c r="C198">
        <f>IF(A198="","",IFERROR(INDEX(Attempts!$B$2:$B$200,MATCH(A198,Attempts!$A$2:$A$200,0)),"?"))</f>
        <v/>
      </c>
      <c r="D198">
        <f>IF(A198="","",IFERROR(INDEX(Attempts!$D$2:$D$200,MATCH(A198,Attempts!$A$2:$A$200,0)),"?"))</f>
        <v/>
      </c>
      <c r="E198">
        <f>IF(A198="","",IFERROR(INDEX(Attempts!$L$2:$L$200,MATCH(A198,Attempts!$A$2:$A$200,0)),""))</f>
        <v/>
      </c>
      <c r="F198">
        <f>IF(B198="","",IFERROR(INDEX(Attempts!$L$2:$L$200,MATCH(B198,Attempts!$A$2:$A$200,0)),""))</f>
        <v/>
      </c>
      <c r="G198">
        <f>IF(OR(E198="",F198=""),"",F198-E198)</f>
        <v/>
      </c>
      <c r="H198">
        <f>IF(B198="","",IFERROR(INDEX(Attempts!$D$2:$D$200,MATCH(B198,Attempts!$A$2:$A$200,0)),"?"))</f>
        <v/>
      </c>
      <c r="I198" s="6" t="n"/>
    </row>
    <row r="199">
      <c r="A199" s="6" t="n"/>
      <c r="B199" s="6" t="n"/>
      <c r="C199">
        <f>IF(A199="","",IFERROR(INDEX(Attempts!$B$2:$B$200,MATCH(A199,Attempts!$A$2:$A$200,0)),"?"))</f>
        <v/>
      </c>
      <c r="D199">
        <f>IF(A199="","",IFERROR(INDEX(Attempts!$D$2:$D$200,MATCH(A199,Attempts!$A$2:$A$200,0)),"?"))</f>
        <v/>
      </c>
      <c r="E199">
        <f>IF(A199="","",IFERROR(INDEX(Attempts!$L$2:$L$200,MATCH(A199,Attempts!$A$2:$A$200,0)),""))</f>
        <v/>
      </c>
      <c r="F199">
        <f>IF(B199="","",IFERROR(INDEX(Attempts!$L$2:$L$200,MATCH(B199,Attempts!$A$2:$A$200,0)),""))</f>
        <v/>
      </c>
      <c r="G199">
        <f>IF(OR(E199="",F199=""),"",F199-E199)</f>
        <v/>
      </c>
      <c r="H199">
        <f>IF(B199="","",IFERROR(INDEX(Attempts!$D$2:$D$200,MATCH(B199,Attempts!$A$2:$A$200,0)),"?"))</f>
        <v/>
      </c>
      <c r="I199" s="6" t="n"/>
    </row>
    <row r="200">
      <c r="A200" s="6" t="n"/>
      <c r="B200" s="6" t="n"/>
      <c r="C200">
        <f>IF(A200="","",IFERROR(INDEX(Attempts!$B$2:$B$200,MATCH(A200,Attempts!$A$2:$A$200,0)),"?"))</f>
        <v/>
      </c>
      <c r="D200">
        <f>IF(A200="","",IFERROR(INDEX(Attempts!$D$2:$D$200,MATCH(A200,Attempts!$A$2:$A$200,0)),"?"))</f>
        <v/>
      </c>
      <c r="E200">
        <f>IF(A200="","",IFERROR(INDEX(Attempts!$L$2:$L$200,MATCH(A200,Attempts!$A$2:$A$200,0)),""))</f>
        <v/>
      </c>
      <c r="F200">
        <f>IF(B200="","",IFERROR(INDEX(Attempts!$L$2:$L$200,MATCH(B200,Attempts!$A$2:$A$200,0)),""))</f>
        <v/>
      </c>
      <c r="G200">
        <f>IF(OR(E200="",F200=""),"",F200-E200)</f>
        <v/>
      </c>
      <c r="H200">
        <f>IF(B200="","",IFERROR(INDEX(Attempts!$D$2:$D$200,MATCH(B200,Attempts!$A$2:$A$200,0)),"?"))</f>
        <v/>
      </c>
      <c r="I200" s="6" t="n"/>
    </row>
    <row r="201">
      <c r="A201" s="6" t="n"/>
      <c r="B201" s="6" t="n"/>
      <c r="C201">
        <f>IF(A201="","",IFERROR(INDEX(Attempts!$B$2:$B$200,MATCH(A201,Attempts!$A$2:$A$200,0)),"?"))</f>
        <v/>
      </c>
      <c r="D201">
        <f>IF(A201="","",IFERROR(INDEX(Attempts!$D$2:$D$200,MATCH(A201,Attempts!$A$2:$A$200,0)),"?"))</f>
        <v/>
      </c>
      <c r="E201">
        <f>IF(A201="","",IFERROR(INDEX(Attempts!$L$2:$L$200,MATCH(A201,Attempts!$A$2:$A$200,0)),""))</f>
        <v/>
      </c>
      <c r="F201">
        <f>IF(B201="","",IFERROR(INDEX(Attempts!$L$2:$L$200,MATCH(B201,Attempts!$A$2:$A$200,0)),""))</f>
        <v/>
      </c>
      <c r="G201">
        <f>IF(OR(E201="",F201=""),"",F201-E201)</f>
        <v/>
      </c>
      <c r="H201">
        <f>IF(B201="","",IFERROR(INDEX(Attempts!$D$2:$D$200,MATCH(B201,Attempts!$A$2:$A$200,0)),"?"))</f>
        <v/>
      </c>
      <c r="I201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6" customWidth="1" min="4" max="4"/>
    <col width="14" customWidth="1" min="5" max="5"/>
    <col width="44" customWidth="1" min="7" max="7"/>
    <col width="8" customWidth="1" min="8" max="8"/>
    <col width="9" customWidth="1" min="9" max="9"/>
    <col width="8" customWidth="1" min="10" max="10"/>
    <col width="22" customWidth="1" min="11" max="11"/>
    <col width="18" customWidth="1" min="12" max="12"/>
  </cols>
  <sheetData>
    <row r="1">
      <c r="A1" t="inlineStr">
        <is>
          <t>Candidate</t>
        </is>
      </c>
      <c r="B1" s="6" t="n"/>
    </row>
    <row r="2">
      <c r="A2" t="inlineStr">
        <is>
          <t>Date</t>
        </is>
      </c>
      <c r="B2" s="6" t="n"/>
    </row>
    <row r="4">
      <c r="A4" s="3" t="inlineStr">
        <is>
          <t>Q</t>
        </is>
      </c>
      <c r="B4" s="3" t="inlineStr">
        <is>
          <t>Section #</t>
        </is>
      </c>
      <c r="C4" s="3" t="inlineStr">
        <is>
          <t>Correct answer</t>
        </is>
      </c>
      <c r="D4" s="3" t="inlineStr">
        <is>
          <t>Candidate answer</t>
        </is>
      </c>
      <c r="E4" s="3" t="inlineStr">
        <is>
          <t>Correct (1/0)</t>
        </is>
      </c>
      <c r="G4" s="5" t="inlineStr">
        <is>
          <t>Section</t>
        </is>
      </c>
      <c r="H4" s="5" t="inlineStr">
        <is>
          <t>Questions</t>
        </is>
      </c>
      <c r="I4" s="5" t="inlineStr">
        <is>
          <t>Correct</t>
        </is>
      </c>
      <c r="J4" s="5" t="inlineStr">
        <is>
          <t>%</t>
        </is>
      </c>
      <c r="K4" s="5" t="inlineStr">
        <is>
          <t>Guide (not official)</t>
        </is>
      </c>
      <c r="L4" s="5" t="inlineStr">
        <is>
          <t>Next papers</t>
        </is>
      </c>
    </row>
    <row r="5">
      <c r="A5" t="n">
        <v>1</v>
      </c>
      <c r="B5" t="n">
        <v>1</v>
      </c>
      <c r="C5" t="inlineStr">
        <is>
          <t>A</t>
        </is>
      </c>
      <c r="D5" s="6" t="n"/>
      <c r="E5">
        <f>IF(D5="",0,IF(UPPER(TRIM(D5))=C5,1,0))</f>
        <v/>
      </c>
      <c r="G5" t="inlineStr">
        <is>
          <t>A Bookkeeping &amp; Basic Accounting</t>
        </is>
      </c>
      <c r="H5" t="n">
        <v>12</v>
      </c>
      <c r="I5">
        <f>SUMIF($B$5:$B$44,1,$E$5:$E$44)</f>
        <v/>
      </c>
      <c r="J5">
        <f>ROUND(I5/H5*100,1)</f>
        <v/>
      </c>
      <c r="K5">
        <f>IF(COUNTA($D$5:$D$44)=0,"",IF(J5&lt;50,"Needs re-teaching",IF(J5&lt;75,"Developing","Relatively strong")))</f>
        <v/>
      </c>
      <c r="L5" t="inlineStr">
        <is>
          <t>Papers 2-5</t>
        </is>
      </c>
    </row>
    <row r="6">
      <c r="A6" t="n">
        <v>2</v>
      </c>
      <c r="B6" t="n">
        <v>1</v>
      </c>
      <c r="C6" t="inlineStr">
        <is>
          <t>B</t>
        </is>
      </c>
      <c r="D6" s="6" t="n"/>
      <c r="E6">
        <f>IF(D6="",0,IF(UPPER(TRIM(D6))=C6,1,0))</f>
        <v/>
      </c>
      <c r="G6" t="inlineStr">
        <is>
          <t>B Taxation</t>
        </is>
      </c>
      <c r="H6" t="n">
        <v>6</v>
      </c>
      <c r="I6">
        <f>SUMIF($B$5:$B$44,2,$E$5:$E$44)</f>
        <v/>
      </c>
      <c r="J6">
        <f>ROUND(I6/H6*100,1)</f>
        <v/>
      </c>
      <c r="K6">
        <f>IF(COUNTA($D$5:$D$44)=0,"",IF(J6&lt;50,"Needs re-teaching",IF(J6&lt;75,"Developing","Relatively strong")))</f>
        <v/>
      </c>
      <c r="L6" t="inlineStr">
        <is>
          <t>Paper 6</t>
        </is>
      </c>
    </row>
    <row r="7">
      <c r="A7" t="n">
        <v>3</v>
      </c>
      <c r="B7" t="n">
        <v>1</v>
      </c>
      <c r="C7" t="inlineStr">
        <is>
          <t>A</t>
        </is>
      </c>
      <c r="D7" s="6" t="n"/>
      <c r="E7">
        <f>IF(D7="",0,IF(UPPER(TRIM(D7))=C7,1,0))</f>
        <v/>
      </c>
      <c r="G7" t="inlineStr">
        <is>
          <t>C Budget &amp; Financial Discipline</t>
        </is>
      </c>
      <c r="H7" t="n">
        <v>5</v>
      </c>
      <c r="I7">
        <f>SUMIF($B$5:$B$44,3,$E$5:$E$44)</f>
        <v/>
      </c>
      <c r="J7">
        <f>ROUND(I7/H7*100,1)</f>
        <v/>
      </c>
      <c r="K7">
        <f>IF(COUNTA($D$5:$D$44)=0,"",IF(J7&lt;50,"Needs re-teaching",IF(J7&lt;75,"Developing","Relatively strong")))</f>
        <v/>
      </c>
      <c r="L7" t="inlineStr">
        <is>
          <t>Paper 7 (+5 BRS)</t>
        </is>
      </c>
    </row>
    <row r="8">
      <c r="A8" t="n">
        <v>4</v>
      </c>
      <c r="B8" t="n">
        <v>1</v>
      </c>
      <c r="C8" t="inlineStr">
        <is>
          <t>B</t>
        </is>
      </c>
      <c r="D8" s="6" t="n"/>
      <c r="E8">
        <f>IF(D8="",0,IF(UPPER(TRIM(D8))=C8,1,0))</f>
        <v/>
      </c>
      <c r="G8" t="inlineStr">
        <is>
          <t>D Banking</t>
        </is>
      </c>
      <c r="H8" t="n">
        <v>6</v>
      </c>
      <c r="I8">
        <f>SUMIF($B$5:$B$44,4,$E$5:$E$44)</f>
        <v/>
      </c>
      <c r="J8">
        <f>ROUND(I8/H8*100,1)</f>
        <v/>
      </c>
      <c r="K8">
        <f>IF(COUNTA($D$5:$D$44)=0,"",IF(J8&lt;50,"Needs re-teaching",IF(J8&lt;75,"Developing","Relatively strong")))</f>
        <v/>
      </c>
      <c r="L8" t="inlineStr">
        <is>
          <t>Paper 8</t>
        </is>
      </c>
    </row>
    <row r="9">
      <c r="A9" t="n">
        <v>5</v>
      </c>
      <c r="B9" t="n">
        <v>1</v>
      </c>
      <c r="C9" t="inlineStr">
        <is>
          <t>B</t>
        </is>
      </c>
      <c r="D9" s="6" t="n"/>
      <c r="E9">
        <f>IF(D9="",0,IF(UPPER(TRIM(D9))=C9,1,0))</f>
        <v/>
      </c>
      <c r="G9" t="inlineStr">
        <is>
          <t>E Computer &amp; Modern Tools</t>
        </is>
      </c>
      <c r="H9" t="n">
        <v>6</v>
      </c>
      <c r="I9">
        <f>SUMIF($B$5:$B$44,5,$E$5:$E$44)</f>
        <v/>
      </c>
      <c r="J9">
        <f>ROUND(I9/H9*100,1)</f>
        <v/>
      </c>
      <c r="K9">
        <f>IF(COUNTA($D$5:$D$44)=0,"",IF(J9&lt;50,"Needs re-teaching",IF(J9&lt;75,"Developing","Relatively strong")))</f>
        <v/>
      </c>
      <c r="L9" t="inlineStr">
        <is>
          <t>Paper 9</t>
        </is>
      </c>
    </row>
    <row r="10">
      <c r="A10" t="n">
        <v>6</v>
      </c>
      <c r="B10" t="n">
        <v>1</v>
      </c>
      <c r="C10" t="inlineStr">
        <is>
          <t>A</t>
        </is>
      </c>
      <c r="D10" s="6" t="n"/>
      <c r="E10">
        <f>IF(D10="",0,IF(UPPER(TRIM(D10))=C10,1,0))</f>
        <v/>
      </c>
      <c r="G10" t="inlineStr">
        <is>
          <t>F Current Affairs / GA</t>
        </is>
      </c>
      <c r="H10" t="n">
        <v>5</v>
      </c>
      <c r="I10">
        <f>SUMIF($B$5:$B$44,6,$E$5:$E$44)</f>
        <v/>
      </c>
      <c r="J10">
        <f>ROUND(I10/H10*100,1)</f>
        <v/>
      </c>
      <c r="K10">
        <f>IF(COUNTA($D$5:$D$44)=0,"",IF(J10&lt;50,"Needs re-teaching",IF(J10&lt;75,"Developing","Relatively strong")))</f>
        <v/>
      </c>
      <c r="L10" t="inlineStr">
        <is>
          <t>Paper 10</t>
        </is>
      </c>
    </row>
    <row r="11">
      <c r="A11" t="n">
        <v>7</v>
      </c>
      <c r="B11" t="n">
        <v>1</v>
      </c>
      <c r="C11" t="inlineStr">
        <is>
          <t>B</t>
        </is>
      </c>
      <c r="D11" s="6" t="n"/>
      <c r="E11">
        <f>IF(D11="",0,IF(UPPER(TRIM(D11))=C11,1,0))</f>
        <v/>
      </c>
    </row>
    <row r="12">
      <c r="A12" t="n">
        <v>8</v>
      </c>
      <c r="B12" t="n">
        <v>1</v>
      </c>
      <c r="C12" t="inlineStr">
        <is>
          <t>B</t>
        </is>
      </c>
      <c r="D12" s="6" t="n"/>
      <c r="E12">
        <f>IF(D12="",0,IF(UPPER(TRIM(D12))=C12,1,0))</f>
        <v/>
      </c>
      <c r="G12" t="inlineStr">
        <is>
          <t>TOTAL</t>
        </is>
      </c>
      <c r="H12">
        <f>SUM(H5:H10)</f>
        <v/>
      </c>
      <c r="I12">
        <f>SUM(I5:I10)</f>
        <v/>
      </c>
      <c r="J12">
        <f>ROUND(I12/H12*100,1)</f>
        <v/>
      </c>
    </row>
    <row r="13">
      <c r="A13" t="n">
        <v>9</v>
      </c>
      <c r="B13" t="n">
        <v>1</v>
      </c>
      <c r="C13" t="inlineStr">
        <is>
          <t>C</t>
        </is>
      </c>
      <c r="D13" s="6" t="n"/>
      <c r="E13">
        <f>IF(D13="",0,IF(UPPER(TRIM(D13))=C13,1,0))</f>
        <v/>
      </c>
    </row>
    <row r="14">
      <c r="A14" t="n">
        <v>10</v>
      </c>
      <c r="B14" t="n">
        <v>1</v>
      </c>
      <c r="C14" t="inlineStr">
        <is>
          <t>B</t>
        </is>
      </c>
      <c r="D14" s="6" t="n"/>
      <c r="E14">
        <f>IF(D14="",0,IF(UPPER(TRIM(D14))=C14,1,0))</f>
        <v/>
      </c>
      <c r="G14" s="8" t="inlineStr">
        <is>
          <t>Baseline key = the supplied Teacher Answer Key (Quick Scoring). Diagnostic only; no official cutoff. Decide teaching from section/question evidence, not the total.</t>
        </is>
      </c>
    </row>
    <row r="15">
      <c r="A15" t="n">
        <v>11</v>
      </c>
      <c r="B15" t="n">
        <v>1</v>
      </c>
      <c r="C15" t="inlineStr">
        <is>
          <t>B</t>
        </is>
      </c>
      <c r="D15" s="6" t="n"/>
      <c r="E15">
        <f>IF(D15="",0,IF(UPPER(TRIM(D15))=C15,1,0))</f>
        <v/>
      </c>
    </row>
    <row r="16">
      <c r="A16" t="n">
        <v>12</v>
      </c>
      <c r="B16" t="n">
        <v>1</v>
      </c>
      <c r="C16" t="inlineStr">
        <is>
          <t>C</t>
        </is>
      </c>
      <c r="D16" s="6" t="n"/>
      <c r="E16">
        <f>IF(D16="",0,IF(UPPER(TRIM(D16))=C16,1,0))</f>
        <v/>
      </c>
    </row>
    <row r="17">
      <c r="A17" t="n">
        <v>13</v>
      </c>
      <c r="B17" t="n">
        <v>2</v>
      </c>
      <c r="C17" t="inlineStr">
        <is>
          <t>B</t>
        </is>
      </c>
      <c r="D17" s="6" t="n"/>
      <c r="E17">
        <f>IF(D17="",0,IF(UPPER(TRIM(D17))=C17,1,0))</f>
        <v/>
      </c>
    </row>
    <row r="18">
      <c r="A18" t="n">
        <v>14</v>
      </c>
      <c r="B18" t="n">
        <v>2</v>
      </c>
      <c r="C18" t="inlineStr">
        <is>
          <t>B</t>
        </is>
      </c>
      <c r="D18" s="6" t="n"/>
      <c r="E18">
        <f>IF(D18="",0,IF(UPPER(TRIM(D18))=C18,1,0))</f>
        <v/>
      </c>
    </row>
    <row r="19">
      <c r="A19" t="n">
        <v>15</v>
      </c>
      <c r="B19" t="n">
        <v>2</v>
      </c>
      <c r="C19" t="inlineStr">
        <is>
          <t>C</t>
        </is>
      </c>
      <c r="D19" s="6" t="n"/>
      <c r="E19">
        <f>IF(D19="",0,IF(UPPER(TRIM(D19))=C19,1,0))</f>
        <v/>
      </c>
    </row>
    <row r="20">
      <c r="A20" t="n">
        <v>16</v>
      </c>
      <c r="B20" t="n">
        <v>2</v>
      </c>
      <c r="C20" t="inlineStr">
        <is>
          <t>B</t>
        </is>
      </c>
      <c r="D20" s="6" t="n"/>
      <c r="E20">
        <f>IF(D20="",0,IF(UPPER(TRIM(D20))=C20,1,0))</f>
        <v/>
      </c>
    </row>
    <row r="21">
      <c r="A21" t="n">
        <v>17</v>
      </c>
      <c r="B21" t="n">
        <v>2</v>
      </c>
      <c r="C21" t="inlineStr">
        <is>
          <t>B</t>
        </is>
      </c>
      <c r="D21" s="6" t="n"/>
      <c r="E21">
        <f>IF(D21="",0,IF(UPPER(TRIM(D21))=C21,1,0))</f>
        <v/>
      </c>
    </row>
    <row r="22">
      <c r="A22" t="n">
        <v>18</v>
      </c>
      <c r="B22" t="n">
        <v>2</v>
      </c>
      <c r="C22" t="inlineStr">
        <is>
          <t>A</t>
        </is>
      </c>
      <c r="D22" s="6" t="n"/>
      <c r="E22">
        <f>IF(D22="",0,IF(UPPER(TRIM(D22))=C22,1,0))</f>
        <v/>
      </c>
    </row>
    <row r="23">
      <c r="A23" t="n">
        <v>19</v>
      </c>
      <c r="B23" t="n">
        <v>3</v>
      </c>
      <c r="C23" t="inlineStr">
        <is>
          <t>B</t>
        </is>
      </c>
      <c r="D23" s="6" t="n"/>
      <c r="E23">
        <f>IF(D23="",0,IF(UPPER(TRIM(D23))=C23,1,0))</f>
        <v/>
      </c>
    </row>
    <row r="24">
      <c r="A24" t="n">
        <v>20</v>
      </c>
      <c r="B24" t="n">
        <v>3</v>
      </c>
      <c r="C24" t="inlineStr">
        <is>
          <t>A</t>
        </is>
      </c>
      <c r="D24" s="6" t="n"/>
      <c r="E24">
        <f>IF(D24="",0,IF(UPPER(TRIM(D24))=C24,1,0))</f>
        <v/>
      </c>
    </row>
    <row r="25">
      <c r="A25" t="n">
        <v>21</v>
      </c>
      <c r="B25" t="n">
        <v>3</v>
      </c>
      <c r="C25" t="inlineStr">
        <is>
          <t>A</t>
        </is>
      </c>
      <c r="D25" s="6" t="n"/>
      <c r="E25">
        <f>IF(D25="",0,IF(UPPER(TRIM(D25))=C25,1,0))</f>
        <v/>
      </c>
    </row>
    <row r="26">
      <c r="A26" t="n">
        <v>22</v>
      </c>
      <c r="B26" t="n">
        <v>3</v>
      </c>
      <c r="C26" t="inlineStr">
        <is>
          <t>B</t>
        </is>
      </c>
      <c r="D26" s="6" t="n"/>
      <c r="E26">
        <f>IF(D26="",0,IF(UPPER(TRIM(D26))=C26,1,0))</f>
        <v/>
      </c>
    </row>
    <row r="27">
      <c r="A27" t="n">
        <v>23</v>
      </c>
      <c r="B27" t="n">
        <v>3</v>
      </c>
      <c r="C27" t="inlineStr">
        <is>
          <t>B</t>
        </is>
      </c>
      <c r="D27" s="6" t="n"/>
      <c r="E27">
        <f>IF(D27="",0,IF(UPPER(TRIM(D27))=C27,1,0))</f>
        <v/>
      </c>
    </row>
    <row r="28">
      <c r="A28" t="n">
        <v>24</v>
      </c>
      <c r="B28" t="n">
        <v>4</v>
      </c>
      <c r="C28" t="inlineStr">
        <is>
          <t>A</t>
        </is>
      </c>
      <c r="D28" s="6" t="n"/>
      <c r="E28">
        <f>IF(D28="",0,IF(UPPER(TRIM(D28))=C28,1,0))</f>
        <v/>
      </c>
    </row>
    <row r="29">
      <c r="A29" t="n">
        <v>25</v>
      </c>
      <c r="B29" t="n">
        <v>4</v>
      </c>
      <c r="C29" t="inlineStr">
        <is>
          <t>A</t>
        </is>
      </c>
      <c r="D29" s="6" t="n"/>
      <c r="E29">
        <f>IF(D29="",0,IF(UPPER(TRIM(D29))=C29,1,0))</f>
        <v/>
      </c>
    </row>
    <row r="30">
      <c r="A30" t="n">
        <v>26</v>
      </c>
      <c r="B30" t="n">
        <v>4</v>
      </c>
      <c r="C30" t="inlineStr">
        <is>
          <t>B</t>
        </is>
      </c>
      <c r="D30" s="6" t="n"/>
      <c r="E30">
        <f>IF(D30="",0,IF(UPPER(TRIM(D30))=C30,1,0))</f>
        <v/>
      </c>
    </row>
    <row r="31">
      <c r="A31" t="n">
        <v>27</v>
      </c>
      <c r="B31" t="n">
        <v>4</v>
      </c>
      <c r="C31" t="inlineStr">
        <is>
          <t>A</t>
        </is>
      </c>
      <c r="D31" s="6" t="n"/>
      <c r="E31">
        <f>IF(D31="",0,IF(UPPER(TRIM(D31))=C31,1,0))</f>
        <v/>
      </c>
    </row>
    <row r="32">
      <c r="A32" t="n">
        <v>28</v>
      </c>
      <c r="B32" t="n">
        <v>4</v>
      </c>
      <c r="C32" t="inlineStr">
        <is>
          <t>A</t>
        </is>
      </c>
      <c r="D32" s="6" t="n"/>
      <c r="E32">
        <f>IF(D32="",0,IF(UPPER(TRIM(D32))=C32,1,0))</f>
        <v/>
      </c>
    </row>
    <row r="33">
      <c r="A33" t="n">
        <v>29</v>
      </c>
      <c r="B33" t="n">
        <v>4</v>
      </c>
      <c r="C33" t="inlineStr">
        <is>
          <t>A</t>
        </is>
      </c>
      <c r="D33" s="6" t="n"/>
      <c r="E33">
        <f>IF(D33="",0,IF(UPPER(TRIM(D33))=C33,1,0))</f>
        <v/>
      </c>
    </row>
    <row r="34">
      <c r="A34" t="n">
        <v>30</v>
      </c>
      <c r="B34" t="n">
        <v>5</v>
      </c>
      <c r="C34" t="inlineStr">
        <is>
          <t>B</t>
        </is>
      </c>
      <c r="D34" s="6" t="n"/>
      <c r="E34">
        <f>IF(D34="",0,IF(UPPER(TRIM(D34))=C34,1,0))</f>
        <v/>
      </c>
    </row>
    <row r="35">
      <c r="A35" t="n">
        <v>31</v>
      </c>
      <c r="B35" t="n">
        <v>5</v>
      </c>
      <c r="C35" t="inlineStr">
        <is>
          <t>B</t>
        </is>
      </c>
      <c r="D35" s="6" t="n"/>
      <c r="E35">
        <f>IF(D35="",0,IF(UPPER(TRIM(D35))=C35,1,0))</f>
        <v/>
      </c>
    </row>
    <row r="36">
      <c r="A36" t="n">
        <v>32</v>
      </c>
      <c r="B36" t="n">
        <v>5</v>
      </c>
      <c r="C36" t="inlineStr">
        <is>
          <t>B</t>
        </is>
      </c>
      <c r="D36" s="6" t="n"/>
      <c r="E36">
        <f>IF(D36="",0,IF(UPPER(TRIM(D36))=C36,1,0))</f>
        <v/>
      </c>
    </row>
    <row r="37">
      <c r="A37" t="n">
        <v>33</v>
      </c>
      <c r="B37" t="n">
        <v>5</v>
      </c>
      <c r="C37" t="inlineStr">
        <is>
          <t>B</t>
        </is>
      </c>
      <c r="D37" s="6" t="n"/>
      <c r="E37">
        <f>IF(D37="",0,IF(UPPER(TRIM(D37))=C37,1,0))</f>
        <v/>
      </c>
    </row>
    <row r="38">
      <c r="A38" t="n">
        <v>34</v>
      </c>
      <c r="B38" t="n">
        <v>5</v>
      </c>
      <c r="C38" t="inlineStr">
        <is>
          <t>C</t>
        </is>
      </c>
      <c r="D38" s="6" t="n"/>
      <c r="E38">
        <f>IF(D38="",0,IF(UPPER(TRIM(D38))=C38,1,0))</f>
        <v/>
      </c>
    </row>
    <row r="39">
      <c r="A39" t="n">
        <v>35</v>
      </c>
      <c r="B39" t="n">
        <v>5</v>
      </c>
      <c r="C39" t="inlineStr">
        <is>
          <t>A</t>
        </is>
      </c>
      <c r="D39" s="6" t="n"/>
      <c r="E39">
        <f>IF(D39="",0,IF(UPPER(TRIM(D39))=C39,1,0))</f>
        <v/>
      </c>
    </row>
    <row r="40">
      <c r="A40" t="n">
        <v>36</v>
      </c>
      <c r="B40" t="n">
        <v>6</v>
      </c>
      <c r="C40" t="inlineStr">
        <is>
          <t>A</t>
        </is>
      </c>
      <c r="D40" s="6" t="n"/>
      <c r="E40">
        <f>IF(D40="",0,IF(UPPER(TRIM(D40))=C40,1,0))</f>
        <v/>
      </c>
    </row>
    <row r="41">
      <c r="A41" t="n">
        <v>37</v>
      </c>
      <c r="B41" t="n">
        <v>6</v>
      </c>
      <c r="C41" t="inlineStr">
        <is>
          <t>A</t>
        </is>
      </c>
      <c r="D41" s="6" t="n"/>
      <c r="E41">
        <f>IF(D41="",0,IF(UPPER(TRIM(D41))=C41,1,0))</f>
        <v/>
      </c>
    </row>
    <row r="42">
      <c r="A42" t="n">
        <v>38</v>
      </c>
      <c r="B42" t="n">
        <v>6</v>
      </c>
      <c r="C42" t="inlineStr">
        <is>
          <t>B</t>
        </is>
      </c>
      <c r="D42" s="6" t="n"/>
      <c r="E42">
        <f>IF(D42="",0,IF(UPPER(TRIM(D42))=C42,1,0))</f>
        <v/>
      </c>
    </row>
    <row r="43">
      <c r="A43" t="n">
        <v>39</v>
      </c>
      <c r="B43" t="n">
        <v>6</v>
      </c>
      <c r="C43" t="inlineStr">
        <is>
          <t>B</t>
        </is>
      </c>
      <c r="D43" s="6" t="n"/>
      <c r="E43">
        <f>IF(D43="",0,IF(UPPER(TRIM(D43))=C43,1,0))</f>
        <v/>
      </c>
    </row>
    <row r="44">
      <c r="A44" t="n">
        <v>40</v>
      </c>
      <c r="B44" t="n">
        <v>6</v>
      </c>
      <c r="C44" t="inlineStr">
        <is>
          <t>C</t>
        </is>
      </c>
      <c r="D44" s="6" t="n"/>
      <c r="E44">
        <f>IF(D44="",0,IF(UPPER(TRIM(D44))=C44,1,0))</f>
        <v/>
      </c>
    </row>
  </sheetData>
  <dataValidations count="1">
    <dataValidation sqref="D5:D44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2026-10-19T05:20:13Z</dcterms:created>
  <dcterms:modified xsi:type="dcterms:W3CDTF">2026-10-19T05:20:13Z</dcterms:modified>
</cp:coreProperties>
</file>